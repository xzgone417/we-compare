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G:\commonT2\excel\xls\Main\"/>
    </mc:Choice>
  </mc:AlternateContent>
  <xr:revisionPtr revIDLastSave="0" documentId="13_ncr:1_{5B6101CE-A7D2-48B6-A53A-64F9B351B660}" xr6:coauthVersionLast="47" xr6:coauthVersionMax="47" xr10:uidLastSave="{00000000-0000-0000-0000-000000000000}"/>
  <bookViews>
    <workbookView xWindow="-38510" yWindow="-20" windowWidth="38620" windowHeight="21820" xr2:uid="{00000000-000D-0000-FFFF-FFFF00000000}"/>
  </bookViews>
  <sheets>
    <sheet name="支线子任务" sheetId="1" r:id="rId1"/>
    <sheet name="支线章节" sheetId="9" r:id="rId2"/>
    <sheet name="支线子任务链" sheetId="2" r:id="rId3"/>
    <sheet name="#隐藏支线子任务" sheetId="3" r:id="rId4"/>
    <sheet name="#隐藏支线子任务链" sheetId="4" r:id="rId5"/>
    <sheet name="#杂项配置" sheetId="5" r:id="rId6"/>
    <sheet name="#主线任务集（废弃）" sheetId="6" r:id="rId7"/>
    <sheet name="#主线任务链（废弃）" sheetId="7" r:id="rId8"/>
    <sheet name="#TID_base_up" sheetId="8" r:id="rId9"/>
  </sheets>
  <externalReferences>
    <externalReference r:id="rId10"/>
    <externalReference r:id="rId11"/>
  </externalReferences>
  <definedNames>
    <definedName name="_xlnm._FilterDatabase" localSheetId="6" hidden="1">'#主线任务集（废弃）'!$A$3:$N$167</definedName>
    <definedName name="_xlnm._FilterDatabase" localSheetId="0" hidden="1">支线子任务!$A$2:$AG$749</definedName>
    <definedName name="_xlnm._FilterDatabase" localSheetId="2" hidden="1">支线子任务链!$A$3:$H$619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L5" i="1"/>
  <c r="M5" i="1"/>
  <c r="A233" i="2"/>
  <c r="A232" i="2"/>
  <c r="A231" i="2"/>
  <c r="A230" i="2"/>
  <c r="A229" i="2"/>
  <c r="S306" i="1"/>
  <c r="J306" i="1"/>
  <c r="A306" i="1"/>
  <c r="K306" i="1" s="1"/>
  <c r="S302" i="1"/>
  <c r="J302" i="1"/>
  <c r="A302" i="1"/>
  <c r="K302" i="1" s="1"/>
  <c r="S305" i="1" l="1"/>
  <c r="J305" i="1"/>
  <c r="A305" i="1"/>
  <c r="K305" i="1" s="1"/>
  <c r="S764" i="1"/>
  <c r="J764" i="1"/>
  <c r="S763" i="1"/>
  <c r="J763" i="1"/>
  <c r="S762" i="1"/>
  <c r="J762" i="1"/>
  <c r="S761" i="1"/>
  <c r="J761" i="1"/>
  <c r="S760" i="1"/>
  <c r="J760" i="1"/>
  <c r="S759" i="1"/>
  <c r="J759" i="1"/>
  <c r="S758" i="1"/>
  <c r="J758" i="1"/>
  <c r="S757" i="1"/>
  <c r="J757" i="1"/>
  <c r="S756" i="1"/>
  <c r="J756" i="1"/>
  <c r="S755" i="1"/>
  <c r="J755" i="1"/>
  <c r="S754" i="1"/>
  <c r="J754" i="1"/>
  <c r="S753" i="1"/>
  <c r="J753" i="1"/>
  <c r="S752" i="1"/>
  <c r="J752" i="1"/>
  <c r="S751" i="1"/>
  <c r="J751" i="1"/>
  <c r="AE750" i="1"/>
  <c r="AE751" i="1" s="1"/>
  <c r="S750" i="1"/>
  <c r="J750" i="1"/>
  <c r="D750" i="1"/>
  <c r="D751" i="1" s="1"/>
  <c r="J304" i="1"/>
  <c r="J303" i="1"/>
  <c r="A304" i="1"/>
  <c r="M303" i="1"/>
  <c r="A303" i="1"/>
  <c r="K303" i="1" s="1"/>
  <c r="K304" i="1" l="1"/>
  <c r="M306" i="1"/>
  <c r="AE752" i="1"/>
  <c r="AA751" i="1"/>
  <c r="AA750" i="1"/>
  <c r="M305" i="1"/>
  <c r="A750" i="1"/>
  <c r="K750" i="1" s="1"/>
  <c r="AA752" i="1"/>
  <c r="AE753" i="1"/>
  <c r="D752" i="1"/>
  <c r="A751" i="1"/>
  <c r="K751" i="1" s="1"/>
  <c r="L28" i="1"/>
  <c r="J28" i="1"/>
  <c r="A28" i="1"/>
  <c r="K28" i="1" s="1"/>
  <c r="L14" i="1"/>
  <c r="J14" i="1"/>
  <c r="D753" i="1" l="1"/>
  <c r="A752" i="1"/>
  <c r="K752" i="1" s="1"/>
  <c r="AA753" i="1"/>
  <c r="AE754" i="1"/>
  <c r="M304" i="1"/>
  <c r="S19" i="1"/>
  <c r="AA754" i="1" l="1"/>
  <c r="AE755" i="1"/>
  <c r="D754" i="1"/>
  <c r="A753" i="1"/>
  <c r="K753" i="1" s="1"/>
  <c r="A228" i="2"/>
  <c r="D755" i="1" l="1"/>
  <c r="A754" i="1"/>
  <c r="K754" i="1" s="1"/>
  <c r="AE756" i="1"/>
  <c r="AA755" i="1"/>
  <c r="J300" i="1"/>
  <c r="A300" i="1"/>
  <c r="M302" i="1" s="1"/>
  <c r="S68" i="1"/>
  <c r="L68" i="1"/>
  <c r="J68" i="1"/>
  <c r="A68" i="1"/>
  <c r="K68" i="1" s="1"/>
  <c r="S63" i="1"/>
  <c r="L63" i="1"/>
  <c r="J63" i="1"/>
  <c r="A63" i="1"/>
  <c r="K63" i="1" s="1"/>
  <c r="S54" i="1"/>
  <c r="L54" i="1"/>
  <c r="J54" i="1"/>
  <c r="A54" i="1"/>
  <c r="K54" i="1" s="1"/>
  <c r="L35" i="1"/>
  <c r="L34" i="1"/>
  <c r="L33" i="1"/>
  <c r="L32" i="1"/>
  <c r="L31" i="1"/>
  <c r="L30" i="1"/>
  <c r="L27" i="1"/>
  <c r="L26" i="1"/>
  <c r="L25" i="1"/>
  <c r="L24" i="1"/>
  <c r="L23" i="1"/>
  <c r="L22" i="1"/>
  <c r="L21" i="1"/>
  <c r="S26" i="1"/>
  <c r="J26" i="1"/>
  <c r="A26" i="1"/>
  <c r="K26" i="1" s="1"/>
  <c r="L67" i="1"/>
  <c r="L66" i="1"/>
  <c r="J298" i="1"/>
  <c r="J299" i="1"/>
  <c r="J295" i="1"/>
  <c r="S298" i="1"/>
  <c r="A227" i="2"/>
  <c r="A226" i="2"/>
  <c r="S299" i="1"/>
  <c r="A299" i="1"/>
  <c r="K299" i="1" s="1"/>
  <c r="A298" i="1"/>
  <c r="K298" i="1" s="1"/>
  <c r="D67" i="1"/>
  <c r="A66" i="1"/>
  <c r="M67" i="1" s="1"/>
  <c r="S27" i="1"/>
  <c r="AA756" i="1" l="1"/>
  <c r="AE757" i="1"/>
  <c r="D756" i="1"/>
  <c r="A755" i="1"/>
  <c r="K755" i="1" s="1"/>
  <c r="K300" i="1"/>
  <c r="M27" i="1"/>
  <c r="M300" i="1"/>
  <c r="K66" i="1"/>
  <c r="A67" i="1"/>
  <c r="M68" i="1" s="1"/>
  <c r="A756" i="1" l="1"/>
  <c r="K756" i="1" s="1"/>
  <c r="D757" i="1"/>
  <c r="AA757" i="1"/>
  <c r="AE758" i="1"/>
  <c r="K67" i="1"/>
  <c r="J18" i="1"/>
  <c r="J17" i="1"/>
  <c r="J13" i="1"/>
  <c r="S12" i="1"/>
  <c r="J12" i="1"/>
  <c r="L17" i="1"/>
  <c r="L16" i="1"/>
  <c r="L13" i="1"/>
  <c r="L12" i="1"/>
  <c r="L11" i="1"/>
  <c r="L10" i="1"/>
  <c r="L9" i="1"/>
  <c r="L8" i="1"/>
  <c r="L7" i="1"/>
  <c r="L6" i="1"/>
  <c r="S7" i="1"/>
  <c r="J7" i="1"/>
  <c r="AE759" i="1" l="1"/>
  <c r="AA758" i="1"/>
  <c r="D758" i="1"/>
  <c r="A757" i="1"/>
  <c r="K757" i="1" s="1"/>
  <c r="A225" i="2"/>
  <c r="A758" i="1" l="1"/>
  <c r="K758" i="1" s="1"/>
  <c r="D759" i="1"/>
  <c r="AA759" i="1"/>
  <c r="AE760" i="1"/>
  <c r="S297" i="1"/>
  <c r="M297" i="1"/>
  <c r="P297" i="1" s="1"/>
  <c r="J297" i="1"/>
  <c r="A297" i="1"/>
  <c r="AA760" i="1" l="1"/>
  <c r="AE761" i="1"/>
  <c r="D760" i="1"/>
  <c r="A759" i="1"/>
  <c r="K759" i="1" s="1"/>
  <c r="K297" i="1"/>
  <c r="M299" i="1"/>
  <c r="M172" i="1"/>
  <c r="M171" i="1"/>
  <c r="M170" i="1"/>
  <c r="M169" i="1"/>
  <c r="M168" i="1"/>
  <c r="M167" i="1"/>
  <c r="M166" i="1"/>
  <c r="M165" i="1"/>
  <c r="A223" i="2"/>
  <c r="A224" i="2"/>
  <c r="D761" i="1" l="1"/>
  <c r="A760" i="1"/>
  <c r="K760" i="1" s="1"/>
  <c r="AE762" i="1"/>
  <c r="AA761" i="1"/>
  <c r="S749" i="1"/>
  <c r="J749" i="1"/>
  <c r="S748" i="1"/>
  <c r="J748" i="1"/>
  <c r="S747" i="1"/>
  <c r="J747" i="1"/>
  <c r="S746" i="1"/>
  <c r="J746" i="1"/>
  <c r="S745" i="1"/>
  <c r="J745" i="1"/>
  <c r="S744" i="1"/>
  <c r="J744" i="1"/>
  <c r="S743" i="1"/>
  <c r="J743" i="1"/>
  <c r="S742" i="1"/>
  <c r="J742" i="1"/>
  <c r="AE741" i="1"/>
  <c r="AE742" i="1" s="1"/>
  <c r="S741" i="1"/>
  <c r="J741" i="1"/>
  <c r="D741" i="1"/>
  <c r="D742" i="1" s="1"/>
  <c r="A294" i="1"/>
  <c r="K294" i="1" s="1"/>
  <c r="S294" i="1"/>
  <c r="L294" i="1"/>
  <c r="J294" i="1"/>
  <c r="AE763" i="1" l="1"/>
  <c r="AA762" i="1"/>
  <c r="A761" i="1"/>
  <c r="K761" i="1" s="1"/>
  <c r="D762" i="1"/>
  <c r="A741" i="1"/>
  <c r="K741" i="1" s="1"/>
  <c r="M296" i="1"/>
  <c r="D743" i="1"/>
  <c r="A742" i="1"/>
  <c r="K742" i="1" s="1"/>
  <c r="AE743" i="1"/>
  <c r="AA742" i="1"/>
  <c r="AA741" i="1"/>
  <c r="S296" i="1"/>
  <c r="L296" i="1"/>
  <c r="J296" i="1"/>
  <c r="D763" i="1" l="1"/>
  <c r="A762" i="1"/>
  <c r="K762" i="1" s="1"/>
  <c r="AA763" i="1"/>
  <c r="AE764" i="1"/>
  <c r="AA764" i="1" s="1"/>
  <c r="AE744" i="1"/>
  <c r="AA743" i="1"/>
  <c r="D744" i="1"/>
  <c r="A743" i="1"/>
  <c r="K743" i="1" s="1"/>
  <c r="A296" i="1"/>
  <c r="M298" i="1" s="1"/>
  <c r="A763" i="1" l="1"/>
  <c r="K763" i="1" s="1"/>
  <c r="D764" i="1"/>
  <c r="A764" i="1" s="1"/>
  <c r="K764" i="1" s="1"/>
  <c r="K296" i="1"/>
  <c r="D745" i="1"/>
  <c r="A744" i="1"/>
  <c r="K744" i="1" s="1"/>
  <c r="AE745" i="1"/>
  <c r="AA744" i="1"/>
  <c r="AE693" i="1"/>
  <c r="AA693" i="1" s="1"/>
  <c r="AE746" i="1" l="1"/>
  <c r="AA745" i="1"/>
  <c r="D746" i="1"/>
  <c r="A745" i="1"/>
  <c r="K745" i="1" s="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A746" i="1" l="1"/>
  <c r="K746" i="1" s="1"/>
  <c r="D747" i="1"/>
  <c r="AE747" i="1"/>
  <c r="AA746" i="1"/>
  <c r="A222" i="2"/>
  <c r="A221" i="2"/>
  <c r="S740" i="1"/>
  <c r="P740" i="1"/>
  <c r="J740" i="1"/>
  <c r="S739" i="1"/>
  <c r="P739" i="1"/>
  <c r="J739" i="1"/>
  <c r="S738" i="1"/>
  <c r="P738" i="1"/>
  <c r="J738" i="1"/>
  <c r="S737" i="1"/>
  <c r="P737" i="1"/>
  <c r="J737" i="1"/>
  <c r="S736" i="1"/>
  <c r="P736" i="1"/>
  <c r="J736" i="1"/>
  <c r="S735" i="1"/>
  <c r="P735" i="1"/>
  <c r="J735" i="1"/>
  <c r="S734" i="1"/>
  <c r="P734" i="1"/>
  <c r="J734" i="1"/>
  <c r="S733" i="1"/>
  <c r="P733" i="1"/>
  <c r="J733" i="1"/>
  <c r="S732" i="1"/>
  <c r="P732" i="1"/>
  <c r="J732" i="1"/>
  <c r="S731" i="1"/>
  <c r="P731" i="1"/>
  <c r="J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S711" i="1"/>
  <c r="S730" i="1"/>
  <c r="J730" i="1"/>
  <c r="S729" i="1"/>
  <c r="J729" i="1"/>
  <c r="S728" i="1"/>
  <c r="J728" i="1"/>
  <c r="S727" i="1"/>
  <c r="J727" i="1"/>
  <c r="S726" i="1"/>
  <c r="J726" i="1"/>
  <c r="S725" i="1"/>
  <c r="J725" i="1"/>
  <c r="S724" i="1"/>
  <c r="J724" i="1"/>
  <c r="S723" i="1"/>
  <c r="J723" i="1"/>
  <c r="S722" i="1"/>
  <c r="J722" i="1"/>
  <c r="S721" i="1"/>
  <c r="J721" i="1"/>
  <c r="S720" i="1"/>
  <c r="J720" i="1"/>
  <c r="S719" i="1"/>
  <c r="J719" i="1"/>
  <c r="S718" i="1"/>
  <c r="J718" i="1"/>
  <c r="S717" i="1"/>
  <c r="J717" i="1"/>
  <c r="S716" i="1"/>
  <c r="J716" i="1"/>
  <c r="S715" i="1"/>
  <c r="J715" i="1"/>
  <c r="S714" i="1"/>
  <c r="J714" i="1"/>
  <c r="S713" i="1"/>
  <c r="J713" i="1"/>
  <c r="S712" i="1"/>
  <c r="J712" i="1"/>
  <c r="J711" i="1"/>
  <c r="D711" i="1"/>
  <c r="D712" i="1" s="1"/>
  <c r="D713" i="1" s="1"/>
  <c r="D714" i="1" s="1"/>
  <c r="D715" i="1" s="1"/>
  <c r="D716" i="1" s="1"/>
  <c r="D717" i="1" s="1"/>
  <c r="D718" i="1" s="1"/>
  <c r="D719" i="1" s="1"/>
  <c r="D720" i="1" s="1"/>
  <c r="D721" i="1" s="1"/>
  <c r="D722" i="1" s="1"/>
  <c r="D723" i="1" s="1"/>
  <c r="D724" i="1" s="1"/>
  <c r="D725" i="1" s="1"/>
  <c r="D726" i="1" s="1"/>
  <c r="D727" i="1" s="1"/>
  <c r="D728" i="1" s="1"/>
  <c r="D729" i="1" s="1"/>
  <c r="D730" i="1" s="1"/>
  <c r="D731" i="1" s="1"/>
  <c r="D732" i="1" s="1"/>
  <c r="D733" i="1" s="1"/>
  <c r="D734" i="1" s="1"/>
  <c r="D735" i="1" s="1"/>
  <c r="D736" i="1" s="1"/>
  <c r="D737" i="1" s="1"/>
  <c r="D738" i="1" s="1"/>
  <c r="D739" i="1" s="1"/>
  <c r="D740" i="1" s="1"/>
  <c r="S293" i="1"/>
  <c r="P293" i="1"/>
  <c r="L293" i="1"/>
  <c r="J293" i="1"/>
  <c r="A293" i="1"/>
  <c r="K293" i="1" s="1"/>
  <c r="S710" i="1"/>
  <c r="J710" i="1"/>
  <c r="S709" i="1"/>
  <c r="J709" i="1"/>
  <c r="S708" i="1"/>
  <c r="J708" i="1"/>
  <c r="S707" i="1"/>
  <c r="J707" i="1"/>
  <c r="S706" i="1"/>
  <c r="J706" i="1"/>
  <c r="S705" i="1"/>
  <c r="J705" i="1"/>
  <c r="S704" i="1"/>
  <c r="J704" i="1"/>
  <c r="S703" i="1"/>
  <c r="J703" i="1"/>
  <c r="S702" i="1"/>
  <c r="J702" i="1"/>
  <c r="S701" i="1"/>
  <c r="J701" i="1"/>
  <c r="S700" i="1"/>
  <c r="J700" i="1"/>
  <c r="S699" i="1"/>
  <c r="J699" i="1"/>
  <c r="S698" i="1"/>
  <c r="J698" i="1"/>
  <c r="S697" i="1"/>
  <c r="J697" i="1"/>
  <c r="S696" i="1"/>
  <c r="J696" i="1"/>
  <c r="S695" i="1"/>
  <c r="J695" i="1"/>
  <c r="S694" i="1"/>
  <c r="J694" i="1"/>
  <c r="S693" i="1"/>
  <c r="J693" i="1"/>
  <c r="S292" i="1"/>
  <c r="L292" i="1"/>
  <c r="J292" i="1"/>
  <c r="A292" i="1"/>
  <c r="K292" i="1" s="1"/>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19" i="2"/>
  <c r="A218" i="2"/>
  <c r="A217" i="2"/>
  <c r="A216" i="2"/>
  <c r="A215" i="2"/>
  <c r="A214" i="2"/>
  <c r="A213" i="2"/>
  <c r="A212" i="2"/>
  <c r="A211" i="2"/>
  <c r="A210" i="2"/>
  <c r="A209" i="2"/>
  <c r="A208" i="2"/>
  <c r="A207"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W692" i="1"/>
  <c r="S692" i="1"/>
  <c r="J692" i="1"/>
  <c r="W691" i="1"/>
  <c r="S691" i="1"/>
  <c r="J691" i="1"/>
  <c r="W690" i="1"/>
  <c r="S690" i="1"/>
  <c r="J690" i="1"/>
  <c r="W689" i="1"/>
  <c r="S689" i="1"/>
  <c r="J689" i="1"/>
  <c r="W688" i="1"/>
  <c r="S688" i="1"/>
  <c r="J688" i="1"/>
  <c r="AE687" i="1"/>
  <c r="AE688" i="1" s="1"/>
  <c r="W687" i="1"/>
  <c r="S687" i="1"/>
  <c r="J687" i="1"/>
  <c r="D687" i="1"/>
  <c r="D688" i="1" s="1"/>
  <c r="D689" i="1" s="1"/>
  <c r="W686" i="1"/>
  <c r="S686" i="1"/>
  <c r="J686" i="1"/>
  <c r="W685" i="1"/>
  <c r="S685" i="1"/>
  <c r="J685" i="1"/>
  <c r="W684" i="1"/>
  <c r="S684" i="1"/>
  <c r="J684" i="1"/>
  <c r="W683" i="1"/>
  <c r="S683" i="1"/>
  <c r="J683" i="1"/>
  <c r="W682" i="1"/>
  <c r="S682" i="1"/>
  <c r="J682" i="1"/>
  <c r="AE681" i="1"/>
  <c r="AE682" i="1" s="1"/>
  <c r="AA682" i="1" s="1"/>
  <c r="W681" i="1"/>
  <c r="S681" i="1"/>
  <c r="J681" i="1"/>
  <c r="D681" i="1"/>
  <c r="A681" i="1" s="1"/>
  <c r="K681" i="1" s="1"/>
  <c r="W680" i="1"/>
  <c r="S680" i="1"/>
  <c r="J680" i="1"/>
  <c r="W679" i="1"/>
  <c r="S679" i="1"/>
  <c r="J679" i="1"/>
  <c r="W678" i="1"/>
  <c r="S678" i="1"/>
  <c r="J678" i="1"/>
  <c r="W677" i="1"/>
  <c r="S677" i="1"/>
  <c r="J677" i="1"/>
  <c r="W676" i="1"/>
  <c r="S676" i="1"/>
  <c r="J676" i="1"/>
  <c r="AE675" i="1"/>
  <c r="W675" i="1"/>
  <c r="S675" i="1"/>
  <c r="J675" i="1"/>
  <c r="D675" i="1"/>
  <c r="D676" i="1" s="1"/>
  <c r="W674" i="1"/>
  <c r="S674" i="1"/>
  <c r="J674" i="1"/>
  <c r="W673" i="1"/>
  <c r="S673" i="1"/>
  <c r="J673" i="1"/>
  <c r="W672" i="1"/>
  <c r="S672" i="1"/>
  <c r="J672" i="1"/>
  <c r="W671" i="1"/>
  <c r="S671" i="1"/>
  <c r="J671" i="1"/>
  <c r="W670" i="1"/>
  <c r="S670" i="1"/>
  <c r="J670" i="1"/>
  <c r="AE669" i="1"/>
  <c r="AA669" i="1" s="1"/>
  <c r="W669" i="1"/>
  <c r="S669" i="1"/>
  <c r="J669" i="1"/>
  <c r="D669" i="1"/>
  <c r="A669" i="1" s="1"/>
  <c r="K669" i="1" s="1"/>
  <c r="W668" i="1"/>
  <c r="S668" i="1"/>
  <c r="J668" i="1"/>
  <c r="W667" i="1"/>
  <c r="S667" i="1"/>
  <c r="J667" i="1"/>
  <c r="W666" i="1"/>
  <c r="S666" i="1"/>
  <c r="J666" i="1"/>
  <c r="W665" i="1"/>
  <c r="S665" i="1"/>
  <c r="J665" i="1"/>
  <c r="W664" i="1"/>
  <c r="S664" i="1"/>
  <c r="J664" i="1"/>
  <c r="AE663" i="1"/>
  <c r="AE664" i="1" s="1"/>
  <c r="W663" i="1"/>
  <c r="S663" i="1"/>
  <c r="J663" i="1"/>
  <c r="D663" i="1"/>
  <c r="D664" i="1" s="1"/>
  <c r="D665" i="1" s="1"/>
  <c r="A665" i="1" s="1"/>
  <c r="K665" i="1" s="1"/>
  <c r="W662" i="1"/>
  <c r="S662" i="1"/>
  <c r="J662" i="1"/>
  <c r="W661" i="1"/>
  <c r="S661" i="1"/>
  <c r="J661" i="1"/>
  <c r="W660" i="1"/>
  <c r="S660" i="1"/>
  <c r="J660" i="1"/>
  <c r="W659" i="1"/>
  <c r="S659" i="1"/>
  <c r="J659" i="1"/>
  <c r="W658" i="1"/>
  <c r="S658" i="1"/>
  <c r="J658" i="1"/>
  <c r="AE657" i="1"/>
  <c r="AE658" i="1" s="1"/>
  <c r="AA658" i="1" s="1"/>
  <c r="W657" i="1"/>
  <c r="S657" i="1"/>
  <c r="J657" i="1"/>
  <c r="D657" i="1"/>
  <c r="A657" i="1" s="1"/>
  <c r="K657" i="1" s="1"/>
  <c r="W656" i="1"/>
  <c r="S656" i="1"/>
  <c r="J656" i="1"/>
  <c r="W655" i="1"/>
  <c r="S655" i="1"/>
  <c r="J655" i="1"/>
  <c r="W654" i="1"/>
  <c r="S654" i="1"/>
  <c r="J654" i="1"/>
  <c r="W653" i="1"/>
  <c r="S653" i="1"/>
  <c r="J653" i="1"/>
  <c r="W652" i="1"/>
  <c r="S652" i="1"/>
  <c r="J652" i="1"/>
  <c r="AE651" i="1"/>
  <c r="W651" i="1"/>
  <c r="S651" i="1"/>
  <c r="J651" i="1"/>
  <c r="D651" i="1"/>
  <c r="A651" i="1" s="1"/>
  <c r="K651" i="1" s="1"/>
  <c r="W650" i="1"/>
  <c r="S650" i="1"/>
  <c r="J650" i="1"/>
  <c r="W649" i="1"/>
  <c r="S649" i="1"/>
  <c r="J649" i="1"/>
  <c r="W648" i="1"/>
  <c r="S648" i="1"/>
  <c r="J648" i="1"/>
  <c r="W647" i="1"/>
  <c r="S647" i="1"/>
  <c r="J647" i="1"/>
  <c r="W646" i="1"/>
  <c r="S646" i="1"/>
  <c r="J646" i="1"/>
  <c r="AE645" i="1"/>
  <c r="AA645" i="1" s="1"/>
  <c r="W645" i="1"/>
  <c r="S645" i="1"/>
  <c r="J645" i="1"/>
  <c r="D645" i="1"/>
  <c r="A645" i="1" s="1"/>
  <c r="K645" i="1" s="1"/>
  <c r="W644" i="1"/>
  <c r="S644" i="1"/>
  <c r="J644" i="1"/>
  <c r="W643" i="1"/>
  <c r="S643" i="1"/>
  <c r="J643" i="1"/>
  <c r="W642" i="1"/>
  <c r="S642" i="1"/>
  <c r="J642" i="1"/>
  <c r="W641" i="1"/>
  <c r="S641" i="1"/>
  <c r="J641" i="1"/>
  <c r="W640" i="1"/>
  <c r="S640" i="1"/>
  <c r="J640" i="1"/>
  <c r="AE639" i="1"/>
  <c r="AE640" i="1" s="1"/>
  <c r="W639" i="1"/>
  <c r="S639" i="1"/>
  <c r="J639" i="1"/>
  <c r="D639" i="1"/>
  <c r="A639" i="1" s="1"/>
  <c r="K639" i="1" s="1"/>
  <c r="W638" i="1"/>
  <c r="S638" i="1"/>
  <c r="J638" i="1"/>
  <c r="W637" i="1"/>
  <c r="S637" i="1"/>
  <c r="J637" i="1"/>
  <c r="W636" i="1"/>
  <c r="S636" i="1"/>
  <c r="J636" i="1"/>
  <c r="W635" i="1"/>
  <c r="S635" i="1"/>
  <c r="J635" i="1"/>
  <c r="W634" i="1"/>
  <c r="S634" i="1"/>
  <c r="J634" i="1"/>
  <c r="AE633" i="1"/>
  <c r="AE634" i="1" s="1"/>
  <c r="AA634" i="1" s="1"/>
  <c r="W633" i="1"/>
  <c r="S633" i="1"/>
  <c r="J633" i="1"/>
  <c r="D633" i="1"/>
  <c r="A633" i="1" s="1"/>
  <c r="K633" i="1" s="1"/>
  <c r="W632" i="1"/>
  <c r="S632" i="1"/>
  <c r="J632" i="1"/>
  <c r="W631" i="1"/>
  <c r="S631" i="1"/>
  <c r="J631" i="1"/>
  <c r="W630" i="1"/>
  <c r="S630" i="1"/>
  <c r="J630" i="1"/>
  <c r="W629" i="1"/>
  <c r="S629" i="1"/>
  <c r="J629" i="1"/>
  <c r="W628" i="1"/>
  <c r="S628" i="1"/>
  <c r="J628" i="1"/>
  <c r="W627" i="1"/>
  <c r="S627" i="1"/>
  <c r="J627" i="1"/>
  <c r="W626" i="1"/>
  <c r="S626" i="1"/>
  <c r="J626" i="1"/>
  <c r="W625" i="1"/>
  <c r="S625" i="1"/>
  <c r="J625" i="1"/>
  <c r="W624" i="1"/>
  <c r="S624" i="1"/>
  <c r="J624" i="1"/>
  <c r="W623" i="1"/>
  <c r="S623" i="1"/>
  <c r="J623" i="1"/>
  <c r="W622" i="1"/>
  <c r="S622" i="1"/>
  <c r="J622" i="1"/>
  <c r="W621" i="1"/>
  <c r="S621" i="1"/>
  <c r="J621" i="1"/>
  <c r="W620" i="1"/>
  <c r="S620" i="1"/>
  <c r="J620" i="1"/>
  <c r="W619" i="1"/>
  <c r="S619" i="1"/>
  <c r="J619" i="1"/>
  <c r="W618" i="1"/>
  <c r="S618" i="1"/>
  <c r="J618" i="1"/>
  <c r="W617" i="1"/>
  <c r="S617" i="1"/>
  <c r="J617" i="1"/>
  <c r="W616" i="1"/>
  <c r="S616" i="1"/>
  <c r="J616" i="1"/>
  <c r="W615" i="1"/>
  <c r="S615" i="1"/>
  <c r="J615" i="1"/>
  <c r="W614" i="1"/>
  <c r="S614" i="1"/>
  <c r="J614" i="1"/>
  <c r="W613" i="1"/>
  <c r="S613" i="1"/>
  <c r="J613" i="1"/>
  <c r="W612" i="1"/>
  <c r="S612" i="1"/>
  <c r="J612" i="1"/>
  <c r="W611" i="1"/>
  <c r="S611" i="1"/>
  <c r="J611" i="1"/>
  <c r="W610" i="1"/>
  <c r="S610" i="1"/>
  <c r="J610" i="1"/>
  <c r="W609" i="1"/>
  <c r="S609" i="1"/>
  <c r="J609" i="1"/>
  <c r="W608" i="1"/>
  <c r="S608" i="1"/>
  <c r="J608" i="1"/>
  <c r="W607" i="1"/>
  <c r="S607" i="1"/>
  <c r="J607" i="1"/>
  <c r="W606" i="1"/>
  <c r="S606" i="1"/>
  <c r="J606" i="1"/>
  <c r="W605" i="1"/>
  <c r="S605" i="1"/>
  <c r="J605" i="1"/>
  <c r="W604" i="1"/>
  <c r="S604" i="1"/>
  <c r="J604" i="1"/>
  <c r="W603" i="1"/>
  <c r="S603" i="1"/>
  <c r="J603" i="1"/>
  <c r="W602" i="1"/>
  <c r="S602" i="1"/>
  <c r="J602" i="1"/>
  <c r="W601" i="1"/>
  <c r="S601" i="1"/>
  <c r="J601" i="1"/>
  <c r="W600" i="1"/>
  <c r="S600" i="1"/>
  <c r="J600" i="1"/>
  <c r="W599" i="1"/>
  <c r="S599" i="1"/>
  <c r="J599" i="1"/>
  <c r="W598" i="1"/>
  <c r="S598" i="1"/>
  <c r="J598" i="1"/>
  <c r="W597" i="1"/>
  <c r="S597" i="1"/>
  <c r="J597" i="1"/>
  <c r="W596" i="1"/>
  <c r="S596" i="1"/>
  <c r="J596" i="1"/>
  <c r="W595" i="1"/>
  <c r="S595" i="1"/>
  <c r="J595" i="1"/>
  <c r="W594" i="1"/>
  <c r="S594" i="1"/>
  <c r="J594" i="1"/>
  <c r="W593" i="1"/>
  <c r="S593" i="1"/>
  <c r="J593" i="1"/>
  <c r="W592" i="1"/>
  <c r="S592" i="1"/>
  <c r="J592" i="1"/>
  <c r="W591" i="1"/>
  <c r="S591" i="1"/>
  <c r="J591" i="1"/>
  <c r="W590" i="1"/>
  <c r="S590" i="1"/>
  <c r="J590" i="1"/>
  <c r="W589" i="1"/>
  <c r="S589" i="1"/>
  <c r="J589" i="1"/>
  <c r="W588" i="1"/>
  <c r="S588" i="1"/>
  <c r="J588" i="1"/>
  <c r="W587" i="1"/>
  <c r="S587" i="1"/>
  <c r="J587" i="1"/>
  <c r="W586" i="1"/>
  <c r="S586" i="1"/>
  <c r="J586" i="1"/>
  <c r="W585" i="1"/>
  <c r="S585" i="1"/>
  <c r="J585" i="1"/>
  <c r="W584" i="1"/>
  <c r="S584" i="1"/>
  <c r="J584" i="1"/>
  <c r="W583" i="1"/>
  <c r="S583" i="1"/>
  <c r="J583" i="1"/>
  <c r="W582" i="1"/>
  <c r="S582" i="1"/>
  <c r="J582" i="1"/>
  <c r="W581" i="1"/>
  <c r="S581" i="1"/>
  <c r="J581" i="1"/>
  <c r="W580" i="1"/>
  <c r="S580" i="1"/>
  <c r="J580" i="1"/>
  <c r="W579" i="1"/>
  <c r="S579" i="1"/>
  <c r="J579" i="1"/>
  <c r="W578" i="1"/>
  <c r="S578" i="1"/>
  <c r="J578" i="1"/>
  <c r="W577" i="1"/>
  <c r="S577" i="1"/>
  <c r="J577" i="1"/>
  <c r="W576" i="1"/>
  <c r="S576" i="1"/>
  <c r="J576" i="1"/>
  <c r="W575" i="1"/>
  <c r="S575" i="1"/>
  <c r="J575" i="1"/>
  <c r="W574" i="1"/>
  <c r="S574" i="1"/>
  <c r="J574" i="1"/>
  <c r="W573" i="1"/>
  <c r="S573" i="1"/>
  <c r="J573" i="1"/>
  <c r="W572" i="1"/>
  <c r="S572" i="1"/>
  <c r="J572" i="1"/>
  <c r="W571" i="1"/>
  <c r="S571" i="1"/>
  <c r="J571" i="1"/>
  <c r="W570" i="1"/>
  <c r="S570" i="1"/>
  <c r="J570" i="1"/>
  <c r="W569" i="1"/>
  <c r="S569" i="1"/>
  <c r="J569" i="1"/>
  <c r="W568" i="1"/>
  <c r="S568" i="1"/>
  <c r="J568" i="1"/>
  <c r="W567" i="1"/>
  <c r="S567" i="1"/>
  <c r="J567" i="1"/>
  <c r="W566" i="1"/>
  <c r="S566" i="1"/>
  <c r="J566" i="1"/>
  <c r="W565" i="1"/>
  <c r="S565" i="1"/>
  <c r="J565" i="1"/>
  <c r="W564" i="1"/>
  <c r="S564" i="1"/>
  <c r="J564" i="1"/>
  <c r="W563" i="1"/>
  <c r="S563" i="1"/>
  <c r="J563" i="1"/>
  <c r="W562" i="1"/>
  <c r="S562" i="1"/>
  <c r="J562" i="1"/>
  <c r="W561" i="1"/>
  <c r="S561" i="1"/>
  <c r="J561" i="1"/>
  <c r="W560" i="1"/>
  <c r="S560" i="1"/>
  <c r="J560" i="1"/>
  <c r="W559" i="1"/>
  <c r="S559" i="1"/>
  <c r="J559" i="1"/>
  <c r="W558" i="1"/>
  <c r="S558" i="1"/>
  <c r="J558" i="1"/>
  <c r="W557" i="1"/>
  <c r="S557" i="1"/>
  <c r="J557" i="1"/>
  <c r="W556" i="1"/>
  <c r="S556" i="1"/>
  <c r="J556" i="1"/>
  <c r="W555" i="1"/>
  <c r="S555" i="1"/>
  <c r="J555" i="1"/>
  <c r="W554" i="1"/>
  <c r="S554" i="1"/>
  <c r="J554" i="1"/>
  <c r="W553" i="1"/>
  <c r="S553" i="1"/>
  <c r="J553" i="1"/>
  <c r="W552" i="1"/>
  <c r="S552" i="1"/>
  <c r="J552" i="1"/>
  <c r="W551" i="1"/>
  <c r="S551" i="1"/>
  <c r="J551" i="1"/>
  <c r="W550" i="1"/>
  <c r="S550" i="1"/>
  <c r="J550" i="1"/>
  <c r="AE549" i="1"/>
  <c r="AE550" i="1" s="1"/>
  <c r="W549" i="1"/>
  <c r="S549" i="1"/>
  <c r="J549" i="1"/>
  <c r="D549" i="1"/>
  <c r="D550" i="1" s="1"/>
  <c r="S548" i="1"/>
  <c r="J548" i="1"/>
  <c r="S547" i="1"/>
  <c r="J547" i="1"/>
  <c r="S546" i="1"/>
  <c r="J546" i="1"/>
  <c r="S545" i="1"/>
  <c r="J545" i="1"/>
  <c r="S544" i="1"/>
  <c r="J544" i="1"/>
  <c r="S543" i="1"/>
  <c r="J543" i="1"/>
  <c r="S542" i="1"/>
  <c r="J542" i="1"/>
  <c r="S541" i="1"/>
  <c r="J541" i="1"/>
  <c r="S540" i="1"/>
  <c r="J540" i="1"/>
  <c r="S539" i="1"/>
  <c r="J539" i="1"/>
  <c r="S538" i="1"/>
  <c r="J538" i="1"/>
  <c r="S537" i="1"/>
  <c r="J537" i="1"/>
  <c r="S536" i="1"/>
  <c r="J536" i="1"/>
  <c r="S535" i="1"/>
  <c r="J535" i="1"/>
  <c r="S534" i="1"/>
  <c r="J534" i="1"/>
  <c r="S533" i="1"/>
  <c r="J533" i="1"/>
  <c r="S532" i="1"/>
  <c r="J532" i="1"/>
  <c r="S531" i="1"/>
  <c r="J531" i="1"/>
  <c r="S530" i="1"/>
  <c r="J530" i="1"/>
  <c r="S529" i="1"/>
  <c r="J529" i="1"/>
  <c r="S528" i="1"/>
  <c r="J528" i="1"/>
  <c r="AE527" i="1"/>
  <c r="AE528" i="1" s="1"/>
  <c r="AE529" i="1" s="1"/>
  <c r="S527" i="1"/>
  <c r="J527" i="1"/>
  <c r="D527" i="1"/>
  <c r="D528" i="1" s="1"/>
  <c r="W526" i="1"/>
  <c r="S526" i="1"/>
  <c r="J526" i="1"/>
  <c r="W525" i="1"/>
  <c r="S525" i="1"/>
  <c r="J525" i="1"/>
  <c r="W524" i="1"/>
  <c r="S524" i="1"/>
  <c r="J524" i="1"/>
  <c r="W523" i="1"/>
  <c r="S523" i="1"/>
  <c r="J523" i="1"/>
  <c r="W522" i="1"/>
  <c r="S522" i="1"/>
  <c r="J522" i="1"/>
  <c r="W521" i="1"/>
  <c r="S521" i="1"/>
  <c r="J521" i="1"/>
  <c r="W520" i="1"/>
  <c r="S520" i="1"/>
  <c r="J520" i="1"/>
  <c r="W519" i="1"/>
  <c r="S519" i="1"/>
  <c r="J519" i="1"/>
  <c r="W518" i="1"/>
  <c r="S518" i="1"/>
  <c r="J518" i="1"/>
  <c r="W517" i="1"/>
  <c r="S517" i="1"/>
  <c r="J517" i="1"/>
  <c r="W516" i="1"/>
  <c r="S516" i="1"/>
  <c r="J516" i="1"/>
  <c r="W515" i="1"/>
  <c r="S515" i="1"/>
  <c r="J515" i="1"/>
  <c r="W514" i="1"/>
  <c r="S514" i="1"/>
  <c r="J514" i="1"/>
  <c r="W513" i="1"/>
  <c r="S513" i="1"/>
  <c r="J513" i="1"/>
  <c r="W512" i="1"/>
  <c r="S512" i="1"/>
  <c r="J512" i="1"/>
  <c r="W511" i="1"/>
  <c r="S511" i="1"/>
  <c r="J511" i="1"/>
  <c r="W510" i="1"/>
  <c r="S510" i="1"/>
  <c r="J510" i="1"/>
  <c r="W509" i="1"/>
  <c r="S509" i="1"/>
  <c r="J509" i="1"/>
  <c r="W508" i="1"/>
  <c r="S508" i="1"/>
  <c r="J508" i="1"/>
  <c r="W507" i="1"/>
  <c r="S507" i="1"/>
  <c r="J507" i="1"/>
  <c r="W506" i="1"/>
  <c r="S506" i="1"/>
  <c r="J506" i="1"/>
  <c r="W505" i="1"/>
  <c r="S505" i="1"/>
  <c r="J505" i="1"/>
  <c r="W504" i="1"/>
  <c r="S504" i="1"/>
  <c r="J504" i="1"/>
  <c r="W503" i="1"/>
  <c r="S503" i="1"/>
  <c r="J503" i="1"/>
  <c r="W502" i="1"/>
  <c r="S502" i="1"/>
  <c r="J502" i="1"/>
  <c r="W501" i="1"/>
  <c r="S501" i="1"/>
  <c r="J501" i="1"/>
  <c r="W500" i="1"/>
  <c r="S500" i="1"/>
  <c r="J500" i="1"/>
  <c r="W499" i="1"/>
  <c r="S499" i="1"/>
  <c r="J499" i="1"/>
  <c r="W498" i="1"/>
  <c r="S498" i="1"/>
  <c r="J498" i="1"/>
  <c r="W497" i="1"/>
  <c r="S497" i="1"/>
  <c r="J497" i="1"/>
  <c r="W496" i="1"/>
  <c r="S496" i="1"/>
  <c r="J496" i="1"/>
  <c r="W495" i="1"/>
  <c r="S495" i="1"/>
  <c r="J495" i="1"/>
  <c r="W494" i="1"/>
  <c r="S494" i="1"/>
  <c r="J494" i="1"/>
  <c r="W493" i="1"/>
  <c r="S493" i="1"/>
  <c r="J493" i="1"/>
  <c r="W492" i="1"/>
  <c r="S492" i="1"/>
  <c r="J492" i="1"/>
  <c r="W491" i="1"/>
  <c r="S491" i="1"/>
  <c r="J491" i="1"/>
  <c r="W490" i="1"/>
  <c r="S490" i="1"/>
  <c r="J490" i="1"/>
  <c r="W489" i="1"/>
  <c r="S489" i="1"/>
  <c r="J489" i="1"/>
  <c r="W488" i="1"/>
  <c r="S488" i="1"/>
  <c r="J488" i="1"/>
  <c r="W487" i="1"/>
  <c r="S487" i="1"/>
  <c r="J487" i="1"/>
  <c r="AE486" i="1"/>
  <c r="AE487" i="1" s="1"/>
  <c r="W486" i="1"/>
  <c r="S486" i="1"/>
  <c r="J486" i="1"/>
  <c r="D486" i="1"/>
  <c r="A486" i="1" s="1"/>
  <c r="K486" i="1" s="1"/>
  <c r="W485" i="1"/>
  <c r="S485" i="1"/>
  <c r="J485" i="1"/>
  <c r="W484" i="1"/>
  <c r="S484" i="1"/>
  <c r="J484" i="1"/>
  <c r="W483" i="1"/>
  <c r="S483" i="1"/>
  <c r="J483" i="1"/>
  <c r="W482" i="1"/>
  <c r="S482" i="1"/>
  <c r="J482" i="1"/>
  <c r="W481" i="1"/>
  <c r="S481" i="1"/>
  <c r="J481" i="1"/>
  <c r="W480" i="1"/>
  <c r="S480" i="1"/>
  <c r="J480" i="1"/>
  <c r="W479" i="1"/>
  <c r="S479" i="1"/>
  <c r="J479" i="1"/>
  <c r="W478" i="1"/>
  <c r="S478" i="1"/>
  <c r="J478" i="1"/>
  <c r="W477" i="1"/>
  <c r="S477" i="1"/>
  <c r="J477" i="1"/>
  <c r="W476" i="1"/>
  <c r="S476" i="1"/>
  <c r="J476" i="1"/>
  <c r="W475" i="1"/>
  <c r="S475" i="1"/>
  <c r="J475" i="1"/>
  <c r="W474" i="1"/>
  <c r="S474" i="1"/>
  <c r="J474" i="1"/>
  <c r="W473" i="1"/>
  <c r="S473" i="1"/>
  <c r="J473" i="1"/>
  <c r="W472" i="1"/>
  <c r="S472" i="1"/>
  <c r="J472" i="1"/>
  <c r="W471" i="1"/>
  <c r="S471" i="1"/>
  <c r="J471" i="1"/>
  <c r="W470" i="1"/>
  <c r="S470" i="1"/>
  <c r="J470" i="1"/>
  <c r="W469" i="1"/>
  <c r="S469" i="1"/>
  <c r="J469" i="1"/>
  <c r="W468" i="1"/>
  <c r="S468" i="1"/>
  <c r="J468" i="1"/>
  <c r="W467" i="1"/>
  <c r="S467" i="1"/>
  <c r="J467" i="1"/>
  <c r="W466" i="1"/>
  <c r="S466" i="1"/>
  <c r="J466" i="1"/>
  <c r="W465" i="1"/>
  <c r="S465" i="1"/>
  <c r="J465" i="1"/>
  <c r="W464" i="1"/>
  <c r="S464" i="1"/>
  <c r="J464" i="1"/>
  <c r="W463" i="1"/>
  <c r="S463" i="1"/>
  <c r="J463" i="1"/>
  <c r="AE462" i="1"/>
  <c r="AE463" i="1" s="1"/>
  <c r="AA463" i="1" s="1"/>
  <c r="W462" i="1"/>
  <c r="S462" i="1"/>
  <c r="J462" i="1"/>
  <c r="D462" i="1"/>
  <c r="A462" i="1" s="1"/>
  <c r="K462" i="1" s="1"/>
  <c r="W461" i="1"/>
  <c r="S461" i="1"/>
  <c r="J461" i="1"/>
  <c r="W460" i="1"/>
  <c r="S460" i="1"/>
  <c r="J460" i="1"/>
  <c r="W459" i="1"/>
  <c r="S459" i="1"/>
  <c r="J459" i="1"/>
  <c r="W458" i="1"/>
  <c r="S458" i="1"/>
  <c r="J458" i="1"/>
  <c r="W457" i="1"/>
  <c r="S457" i="1"/>
  <c r="J457" i="1"/>
  <c r="W456" i="1"/>
  <c r="S456" i="1"/>
  <c r="J456" i="1"/>
  <c r="W455" i="1"/>
  <c r="S455" i="1"/>
  <c r="J455" i="1"/>
  <c r="W454" i="1"/>
  <c r="S454" i="1"/>
  <c r="J454" i="1"/>
  <c r="W453" i="1"/>
  <c r="S453" i="1"/>
  <c r="J453" i="1"/>
  <c r="W452" i="1"/>
  <c r="S452" i="1"/>
  <c r="J452" i="1"/>
  <c r="W451" i="1"/>
  <c r="S451" i="1"/>
  <c r="J451" i="1"/>
  <c r="W450" i="1"/>
  <c r="S450" i="1"/>
  <c r="J450" i="1"/>
  <c r="W449" i="1"/>
  <c r="S449" i="1"/>
  <c r="J449" i="1"/>
  <c r="W448" i="1"/>
  <c r="S448" i="1"/>
  <c r="J448" i="1"/>
  <c r="W447" i="1"/>
  <c r="S447" i="1"/>
  <c r="J447" i="1"/>
  <c r="W446" i="1"/>
  <c r="S446" i="1"/>
  <c r="J446" i="1"/>
  <c r="W445" i="1"/>
  <c r="S445" i="1"/>
  <c r="J445" i="1"/>
  <c r="W444" i="1"/>
  <c r="S444" i="1"/>
  <c r="J444" i="1"/>
  <c r="W443" i="1"/>
  <c r="S443" i="1"/>
  <c r="J443" i="1"/>
  <c r="W442" i="1"/>
  <c r="S442" i="1"/>
  <c r="J442" i="1"/>
  <c r="W441" i="1"/>
  <c r="S441" i="1"/>
  <c r="J441" i="1"/>
  <c r="W440" i="1"/>
  <c r="S440" i="1"/>
  <c r="J440" i="1"/>
  <c r="W439" i="1"/>
  <c r="S439" i="1"/>
  <c r="J439" i="1"/>
  <c r="W438" i="1"/>
  <c r="S438" i="1"/>
  <c r="J438" i="1"/>
  <c r="W437" i="1"/>
  <c r="S437" i="1"/>
  <c r="J437" i="1"/>
  <c r="W436" i="1"/>
  <c r="S436" i="1"/>
  <c r="J436" i="1"/>
  <c r="AE435" i="1"/>
  <c r="AA435" i="1" s="1"/>
  <c r="W435" i="1"/>
  <c r="S435" i="1"/>
  <c r="J435" i="1"/>
  <c r="D435" i="1"/>
  <c r="A435" i="1" s="1"/>
  <c r="K435" i="1" s="1"/>
  <c r="W434" i="1"/>
  <c r="S434" i="1"/>
  <c r="J434" i="1"/>
  <c r="W433" i="1"/>
  <c r="S433" i="1"/>
  <c r="J433" i="1"/>
  <c r="W432" i="1"/>
  <c r="S432" i="1"/>
  <c r="J432" i="1"/>
  <c r="W431" i="1"/>
  <c r="S431" i="1"/>
  <c r="J431" i="1"/>
  <c r="W430" i="1"/>
  <c r="S430" i="1"/>
  <c r="J430" i="1"/>
  <c r="AE429" i="1"/>
  <c r="AA429" i="1" s="1"/>
  <c r="W429" i="1"/>
  <c r="S429" i="1"/>
  <c r="J429" i="1"/>
  <c r="D429" i="1"/>
  <c r="A429" i="1" s="1"/>
  <c r="K429" i="1" s="1"/>
  <c r="S428" i="1"/>
  <c r="J428" i="1"/>
  <c r="S427" i="1"/>
  <c r="J427" i="1"/>
  <c r="S426" i="1"/>
  <c r="J426" i="1"/>
  <c r="S425" i="1"/>
  <c r="J425" i="1"/>
  <c r="S424" i="1"/>
  <c r="J424" i="1"/>
  <c r="S423" i="1"/>
  <c r="J423" i="1"/>
  <c r="S422" i="1"/>
  <c r="J422" i="1"/>
  <c r="S421" i="1"/>
  <c r="J421" i="1"/>
  <c r="S420" i="1"/>
  <c r="J420" i="1"/>
  <c r="S419" i="1"/>
  <c r="J419" i="1"/>
  <c r="S418" i="1"/>
  <c r="J418" i="1"/>
  <c r="S417" i="1"/>
  <c r="J417" i="1"/>
  <c r="S416" i="1"/>
  <c r="J416" i="1"/>
  <c r="S415" i="1"/>
  <c r="J415" i="1"/>
  <c r="S414" i="1"/>
  <c r="J414" i="1"/>
  <c r="S413" i="1"/>
  <c r="J413" i="1"/>
  <c r="S412" i="1"/>
  <c r="J412" i="1"/>
  <c r="S411" i="1"/>
  <c r="J411" i="1"/>
  <c r="AE410" i="1"/>
  <c r="AA410" i="1" s="1"/>
  <c r="S410" i="1"/>
  <c r="J410" i="1"/>
  <c r="D410" i="1"/>
  <c r="W409" i="1"/>
  <c r="S409" i="1"/>
  <c r="J409" i="1"/>
  <c r="W408" i="1"/>
  <c r="S408" i="1"/>
  <c r="J408" i="1"/>
  <c r="W407" i="1"/>
  <c r="S407" i="1"/>
  <c r="J407" i="1"/>
  <c r="W406" i="1"/>
  <c r="S406" i="1"/>
  <c r="J406" i="1"/>
  <c r="W405" i="1"/>
  <c r="S405" i="1"/>
  <c r="J405" i="1"/>
  <c r="W404" i="1"/>
  <c r="S404" i="1"/>
  <c r="J404" i="1"/>
  <c r="W403" i="1"/>
  <c r="S403" i="1"/>
  <c r="J403" i="1"/>
  <c r="W402" i="1"/>
  <c r="S402" i="1"/>
  <c r="J402" i="1"/>
  <c r="W401" i="1"/>
  <c r="S401" i="1"/>
  <c r="J401" i="1"/>
  <c r="W400" i="1"/>
  <c r="S400" i="1"/>
  <c r="J400" i="1"/>
  <c r="W399" i="1"/>
  <c r="S399" i="1"/>
  <c r="J399" i="1"/>
  <c r="W398" i="1"/>
  <c r="S398" i="1"/>
  <c r="J398" i="1"/>
  <c r="W397" i="1"/>
  <c r="S397" i="1"/>
  <c r="J397" i="1"/>
  <c r="W396" i="1"/>
  <c r="S396" i="1"/>
  <c r="J396" i="1"/>
  <c r="W395" i="1"/>
  <c r="S395" i="1"/>
  <c r="J395" i="1"/>
  <c r="W394" i="1"/>
  <c r="S394" i="1"/>
  <c r="J394" i="1"/>
  <c r="W393" i="1"/>
  <c r="S393" i="1"/>
  <c r="J393" i="1"/>
  <c r="W392" i="1"/>
  <c r="S392" i="1"/>
  <c r="J392" i="1"/>
  <c r="W391" i="1"/>
  <c r="S391" i="1"/>
  <c r="J391" i="1"/>
  <c r="W390" i="1"/>
  <c r="S390" i="1"/>
  <c r="J390" i="1"/>
  <c r="W389" i="1"/>
  <c r="S389" i="1"/>
  <c r="J389" i="1"/>
  <c r="W388" i="1"/>
  <c r="S388" i="1"/>
  <c r="J388" i="1"/>
  <c r="W387" i="1"/>
  <c r="S387" i="1"/>
  <c r="J387" i="1"/>
  <c r="W386" i="1"/>
  <c r="S386" i="1"/>
  <c r="J386" i="1"/>
  <c r="W385" i="1"/>
  <c r="S385" i="1"/>
  <c r="J385" i="1"/>
  <c r="W384" i="1"/>
  <c r="S384" i="1"/>
  <c r="J384" i="1"/>
  <c r="W383" i="1"/>
  <c r="S383" i="1"/>
  <c r="J383" i="1"/>
  <c r="W382" i="1"/>
  <c r="S382" i="1"/>
  <c r="J382" i="1"/>
  <c r="W381" i="1"/>
  <c r="S381" i="1"/>
  <c r="J381" i="1"/>
  <c r="W380" i="1"/>
  <c r="S380" i="1"/>
  <c r="J380" i="1"/>
  <c r="W379" i="1"/>
  <c r="S379" i="1"/>
  <c r="J379" i="1"/>
  <c r="W378" i="1"/>
  <c r="S378" i="1"/>
  <c r="J378" i="1"/>
  <c r="W377" i="1"/>
  <c r="S377" i="1"/>
  <c r="J377" i="1"/>
  <c r="W376" i="1"/>
  <c r="S376" i="1"/>
  <c r="J376" i="1"/>
  <c r="W375" i="1"/>
  <c r="S375" i="1"/>
  <c r="J375" i="1"/>
  <c r="W374" i="1"/>
  <c r="S374" i="1"/>
  <c r="J374" i="1"/>
  <c r="AE373" i="1"/>
  <c r="AE374" i="1" s="1"/>
  <c r="AA374" i="1" s="1"/>
  <c r="W373" i="1"/>
  <c r="S373" i="1"/>
  <c r="J373" i="1"/>
  <c r="D373" i="1"/>
  <c r="A373" i="1" s="1"/>
  <c r="K373" i="1" s="1"/>
  <c r="W372" i="1"/>
  <c r="S372" i="1"/>
  <c r="J372" i="1"/>
  <c r="W371" i="1"/>
  <c r="S371" i="1"/>
  <c r="J371" i="1"/>
  <c r="W370" i="1"/>
  <c r="S370" i="1"/>
  <c r="J370" i="1"/>
  <c r="W369" i="1"/>
  <c r="S369" i="1"/>
  <c r="J369" i="1"/>
  <c r="W368" i="1"/>
  <c r="S368" i="1"/>
  <c r="J368" i="1"/>
  <c r="W367" i="1"/>
  <c r="S367" i="1"/>
  <c r="J367" i="1"/>
  <c r="W366" i="1"/>
  <c r="S366" i="1"/>
  <c r="J366" i="1"/>
  <c r="W365" i="1"/>
  <c r="S365" i="1"/>
  <c r="J365" i="1"/>
  <c r="W364" i="1"/>
  <c r="S364" i="1"/>
  <c r="J364" i="1"/>
  <c r="W363" i="1"/>
  <c r="S363" i="1"/>
  <c r="J363" i="1"/>
  <c r="W362" i="1"/>
  <c r="S362" i="1"/>
  <c r="J362" i="1"/>
  <c r="W361" i="1"/>
  <c r="S361" i="1"/>
  <c r="J361" i="1"/>
  <c r="W360" i="1"/>
  <c r="S360" i="1"/>
  <c r="J360" i="1"/>
  <c r="W359" i="1"/>
  <c r="S359" i="1"/>
  <c r="J359" i="1"/>
  <c r="W358" i="1"/>
  <c r="S358" i="1"/>
  <c r="J358" i="1"/>
  <c r="W357" i="1"/>
  <c r="S357" i="1"/>
  <c r="J357" i="1"/>
  <c r="W356" i="1"/>
  <c r="S356" i="1"/>
  <c r="J356" i="1"/>
  <c r="W355" i="1"/>
  <c r="S355" i="1"/>
  <c r="J355" i="1"/>
  <c r="W354" i="1"/>
  <c r="S354" i="1"/>
  <c r="J354" i="1"/>
  <c r="W353" i="1"/>
  <c r="S353" i="1"/>
  <c r="J353" i="1"/>
  <c r="W352" i="1"/>
  <c r="S352" i="1"/>
  <c r="J352" i="1"/>
  <c r="W351" i="1"/>
  <c r="S351" i="1"/>
  <c r="J351" i="1"/>
  <c r="W350" i="1"/>
  <c r="S350" i="1"/>
  <c r="J350" i="1"/>
  <c r="W349" i="1"/>
  <c r="S349" i="1"/>
  <c r="J349" i="1"/>
  <c r="W348" i="1"/>
  <c r="S348" i="1"/>
  <c r="J348" i="1"/>
  <c r="W347" i="1"/>
  <c r="S347" i="1"/>
  <c r="J347" i="1"/>
  <c r="W346" i="1"/>
  <c r="S346" i="1"/>
  <c r="J346" i="1"/>
  <c r="W345" i="1"/>
  <c r="S345" i="1"/>
  <c r="J345" i="1"/>
  <c r="W344" i="1"/>
  <c r="S344" i="1"/>
  <c r="J344" i="1"/>
  <c r="AE343" i="1"/>
  <c r="AA343" i="1" s="1"/>
  <c r="W343" i="1"/>
  <c r="S343" i="1"/>
  <c r="J343" i="1"/>
  <c r="D343" i="1"/>
  <c r="A343" i="1" s="1"/>
  <c r="K343" i="1" s="1"/>
  <c r="W342" i="1"/>
  <c r="S342" i="1"/>
  <c r="J342" i="1"/>
  <c r="W341" i="1"/>
  <c r="S341" i="1"/>
  <c r="J341" i="1"/>
  <c r="W340" i="1"/>
  <c r="S340" i="1"/>
  <c r="J340" i="1"/>
  <c r="W339" i="1"/>
  <c r="S339" i="1"/>
  <c r="J339" i="1"/>
  <c r="W338" i="1"/>
  <c r="S338" i="1"/>
  <c r="J338" i="1"/>
  <c r="W337" i="1"/>
  <c r="S337" i="1"/>
  <c r="J337" i="1"/>
  <c r="W336" i="1"/>
  <c r="S336" i="1"/>
  <c r="J336" i="1"/>
  <c r="W335" i="1"/>
  <c r="S335" i="1"/>
  <c r="J335" i="1"/>
  <c r="W334" i="1"/>
  <c r="S334" i="1"/>
  <c r="J334" i="1"/>
  <c r="W333" i="1"/>
  <c r="S333" i="1"/>
  <c r="J333" i="1"/>
  <c r="AE332" i="1"/>
  <c r="AE333" i="1" s="1"/>
  <c r="W332" i="1"/>
  <c r="S332" i="1"/>
  <c r="J332" i="1"/>
  <c r="D332" i="1"/>
  <c r="D333" i="1" s="1"/>
  <c r="D334" i="1" s="1"/>
  <c r="W331" i="1"/>
  <c r="S331" i="1"/>
  <c r="J331" i="1"/>
  <c r="W330" i="1"/>
  <c r="S330" i="1"/>
  <c r="J330" i="1"/>
  <c r="W329" i="1"/>
  <c r="S329" i="1"/>
  <c r="J329" i="1"/>
  <c r="W328" i="1"/>
  <c r="S328" i="1"/>
  <c r="J328" i="1"/>
  <c r="W327" i="1"/>
  <c r="S327" i="1"/>
  <c r="J327" i="1"/>
  <c r="W326" i="1"/>
  <c r="S326" i="1"/>
  <c r="J326" i="1"/>
  <c r="W325" i="1"/>
  <c r="S325" i="1"/>
  <c r="J325" i="1"/>
  <c r="W324" i="1"/>
  <c r="S324" i="1"/>
  <c r="J324" i="1"/>
  <c r="W323" i="1"/>
  <c r="S323" i="1"/>
  <c r="J323" i="1"/>
  <c r="W322" i="1"/>
  <c r="S322" i="1"/>
  <c r="J322" i="1"/>
  <c r="W321" i="1"/>
  <c r="S321" i="1"/>
  <c r="J321" i="1"/>
  <c r="W320" i="1"/>
  <c r="S320" i="1"/>
  <c r="J320" i="1"/>
  <c r="W319" i="1"/>
  <c r="S319" i="1"/>
  <c r="J319" i="1"/>
  <c r="W318" i="1"/>
  <c r="S318" i="1"/>
  <c r="J318" i="1"/>
  <c r="W317" i="1"/>
  <c r="S317" i="1"/>
  <c r="J317" i="1"/>
  <c r="W316" i="1"/>
  <c r="S316" i="1"/>
  <c r="J316" i="1"/>
  <c r="W315" i="1"/>
  <c r="S315" i="1"/>
  <c r="J315" i="1"/>
  <c r="W314" i="1"/>
  <c r="S314" i="1"/>
  <c r="J314" i="1"/>
  <c r="W313" i="1"/>
  <c r="S313" i="1"/>
  <c r="J313" i="1"/>
  <c r="W312" i="1"/>
  <c r="S312" i="1"/>
  <c r="J312" i="1"/>
  <c r="W311" i="1"/>
  <c r="S311" i="1"/>
  <c r="J311" i="1"/>
  <c r="W310" i="1"/>
  <c r="S310" i="1"/>
  <c r="J310" i="1"/>
  <c r="W309" i="1"/>
  <c r="S309" i="1"/>
  <c r="J309" i="1"/>
  <c r="W308" i="1"/>
  <c r="S308" i="1"/>
  <c r="J308" i="1"/>
  <c r="AE307" i="1"/>
  <c r="AE308" i="1" s="1"/>
  <c r="W307" i="1"/>
  <c r="S307" i="1"/>
  <c r="J307" i="1"/>
  <c r="D307" i="1"/>
  <c r="D308" i="1" s="1"/>
  <c r="D309" i="1" s="1"/>
  <c r="P289" i="1"/>
  <c r="S288" i="1"/>
  <c r="L288" i="1"/>
  <c r="J288" i="1"/>
  <c r="A288" i="1"/>
  <c r="K288" i="1" s="1"/>
  <c r="A287" i="1"/>
  <c r="K287" i="1" s="1"/>
  <c r="AA286" i="1"/>
  <c r="W286" i="1"/>
  <c r="S286" i="1"/>
  <c r="J286" i="1"/>
  <c r="P285" i="1"/>
  <c r="AA284" i="1"/>
  <c r="W284" i="1"/>
  <c r="S284" i="1"/>
  <c r="J284" i="1"/>
  <c r="P283" i="1"/>
  <c r="AA282" i="1"/>
  <c r="W282" i="1"/>
  <c r="S282" i="1"/>
  <c r="J282" i="1"/>
  <c r="D282" i="1"/>
  <c r="A282" i="1" s="1"/>
  <c r="K282" i="1" s="1"/>
  <c r="AA281" i="1"/>
  <c r="W281" i="1"/>
  <c r="S281" i="1"/>
  <c r="J281" i="1"/>
  <c r="A281" i="1"/>
  <c r="K281" i="1" s="1"/>
  <c r="AA280" i="1"/>
  <c r="W280" i="1"/>
  <c r="S280" i="1"/>
  <c r="J280" i="1"/>
  <c r="A280" i="1"/>
  <c r="K280" i="1" s="1"/>
  <c r="AA279" i="1"/>
  <c r="W279" i="1"/>
  <c r="S279" i="1"/>
  <c r="J279" i="1"/>
  <c r="P278" i="1"/>
  <c r="AA277" i="1"/>
  <c r="W277" i="1"/>
  <c r="S277" i="1"/>
  <c r="J277" i="1"/>
  <c r="P276" i="1"/>
  <c r="AA275" i="1"/>
  <c r="W275" i="1"/>
  <c r="S275" i="1"/>
  <c r="L275" i="1"/>
  <c r="J275" i="1"/>
  <c r="AA274" i="1"/>
  <c r="W274" i="1"/>
  <c r="S274" i="1"/>
  <c r="L274" i="1"/>
  <c r="J274" i="1"/>
  <c r="AA273" i="1"/>
  <c r="W273" i="1"/>
  <c r="S273" i="1"/>
  <c r="L273" i="1"/>
  <c r="J273" i="1"/>
  <c r="D273" i="1"/>
  <c r="D274" i="1" s="1"/>
  <c r="D275" i="1" s="1"/>
  <c r="A275" i="1" s="1"/>
  <c r="K275" i="1" s="1"/>
  <c r="AA272" i="1"/>
  <c r="W272" i="1"/>
  <c r="S272" i="1"/>
  <c r="L272" i="1"/>
  <c r="J272" i="1"/>
  <c r="A272" i="1"/>
  <c r="W271" i="1"/>
  <c r="S271" i="1"/>
  <c r="L271" i="1"/>
  <c r="J271" i="1"/>
  <c r="W270" i="1"/>
  <c r="S270" i="1"/>
  <c r="L270" i="1"/>
  <c r="J270" i="1"/>
  <c r="W269" i="1"/>
  <c r="S269" i="1"/>
  <c r="L269" i="1"/>
  <c r="J269" i="1"/>
  <c r="W268" i="1"/>
  <c r="S268" i="1"/>
  <c r="L268" i="1"/>
  <c r="J268" i="1"/>
  <c r="W267" i="1"/>
  <c r="S267" i="1"/>
  <c r="L267" i="1"/>
  <c r="J267" i="1"/>
  <c r="W266" i="1"/>
  <c r="S266" i="1"/>
  <c r="L266" i="1"/>
  <c r="J266" i="1"/>
  <c r="W265" i="1"/>
  <c r="S265" i="1"/>
  <c r="L265" i="1"/>
  <c r="J265" i="1"/>
  <c r="W264" i="1"/>
  <c r="S264" i="1"/>
  <c r="L264" i="1"/>
  <c r="J264" i="1"/>
  <c r="W263" i="1"/>
  <c r="S263" i="1"/>
  <c r="L263" i="1"/>
  <c r="J263" i="1"/>
  <c r="D263" i="1"/>
  <c r="D264" i="1" s="1"/>
  <c r="W262" i="1"/>
  <c r="S262" i="1"/>
  <c r="L262" i="1"/>
  <c r="J262" i="1"/>
  <c r="W261" i="1"/>
  <c r="S261" i="1"/>
  <c r="L261" i="1"/>
  <c r="J261" i="1"/>
  <c r="W260" i="1"/>
  <c r="S260" i="1"/>
  <c r="L260" i="1"/>
  <c r="J260" i="1"/>
  <c r="W259" i="1"/>
  <c r="S259" i="1"/>
  <c r="L259" i="1"/>
  <c r="J259" i="1"/>
  <c r="W258" i="1"/>
  <c r="S258" i="1"/>
  <c r="L258" i="1"/>
  <c r="J258" i="1"/>
  <c r="W257" i="1"/>
  <c r="S257" i="1"/>
  <c r="L257" i="1"/>
  <c r="J257" i="1"/>
  <c r="W256" i="1"/>
  <c r="S256" i="1"/>
  <c r="L256" i="1"/>
  <c r="J256" i="1"/>
  <c r="W255" i="1"/>
  <c r="S255" i="1"/>
  <c r="L255" i="1"/>
  <c r="J255" i="1"/>
  <c r="W254" i="1"/>
  <c r="S254" i="1"/>
  <c r="L254" i="1"/>
  <c r="J254" i="1"/>
  <c r="D254" i="1"/>
  <c r="A254" i="1" s="1"/>
  <c r="M255" i="1" s="1"/>
  <c r="P255" i="1" s="1"/>
  <c r="W253" i="1"/>
  <c r="S253" i="1"/>
  <c r="L253" i="1"/>
  <c r="J253" i="1"/>
  <c r="W252" i="1"/>
  <c r="S252" i="1"/>
  <c r="L252" i="1"/>
  <c r="J252" i="1"/>
  <c r="W251" i="1"/>
  <c r="S251" i="1"/>
  <c r="L251" i="1"/>
  <c r="J251" i="1"/>
  <c r="W250" i="1"/>
  <c r="S250" i="1"/>
  <c r="L250" i="1"/>
  <c r="J250" i="1"/>
  <c r="W249" i="1"/>
  <c r="S249" i="1"/>
  <c r="L249" i="1"/>
  <c r="J249" i="1"/>
  <c r="W248" i="1"/>
  <c r="S248" i="1"/>
  <c r="L248" i="1"/>
  <c r="J248" i="1"/>
  <c r="W247" i="1"/>
  <c r="S247" i="1"/>
  <c r="L247" i="1"/>
  <c r="J247" i="1"/>
  <c r="W246" i="1"/>
  <c r="S246" i="1"/>
  <c r="L246" i="1"/>
  <c r="J246" i="1"/>
  <c r="D246" i="1"/>
  <c r="A246" i="1" s="1"/>
  <c r="W245" i="1"/>
  <c r="S245" i="1"/>
  <c r="L245" i="1"/>
  <c r="J245" i="1"/>
  <c r="W244" i="1"/>
  <c r="S244" i="1"/>
  <c r="L244" i="1"/>
  <c r="J244" i="1"/>
  <c r="W243" i="1"/>
  <c r="S243" i="1"/>
  <c r="L243" i="1"/>
  <c r="J243" i="1"/>
  <c r="W242" i="1"/>
  <c r="S242" i="1"/>
  <c r="L242" i="1"/>
  <c r="J242" i="1"/>
  <c r="W241" i="1"/>
  <c r="S241" i="1"/>
  <c r="L241" i="1"/>
  <c r="J241" i="1"/>
  <c r="W240" i="1"/>
  <c r="S240" i="1"/>
  <c r="L240" i="1"/>
  <c r="J240" i="1"/>
  <c r="W239" i="1"/>
  <c r="S239" i="1"/>
  <c r="L239" i="1"/>
  <c r="J239" i="1"/>
  <c r="W238" i="1"/>
  <c r="S238" i="1"/>
  <c r="L238" i="1"/>
  <c r="J238" i="1"/>
  <c r="W237" i="1"/>
  <c r="S237" i="1"/>
  <c r="L237" i="1"/>
  <c r="J237" i="1"/>
  <c r="W236" i="1"/>
  <c r="S236" i="1"/>
  <c r="L236" i="1"/>
  <c r="J236" i="1"/>
  <c r="D236" i="1"/>
  <c r="D237" i="1" s="1"/>
  <c r="D238" i="1" s="1"/>
  <c r="W235" i="1"/>
  <c r="S235" i="1"/>
  <c r="L235" i="1"/>
  <c r="J235" i="1"/>
  <c r="W234" i="1"/>
  <c r="S234" i="1"/>
  <c r="L234" i="1"/>
  <c r="J234" i="1"/>
  <c r="W233" i="1"/>
  <c r="S233" i="1"/>
  <c r="L233" i="1"/>
  <c r="J233" i="1"/>
  <c r="W232" i="1"/>
  <c r="S232" i="1"/>
  <c r="L232" i="1"/>
  <c r="J232" i="1"/>
  <c r="W231" i="1"/>
  <c r="S231" i="1"/>
  <c r="L231" i="1"/>
  <c r="J231" i="1"/>
  <c r="W230" i="1"/>
  <c r="S230" i="1"/>
  <c r="L230" i="1"/>
  <c r="J230" i="1"/>
  <c r="W229" i="1"/>
  <c r="S229" i="1"/>
  <c r="L229" i="1"/>
  <c r="J229" i="1"/>
  <c r="W228" i="1"/>
  <c r="S228" i="1"/>
  <c r="L228" i="1"/>
  <c r="J228" i="1"/>
  <c r="W227" i="1"/>
  <c r="S227" i="1"/>
  <c r="L227" i="1"/>
  <c r="J227" i="1"/>
  <c r="D227" i="1"/>
  <c r="D228" i="1" s="1"/>
  <c r="D229" i="1" s="1"/>
  <c r="W226" i="1"/>
  <c r="S226" i="1"/>
  <c r="L226" i="1"/>
  <c r="J226" i="1"/>
  <c r="W225" i="1"/>
  <c r="S225" i="1"/>
  <c r="L225" i="1"/>
  <c r="J225" i="1"/>
  <c r="W224" i="1"/>
  <c r="S224" i="1"/>
  <c r="L224" i="1"/>
  <c r="J224" i="1"/>
  <c r="W223" i="1"/>
  <c r="S223" i="1"/>
  <c r="L223" i="1"/>
  <c r="J223" i="1"/>
  <c r="W222" i="1"/>
  <c r="S222" i="1"/>
  <c r="L222" i="1"/>
  <c r="J222" i="1"/>
  <c r="W221" i="1"/>
  <c r="S221" i="1"/>
  <c r="L221" i="1"/>
  <c r="J221" i="1"/>
  <c r="W220" i="1"/>
  <c r="S220" i="1"/>
  <c r="L220" i="1"/>
  <c r="J220" i="1"/>
  <c r="W219" i="1"/>
  <c r="S219" i="1"/>
  <c r="L219" i="1"/>
  <c r="J219" i="1"/>
  <c r="W218" i="1"/>
  <c r="S218" i="1"/>
  <c r="L218" i="1"/>
  <c r="J218" i="1"/>
  <c r="D218" i="1"/>
  <c r="A218" i="1" s="1"/>
  <c r="W217" i="1"/>
  <c r="S217" i="1"/>
  <c r="L217" i="1"/>
  <c r="J217" i="1"/>
  <c r="W216" i="1"/>
  <c r="S216" i="1"/>
  <c r="L216" i="1"/>
  <c r="J216" i="1"/>
  <c r="W215" i="1"/>
  <c r="S215" i="1"/>
  <c r="L215" i="1"/>
  <c r="J215" i="1"/>
  <c r="W214" i="1"/>
  <c r="S214" i="1"/>
  <c r="L214" i="1"/>
  <c r="J214" i="1"/>
  <c r="W213" i="1"/>
  <c r="S213" i="1"/>
  <c r="L213" i="1"/>
  <c r="J213" i="1"/>
  <c r="W212" i="1"/>
  <c r="S212" i="1"/>
  <c r="L212" i="1"/>
  <c r="J212" i="1"/>
  <c r="W211" i="1"/>
  <c r="S211" i="1"/>
  <c r="L211" i="1"/>
  <c r="J211" i="1"/>
  <c r="W210" i="1"/>
  <c r="S210" i="1"/>
  <c r="L210" i="1"/>
  <c r="J210" i="1"/>
  <c r="W209" i="1"/>
  <c r="S209" i="1"/>
  <c r="L209" i="1"/>
  <c r="J209" i="1"/>
  <c r="D209" i="1"/>
  <c r="D210" i="1" s="1"/>
  <c r="W208" i="1"/>
  <c r="S208" i="1"/>
  <c r="L208" i="1"/>
  <c r="J208" i="1"/>
  <c r="W207" i="1"/>
  <c r="S207" i="1"/>
  <c r="L207" i="1"/>
  <c r="J207" i="1"/>
  <c r="W206" i="1"/>
  <c r="S206" i="1"/>
  <c r="L206" i="1"/>
  <c r="J206" i="1"/>
  <c r="W205" i="1"/>
  <c r="S205" i="1"/>
  <c r="L205" i="1"/>
  <c r="J205" i="1"/>
  <c r="W204" i="1"/>
  <c r="S204" i="1"/>
  <c r="L204" i="1"/>
  <c r="J204" i="1"/>
  <c r="W203" i="1"/>
  <c r="S203" i="1"/>
  <c r="L203" i="1"/>
  <c r="J203" i="1"/>
  <c r="W202" i="1"/>
  <c r="S202" i="1"/>
  <c r="L202" i="1"/>
  <c r="J202" i="1"/>
  <c r="W201" i="1"/>
  <c r="S201" i="1"/>
  <c r="L201" i="1"/>
  <c r="J201" i="1"/>
  <c r="W200" i="1"/>
  <c r="S200" i="1"/>
  <c r="L200" i="1"/>
  <c r="J200" i="1"/>
  <c r="D200" i="1"/>
  <c r="W199" i="1"/>
  <c r="S199" i="1"/>
  <c r="L199" i="1"/>
  <c r="J199" i="1"/>
  <c r="W198" i="1"/>
  <c r="S198" i="1"/>
  <c r="L198" i="1"/>
  <c r="J198" i="1"/>
  <c r="W197" i="1"/>
  <c r="S197" i="1"/>
  <c r="L197" i="1"/>
  <c r="J197" i="1"/>
  <c r="W196" i="1"/>
  <c r="S196" i="1"/>
  <c r="L196" i="1"/>
  <c r="J196" i="1"/>
  <c r="W195" i="1"/>
  <c r="S195" i="1"/>
  <c r="L195" i="1"/>
  <c r="J195" i="1"/>
  <c r="W194" i="1"/>
  <c r="S194" i="1"/>
  <c r="L194" i="1"/>
  <c r="J194" i="1"/>
  <c r="W193" i="1"/>
  <c r="S193" i="1"/>
  <c r="L193" i="1"/>
  <c r="J193" i="1"/>
  <c r="W192" i="1"/>
  <c r="S192" i="1"/>
  <c r="L192" i="1"/>
  <c r="J192" i="1"/>
  <c r="W191" i="1"/>
  <c r="S191" i="1"/>
  <c r="L191" i="1"/>
  <c r="J191" i="1"/>
  <c r="W190" i="1"/>
  <c r="S190" i="1"/>
  <c r="L190" i="1"/>
  <c r="J190" i="1"/>
  <c r="D190" i="1"/>
  <c r="A190" i="1" s="1"/>
  <c r="W189" i="1"/>
  <c r="S189" i="1"/>
  <c r="L189" i="1"/>
  <c r="J189" i="1"/>
  <c r="W188" i="1"/>
  <c r="S188" i="1"/>
  <c r="L188" i="1"/>
  <c r="J188" i="1"/>
  <c r="W187" i="1"/>
  <c r="S187" i="1"/>
  <c r="L187" i="1"/>
  <c r="J187" i="1"/>
  <c r="W186" i="1"/>
  <c r="S186" i="1"/>
  <c r="L186" i="1"/>
  <c r="J186" i="1"/>
  <c r="W185" i="1"/>
  <c r="S185" i="1"/>
  <c r="L185" i="1"/>
  <c r="J185" i="1"/>
  <c r="W184" i="1"/>
  <c r="S184" i="1"/>
  <c r="L184" i="1"/>
  <c r="J184" i="1"/>
  <c r="W183" i="1"/>
  <c r="S183" i="1"/>
  <c r="L183" i="1"/>
  <c r="J183" i="1"/>
  <c r="W182" i="1"/>
  <c r="S182" i="1"/>
  <c r="L182" i="1"/>
  <c r="J182" i="1"/>
  <c r="D182" i="1"/>
  <c r="A182" i="1" s="1"/>
  <c r="W181" i="1"/>
  <c r="S181" i="1"/>
  <c r="L181" i="1"/>
  <c r="J181" i="1"/>
  <c r="W180" i="1"/>
  <c r="S180" i="1"/>
  <c r="L180" i="1"/>
  <c r="J180" i="1"/>
  <c r="W179" i="1"/>
  <c r="S179" i="1"/>
  <c r="L179" i="1"/>
  <c r="J179" i="1"/>
  <c r="W178" i="1"/>
  <c r="S178" i="1"/>
  <c r="L178" i="1"/>
  <c r="J178" i="1"/>
  <c r="W177" i="1"/>
  <c r="S177" i="1"/>
  <c r="L177" i="1"/>
  <c r="J177" i="1"/>
  <c r="W176" i="1"/>
  <c r="S176" i="1"/>
  <c r="L176" i="1"/>
  <c r="J176" i="1"/>
  <c r="W175" i="1"/>
  <c r="S175" i="1"/>
  <c r="L175" i="1"/>
  <c r="J175" i="1"/>
  <c r="W174" i="1"/>
  <c r="S174" i="1"/>
  <c r="L174" i="1"/>
  <c r="J174" i="1"/>
  <c r="W173" i="1"/>
  <c r="S173" i="1"/>
  <c r="L173" i="1"/>
  <c r="J173" i="1"/>
  <c r="D173" i="1"/>
  <c r="W172" i="1"/>
  <c r="S172" i="1"/>
  <c r="L172" i="1"/>
  <c r="J172" i="1"/>
  <c r="W171" i="1"/>
  <c r="S171" i="1"/>
  <c r="L171" i="1"/>
  <c r="J171" i="1"/>
  <c r="W170" i="1"/>
  <c r="S170" i="1"/>
  <c r="L170" i="1"/>
  <c r="J170" i="1"/>
  <c r="W169" i="1"/>
  <c r="S169" i="1"/>
  <c r="L169" i="1"/>
  <c r="J169" i="1"/>
  <c r="W168" i="1"/>
  <c r="S168" i="1"/>
  <c r="L168" i="1"/>
  <c r="J168" i="1"/>
  <c r="W167" i="1"/>
  <c r="S167" i="1"/>
  <c r="L167" i="1"/>
  <c r="J167" i="1"/>
  <c r="W166" i="1"/>
  <c r="S166" i="1"/>
  <c r="L166" i="1"/>
  <c r="J166" i="1"/>
  <c r="W165" i="1"/>
  <c r="S165" i="1"/>
  <c r="L165" i="1"/>
  <c r="J165" i="1"/>
  <c r="W164" i="1"/>
  <c r="S164" i="1"/>
  <c r="L164" i="1"/>
  <c r="J164" i="1"/>
  <c r="W163" i="1"/>
  <c r="S163" i="1"/>
  <c r="L163" i="1"/>
  <c r="J163" i="1"/>
  <c r="W162" i="1"/>
  <c r="S162" i="1"/>
  <c r="L162" i="1"/>
  <c r="J162" i="1"/>
  <c r="W161" i="1"/>
  <c r="S161" i="1"/>
  <c r="L161" i="1"/>
  <c r="J161" i="1"/>
  <c r="W160" i="1"/>
  <c r="S160" i="1"/>
  <c r="L160" i="1"/>
  <c r="J160" i="1"/>
  <c r="W159" i="1"/>
  <c r="S159" i="1"/>
  <c r="L159" i="1"/>
  <c r="J159" i="1"/>
  <c r="W158" i="1"/>
  <c r="S158" i="1"/>
  <c r="L158" i="1"/>
  <c r="J158" i="1"/>
  <c r="W157" i="1"/>
  <c r="S157" i="1"/>
  <c r="L157" i="1"/>
  <c r="J157" i="1"/>
  <c r="W156" i="1"/>
  <c r="S156" i="1"/>
  <c r="L156" i="1"/>
  <c r="J156" i="1"/>
  <c r="W155" i="1"/>
  <c r="S155" i="1"/>
  <c r="L155" i="1"/>
  <c r="J155" i="1"/>
  <c r="S154" i="1"/>
  <c r="L154" i="1"/>
  <c r="J154" i="1"/>
  <c r="D154" i="1"/>
  <c r="D155" i="1" s="1"/>
  <c r="A155" i="1" s="1"/>
  <c r="K155" i="1" s="1"/>
  <c r="W153" i="1"/>
  <c r="S153" i="1"/>
  <c r="L153" i="1"/>
  <c r="J153" i="1"/>
  <c r="W152" i="1"/>
  <c r="S152" i="1"/>
  <c r="L152" i="1"/>
  <c r="J152" i="1"/>
  <c r="W151" i="1"/>
  <c r="S151" i="1"/>
  <c r="L151" i="1"/>
  <c r="J151" i="1"/>
  <c r="W150" i="1"/>
  <c r="S150" i="1"/>
  <c r="L150" i="1"/>
  <c r="J150" i="1"/>
  <c r="W149" i="1"/>
  <c r="S149" i="1"/>
  <c r="L149" i="1"/>
  <c r="J149" i="1"/>
  <c r="W148" i="1"/>
  <c r="S148" i="1"/>
  <c r="L148" i="1"/>
  <c r="J148" i="1"/>
  <c r="W147" i="1"/>
  <c r="S147" i="1"/>
  <c r="L147" i="1"/>
  <c r="J147" i="1"/>
  <c r="W146" i="1"/>
  <c r="S146" i="1"/>
  <c r="L146" i="1"/>
  <c r="J146" i="1"/>
  <c r="W145" i="1"/>
  <c r="S145" i="1"/>
  <c r="L145" i="1"/>
  <c r="J145" i="1"/>
  <c r="W144" i="1"/>
  <c r="S144" i="1"/>
  <c r="L144" i="1"/>
  <c r="J144" i="1"/>
  <c r="W143" i="1"/>
  <c r="S143" i="1"/>
  <c r="L143" i="1"/>
  <c r="J143" i="1"/>
  <c r="W142" i="1"/>
  <c r="S142" i="1"/>
  <c r="L142" i="1"/>
  <c r="J142" i="1"/>
  <c r="D142" i="1"/>
  <c r="A142" i="1" s="1"/>
  <c r="M143" i="1" s="1"/>
  <c r="P143" i="1" s="1"/>
  <c r="W141" i="1"/>
  <c r="S141" i="1"/>
  <c r="L141" i="1"/>
  <c r="J141" i="1"/>
  <c r="W140" i="1"/>
  <c r="S140" i="1"/>
  <c r="L140" i="1"/>
  <c r="J140" i="1"/>
  <c r="W139" i="1"/>
  <c r="S139" i="1"/>
  <c r="L139" i="1"/>
  <c r="J139" i="1"/>
  <c r="W138" i="1"/>
  <c r="S138" i="1"/>
  <c r="L138" i="1"/>
  <c r="J138" i="1"/>
  <c r="W137" i="1"/>
  <c r="S137" i="1"/>
  <c r="L137" i="1"/>
  <c r="J137" i="1"/>
  <c r="W136" i="1"/>
  <c r="S136" i="1"/>
  <c r="L136" i="1"/>
  <c r="J136" i="1"/>
  <c r="W135" i="1"/>
  <c r="S135" i="1"/>
  <c r="L135" i="1"/>
  <c r="J135" i="1"/>
  <c r="W134" i="1"/>
  <c r="S134" i="1"/>
  <c r="L134" i="1"/>
  <c r="J134" i="1"/>
  <c r="W133" i="1"/>
  <c r="S133" i="1"/>
  <c r="L133" i="1"/>
  <c r="J133" i="1"/>
  <c r="D133" i="1"/>
  <c r="D134" i="1" s="1"/>
  <c r="D135" i="1" s="1"/>
  <c r="W132" i="1"/>
  <c r="S132" i="1"/>
  <c r="L132" i="1"/>
  <c r="J132" i="1"/>
  <c r="W131" i="1"/>
  <c r="S131" i="1"/>
  <c r="L131" i="1"/>
  <c r="J131" i="1"/>
  <c r="W130" i="1"/>
  <c r="S130" i="1"/>
  <c r="L130" i="1"/>
  <c r="J130" i="1"/>
  <c r="AE129" i="1"/>
  <c r="AA129" i="1" s="1"/>
  <c r="W129" i="1"/>
  <c r="S129" i="1"/>
  <c r="L129" i="1"/>
  <c r="J129" i="1"/>
  <c r="W128" i="1"/>
  <c r="S128" i="1"/>
  <c r="L128" i="1"/>
  <c r="J128" i="1"/>
  <c r="W127" i="1"/>
  <c r="S127" i="1"/>
  <c r="L127" i="1"/>
  <c r="J127" i="1"/>
  <c r="W126" i="1"/>
  <c r="S126" i="1"/>
  <c r="L126" i="1"/>
  <c r="J126" i="1"/>
  <c r="W125" i="1"/>
  <c r="S125" i="1"/>
  <c r="L125" i="1"/>
  <c r="J125" i="1"/>
  <c r="W124" i="1"/>
  <c r="S124" i="1"/>
  <c r="L124" i="1"/>
  <c r="J124" i="1"/>
  <c r="W123" i="1"/>
  <c r="S123" i="1"/>
  <c r="L123" i="1"/>
  <c r="J123" i="1"/>
  <c r="D123" i="1"/>
  <c r="D124" i="1" s="1"/>
  <c r="W122" i="1"/>
  <c r="S122" i="1"/>
  <c r="L122" i="1"/>
  <c r="J122" i="1"/>
  <c r="W121" i="1"/>
  <c r="S121" i="1"/>
  <c r="L121" i="1"/>
  <c r="J121" i="1"/>
  <c r="W120" i="1"/>
  <c r="S120" i="1"/>
  <c r="L120" i="1"/>
  <c r="J120" i="1"/>
  <c r="W119" i="1"/>
  <c r="S119" i="1"/>
  <c r="L119" i="1"/>
  <c r="J119" i="1"/>
  <c r="W118" i="1"/>
  <c r="S118" i="1"/>
  <c r="L118" i="1"/>
  <c r="J118" i="1"/>
  <c r="W117" i="1"/>
  <c r="S117" i="1"/>
  <c r="L117" i="1"/>
  <c r="J117" i="1"/>
  <c r="W116" i="1"/>
  <c r="S116" i="1"/>
  <c r="L116" i="1"/>
  <c r="J116" i="1"/>
  <c r="W115" i="1"/>
  <c r="S115" i="1"/>
  <c r="L115" i="1"/>
  <c r="J115" i="1"/>
  <c r="W114" i="1"/>
  <c r="S114" i="1"/>
  <c r="L114" i="1"/>
  <c r="J114" i="1"/>
  <c r="W113" i="1"/>
  <c r="S113" i="1"/>
  <c r="L113" i="1"/>
  <c r="J113" i="1"/>
  <c r="W112" i="1"/>
  <c r="S112" i="1"/>
  <c r="L112" i="1"/>
  <c r="J112" i="1"/>
  <c r="D112" i="1"/>
  <c r="D113" i="1" s="1"/>
  <c r="W111" i="1"/>
  <c r="S111" i="1"/>
  <c r="L111" i="1"/>
  <c r="J111" i="1"/>
  <c r="S110" i="1"/>
  <c r="L110" i="1"/>
  <c r="J110" i="1"/>
  <c r="W109" i="1"/>
  <c r="S109" i="1"/>
  <c r="L109" i="1"/>
  <c r="J109" i="1"/>
  <c r="W108" i="1"/>
  <c r="S108" i="1"/>
  <c r="L108" i="1"/>
  <c r="J108" i="1"/>
  <c r="W107" i="1"/>
  <c r="S107" i="1"/>
  <c r="L107" i="1"/>
  <c r="J107" i="1"/>
  <c r="W106" i="1"/>
  <c r="S106" i="1"/>
  <c r="L106" i="1"/>
  <c r="J106" i="1"/>
  <c r="W105" i="1"/>
  <c r="S105" i="1"/>
  <c r="L105" i="1"/>
  <c r="J105" i="1"/>
  <c r="W104" i="1"/>
  <c r="S104" i="1"/>
  <c r="L104" i="1"/>
  <c r="J104" i="1"/>
  <c r="W103" i="1"/>
  <c r="S103" i="1"/>
  <c r="L103" i="1"/>
  <c r="J103" i="1"/>
  <c r="W102" i="1"/>
  <c r="S102" i="1"/>
  <c r="L102" i="1"/>
  <c r="J102" i="1"/>
  <c r="W101" i="1"/>
  <c r="S101" i="1"/>
  <c r="L101" i="1"/>
  <c r="J101" i="1"/>
  <c r="W100" i="1"/>
  <c r="S100" i="1"/>
  <c r="L100" i="1"/>
  <c r="J100" i="1"/>
  <c r="W99" i="1"/>
  <c r="S99" i="1"/>
  <c r="L99" i="1"/>
  <c r="J99" i="1"/>
  <c r="S98" i="1"/>
  <c r="L98" i="1"/>
  <c r="J98" i="1"/>
  <c r="S97" i="1"/>
  <c r="L97" i="1"/>
  <c r="J97" i="1"/>
  <c r="D97" i="1"/>
  <c r="D98" i="1" s="1"/>
  <c r="W96" i="1"/>
  <c r="S96" i="1"/>
  <c r="L96" i="1"/>
  <c r="J96" i="1"/>
  <c r="S95" i="1"/>
  <c r="L95" i="1"/>
  <c r="J95" i="1"/>
  <c r="W94" i="1"/>
  <c r="S94" i="1"/>
  <c r="L94" i="1"/>
  <c r="J94" i="1"/>
  <c r="W93" i="1"/>
  <c r="S93" i="1"/>
  <c r="L93" i="1"/>
  <c r="J93" i="1"/>
  <c r="W92" i="1"/>
  <c r="S92" i="1"/>
  <c r="L92" i="1"/>
  <c r="J92" i="1"/>
  <c r="W91" i="1"/>
  <c r="S91" i="1"/>
  <c r="L91" i="1"/>
  <c r="J91" i="1"/>
  <c r="W90" i="1"/>
  <c r="S90" i="1"/>
  <c r="L90" i="1"/>
  <c r="J90" i="1"/>
  <c r="W89" i="1"/>
  <c r="S89" i="1"/>
  <c r="L89" i="1"/>
  <c r="J89" i="1"/>
  <c r="W88" i="1"/>
  <c r="S88" i="1"/>
  <c r="L88" i="1"/>
  <c r="J88" i="1"/>
  <c r="AE87" i="1"/>
  <c r="AA87" i="1" s="1"/>
  <c r="S87" i="1"/>
  <c r="L87" i="1"/>
  <c r="J87" i="1"/>
  <c r="W86" i="1"/>
  <c r="S86" i="1"/>
  <c r="L86" i="1"/>
  <c r="J86" i="1"/>
  <c r="W85" i="1"/>
  <c r="S85" i="1"/>
  <c r="L85" i="1"/>
  <c r="J85" i="1"/>
  <c r="D85" i="1"/>
  <c r="D86" i="1" s="1"/>
  <c r="AA84" i="1"/>
  <c r="W84" i="1"/>
  <c r="S84" i="1"/>
  <c r="L84" i="1"/>
  <c r="J84" i="1"/>
  <c r="W83" i="1"/>
  <c r="S83" i="1"/>
  <c r="L83" i="1"/>
  <c r="J83" i="1"/>
  <c r="W82" i="1"/>
  <c r="S82" i="1"/>
  <c r="L82" i="1"/>
  <c r="J82" i="1"/>
  <c r="S81" i="1"/>
  <c r="L81" i="1"/>
  <c r="J81" i="1"/>
  <c r="W80" i="1"/>
  <c r="S80" i="1"/>
  <c r="L80" i="1"/>
  <c r="J80" i="1"/>
  <c r="S79" i="1"/>
  <c r="L79" i="1"/>
  <c r="J79" i="1"/>
  <c r="W78" i="1"/>
  <c r="S78" i="1"/>
  <c r="L78" i="1"/>
  <c r="J78" i="1"/>
  <c r="S77" i="1"/>
  <c r="L77" i="1"/>
  <c r="J77" i="1"/>
  <c r="W76" i="1"/>
  <c r="S76" i="1"/>
  <c r="L76" i="1"/>
  <c r="J76" i="1"/>
  <c r="W75" i="1"/>
  <c r="S75" i="1"/>
  <c r="L75" i="1"/>
  <c r="J75" i="1"/>
  <c r="W74" i="1"/>
  <c r="S74" i="1"/>
  <c r="L74" i="1"/>
  <c r="J74" i="1"/>
  <c r="W73" i="1"/>
  <c r="S73" i="1"/>
  <c r="L73" i="1"/>
  <c r="J73" i="1"/>
  <c r="W72" i="1"/>
  <c r="S72" i="1"/>
  <c r="L72" i="1"/>
  <c r="J72" i="1"/>
  <c r="W71" i="1"/>
  <c r="S71" i="1"/>
  <c r="L71" i="1"/>
  <c r="J71" i="1"/>
  <c r="S70" i="1"/>
  <c r="L70" i="1"/>
  <c r="J70" i="1"/>
  <c r="D70" i="1"/>
  <c r="A70" i="1" s="1"/>
  <c r="K70" i="1" s="1"/>
  <c r="S69" i="1"/>
  <c r="L69" i="1"/>
  <c r="J69" i="1"/>
  <c r="A69" i="1"/>
  <c r="M71" i="1" s="1"/>
  <c r="P71" i="1" s="1"/>
  <c r="L65" i="1"/>
  <c r="A65" i="1"/>
  <c r="W67" i="1"/>
  <c r="S67" i="1"/>
  <c r="L64" i="1"/>
  <c r="J67" i="1"/>
  <c r="A64" i="1"/>
  <c r="M65" i="1" s="1"/>
  <c r="S66" i="1"/>
  <c r="J66" i="1"/>
  <c r="M64" i="1"/>
  <c r="S65" i="1"/>
  <c r="L62" i="1"/>
  <c r="J65" i="1"/>
  <c r="S64" i="1"/>
  <c r="L61" i="1"/>
  <c r="J64" i="1"/>
  <c r="L60" i="1"/>
  <c r="S62" i="1"/>
  <c r="L59" i="1"/>
  <c r="J62" i="1"/>
  <c r="D59" i="1"/>
  <c r="A59" i="1" s="1"/>
  <c r="W61" i="1"/>
  <c r="S61" i="1"/>
  <c r="L58" i="1"/>
  <c r="J61" i="1"/>
  <c r="A58" i="1"/>
  <c r="M59" i="1" s="1"/>
  <c r="S60" i="1"/>
  <c r="L57" i="1"/>
  <c r="J60" i="1"/>
  <c r="A57" i="1"/>
  <c r="M58" i="1" s="1"/>
  <c r="S59" i="1"/>
  <c r="L56" i="1"/>
  <c r="J59" i="1"/>
  <c r="A56" i="1"/>
  <c r="M57" i="1" s="1"/>
  <c r="S58" i="1"/>
  <c r="L55" i="1"/>
  <c r="J58" i="1"/>
  <c r="A55" i="1"/>
  <c r="S57" i="1"/>
  <c r="J57" i="1"/>
  <c r="M55" i="1"/>
  <c r="S56" i="1"/>
  <c r="L53" i="1"/>
  <c r="J56" i="1"/>
  <c r="A53" i="1"/>
  <c r="S55" i="1"/>
  <c r="L52" i="1"/>
  <c r="J55" i="1"/>
  <c r="A52" i="1"/>
  <c r="M53" i="1" s="1"/>
  <c r="L51" i="1"/>
  <c r="A51" i="1"/>
  <c r="M52" i="1" s="1"/>
  <c r="S53" i="1"/>
  <c r="L50" i="1"/>
  <c r="J53" i="1"/>
  <c r="A50" i="1"/>
  <c r="M51" i="1" s="1"/>
  <c r="S52" i="1"/>
  <c r="L49" i="1"/>
  <c r="J52" i="1"/>
  <c r="A49" i="1"/>
  <c r="M50" i="1" s="1"/>
  <c r="S51" i="1"/>
  <c r="L48" i="1"/>
  <c r="J51" i="1"/>
  <c r="A48" i="1"/>
  <c r="M49" i="1" s="1"/>
  <c r="S50" i="1"/>
  <c r="L47" i="1"/>
  <c r="J50" i="1"/>
  <c r="A47" i="1"/>
  <c r="M48" i="1" s="1"/>
  <c r="S49" i="1"/>
  <c r="L46" i="1"/>
  <c r="J49" i="1"/>
  <c r="A46" i="1"/>
  <c r="M47" i="1" s="1"/>
  <c r="S48" i="1"/>
  <c r="L45" i="1"/>
  <c r="J48" i="1"/>
  <c r="A45" i="1"/>
  <c r="M46" i="1" s="1"/>
  <c r="S47" i="1"/>
  <c r="L44" i="1"/>
  <c r="J47" i="1"/>
  <c r="A44" i="1"/>
  <c r="M45" i="1" s="1"/>
  <c r="S46" i="1"/>
  <c r="L43" i="1"/>
  <c r="J46" i="1"/>
  <c r="A43" i="1"/>
  <c r="M44" i="1" s="1"/>
  <c r="S45" i="1"/>
  <c r="L42" i="1"/>
  <c r="J45" i="1"/>
  <c r="A42" i="1"/>
  <c r="M43" i="1" s="1"/>
  <c r="S44" i="1"/>
  <c r="L40" i="1"/>
  <c r="J44" i="1"/>
  <c r="A40" i="1"/>
  <c r="M42" i="1" s="1"/>
  <c r="S43" i="1"/>
  <c r="L39" i="1"/>
  <c r="J43" i="1"/>
  <c r="A39" i="1"/>
  <c r="M40" i="1" s="1"/>
  <c r="S42" i="1"/>
  <c r="L38" i="1"/>
  <c r="J42" i="1"/>
  <c r="A38" i="1"/>
  <c r="M39" i="1" s="1"/>
  <c r="S40" i="1"/>
  <c r="L37" i="1"/>
  <c r="J40" i="1"/>
  <c r="A37" i="1"/>
  <c r="M38" i="1" s="1"/>
  <c r="S39" i="1"/>
  <c r="L36" i="1"/>
  <c r="J39" i="1"/>
  <c r="A36" i="1"/>
  <c r="M37" i="1" s="1"/>
  <c r="S38" i="1"/>
  <c r="J38" i="1"/>
  <c r="A35" i="1"/>
  <c r="M36" i="1" s="1"/>
  <c r="S37" i="1"/>
  <c r="J37" i="1"/>
  <c r="A34" i="1"/>
  <c r="M35" i="1" s="1"/>
  <c r="S36" i="1"/>
  <c r="J36" i="1"/>
  <c r="A33" i="1"/>
  <c r="M34" i="1" s="1"/>
  <c r="S35" i="1"/>
  <c r="L41" i="1"/>
  <c r="J35" i="1"/>
  <c r="A41" i="1"/>
  <c r="S34" i="1"/>
  <c r="J34" i="1"/>
  <c r="A32" i="1"/>
  <c r="S33" i="1"/>
  <c r="J33" i="1"/>
  <c r="A31" i="1"/>
  <c r="M32" i="1" s="1"/>
  <c r="W41" i="1"/>
  <c r="S41" i="1"/>
  <c r="J41" i="1"/>
  <c r="A30" i="1"/>
  <c r="M31" i="1" s="1"/>
  <c r="S25" i="1"/>
  <c r="J25" i="1"/>
  <c r="A25" i="1"/>
  <c r="M26" i="1" s="1"/>
  <c r="S24" i="1"/>
  <c r="J24" i="1"/>
  <c r="A24" i="1"/>
  <c r="M25" i="1" s="1"/>
  <c r="S23" i="1"/>
  <c r="J23" i="1"/>
  <c r="A23" i="1"/>
  <c r="M24" i="1" s="1"/>
  <c r="S22" i="1"/>
  <c r="J22" i="1"/>
  <c r="A22" i="1"/>
  <c r="M23" i="1" s="1"/>
  <c r="S32" i="1"/>
  <c r="J32" i="1"/>
  <c r="M30" i="1"/>
  <c r="S31" i="1"/>
  <c r="J31" i="1"/>
  <c r="A27" i="1"/>
  <c r="M28" i="1" s="1"/>
  <c r="S30" i="1"/>
  <c r="J30" i="1"/>
  <c r="S21" i="1"/>
  <c r="J21" i="1"/>
  <c r="S20" i="1"/>
  <c r="L20" i="1"/>
  <c r="J20" i="1"/>
  <c r="L19" i="1"/>
  <c r="J19" i="1"/>
  <c r="S18" i="1"/>
  <c r="L18" i="1"/>
  <c r="S17" i="1"/>
  <c r="S16" i="1"/>
  <c r="J16" i="1"/>
  <c r="S11" i="1"/>
  <c r="J11" i="1"/>
  <c r="S10" i="1"/>
  <c r="J10" i="1"/>
  <c r="S9" i="1"/>
  <c r="J9" i="1"/>
  <c r="S8" i="1"/>
  <c r="J8" i="1"/>
  <c r="S6" i="1"/>
  <c r="J6" i="1"/>
  <c r="S4" i="1"/>
  <c r="J4" i="1"/>
  <c r="D4" i="1"/>
  <c r="M54" i="1" l="1"/>
  <c r="K53" i="1"/>
  <c r="M56" i="1"/>
  <c r="K55" i="1"/>
  <c r="M41" i="1"/>
  <c r="M33" i="1"/>
  <c r="M69" i="1"/>
  <c r="P69" i="1" s="1"/>
  <c r="M66" i="1"/>
  <c r="K164" i="1"/>
  <c r="P165" i="1"/>
  <c r="A747" i="1"/>
  <c r="K747" i="1" s="1"/>
  <c r="D748" i="1"/>
  <c r="AA747" i="1"/>
  <c r="AE748" i="1"/>
  <c r="K57" i="1"/>
  <c r="AA462" i="1"/>
  <c r="A731" i="1"/>
  <c r="K731" i="1" s="1"/>
  <c r="A732" i="1"/>
  <c r="K732" i="1" s="1"/>
  <c r="AE670" i="1"/>
  <c r="AA670" i="1" s="1"/>
  <c r="D487" i="1"/>
  <c r="D488" i="1" s="1"/>
  <c r="A488" i="1" s="1"/>
  <c r="K488" i="1" s="1"/>
  <c r="A663" i="1"/>
  <c r="K663" i="1" s="1"/>
  <c r="A711" i="1"/>
  <c r="K711" i="1" s="1"/>
  <c r="A712" i="1"/>
  <c r="K712" i="1" s="1"/>
  <c r="A714" i="1"/>
  <c r="K714" i="1" s="1"/>
  <c r="AA527" i="1"/>
  <c r="M281" i="1"/>
  <c r="D344" i="1"/>
  <c r="D345" i="1" s="1"/>
  <c r="D346" i="1" s="1"/>
  <c r="A346" i="1" s="1"/>
  <c r="K346" i="1" s="1"/>
  <c r="A308" i="1"/>
  <c r="K308" i="1" s="1"/>
  <c r="D374" i="1"/>
  <c r="A374" i="1" s="1"/>
  <c r="K374" i="1" s="1"/>
  <c r="A332" i="1"/>
  <c r="K332" i="1" s="1"/>
  <c r="D219" i="1"/>
  <c r="A219" i="1" s="1"/>
  <c r="M220" i="1" s="1"/>
  <c r="P220" i="1" s="1"/>
  <c r="AA486" i="1"/>
  <c r="A549" i="1"/>
  <c r="K549" i="1" s="1"/>
  <c r="D652" i="1"/>
  <c r="A652" i="1" s="1"/>
  <c r="K652" i="1" s="1"/>
  <c r="AE646" i="1"/>
  <c r="D658" i="1"/>
  <c r="A658" i="1" s="1"/>
  <c r="K658" i="1" s="1"/>
  <c r="AE375" i="1"/>
  <c r="AE376" i="1" s="1"/>
  <c r="K34" i="1"/>
  <c r="K48" i="1"/>
  <c r="AA687" i="1"/>
  <c r="K36" i="1"/>
  <c r="K56" i="1"/>
  <c r="A133" i="1"/>
  <c r="M134" i="1" s="1"/>
  <c r="P134" i="1" s="1"/>
  <c r="K142" i="1"/>
  <c r="K254" i="1"/>
  <c r="K46" i="1"/>
  <c r="D191" i="1"/>
  <c r="D284" i="1"/>
  <c r="D286" i="1" s="1"/>
  <c r="A286" i="1" s="1"/>
  <c r="K286" i="1" s="1"/>
  <c r="D646" i="1"/>
  <c r="D647" i="1" s="1"/>
  <c r="A647" i="1" s="1"/>
  <c r="K647" i="1" s="1"/>
  <c r="D682" i="1"/>
  <c r="A682" i="1" s="1"/>
  <c r="K682" i="1" s="1"/>
  <c r="A687" i="1"/>
  <c r="K687" i="1" s="1"/>
  <c r="AA307" i="1"/>
  <c r="AE344" i="1"/>
  <c r="AA344" i="1" s="1"/>
  <c r="M219" i="1"/>
  <c r="P219" i="1" s="1"/>
  <c r="K218" i="1"/>
  <c r="M183" i="1"/>
  <c r="P183" i="1" s="1"/>
  <c r="K182" i="1"/>
  <c r="M191" i="1"/>
  <c r="P191" i="1" s="1"/>
  <c r="K190" i="1"/>
  <c r="M156" i="1"/>
  <c r="P156" i="1" s="1"/>
  <c r="D60" i="1"/>
  <c r="A60" i="1" s="1"/>
  <c r="M61" i="1" s="1"/>
  <c r="A227" i="1"/>
  <c r="K227" i="1" s="1"/>
  <c r="D436" i="1"/>
  <c r="A436" i="1" s="1"/>
  <c r="K436" i="1" s="1"/>
  <c r="A97" i="1"/>
  <c r="M98" i="1" s="1"/>
  <c r="P98" i="1" s="1"/>
  <c r="D183" i="1"/>
  <c r="K37" i="1"/>
  <c r="K49" i="1"/>
  <c r="M586" i="1" s="1"/>
  <c r="K64" i="1"/>
  <c r="A4" i="1"/>
  <c r="K4" i="1" s="1"/>
  <c r="D277" i="1"/>
  <c r="A277" i="1" s="1"/>
  <c r="K277" i="1" s="1"/>
  <c r="D430" i="1"/>
  <c r="A430" i="1" s="1"/>
  <c r="K430" i="1" s="1"/>
  <c r="D640" i="1"/>
  <c r="D641" i="1" s="1"/>
  <c r="A641" i="1" s="1"/>
  <c r="K641" i="1" s="1"/>
  <c r="AE436" i="1"/>
  <c r="AE437" i="1" s="1"/>
  <c r="D634" i="1"/>
  <c r="D635" i="1" s="1"/>
  <c r="AA663" i="1"/>
  <c r="A675" i="1"/>
  <c r="K675" i="1" s="1"/>
  <c r="M84" i="1"/>
  <c r="A209" i="1"/>
  <c r="M210" i="1" s="1"/>
  <c r="P210" i="1" s="1"/>
  <c r="A307" i="1"/>
  <c r="K307" i="1" s="1"/>
  <c r="AE464" i="1"/>
  <c r="AE465" i="1" s="1"/>
  <c r="AA465" i="1" s="1"/>
  <c r="D99" i="1"/>
  <c r="A98" i="1"/>
  <c r="D6" i="1"/>
  <c r="M60" i="1"/>
  <c r="K59" i="1"/>
  <c r="D125" i="1"/>
  <c r="A124" i="1"/>
  <c r="D114" i="1"/>
  <c r="A113" i="1"/>
  <c r="D87" i="1"/>
  <c r="A86" i="1"/>
  <c r="D136" i="1"/>
  <c r="A135" i="1"/>
  <c r="K32" i="1"/>
  <c r="K39" i="1"/>
  <c r="K246" i="1"/>
  <c r="M247" i="1"/>
  <c r="P247" i="1" s="1"/>
  <c r="K24" i="1"/>
  <c r="K33" i="1"/>
  <c r="K42" i="1"/>
  <c r="K45" i="1"/>
  <c r="K69" i="1"/>
  <c r="A85" i="1"/>
  <c r="A112" i="1"/>
  <c r="A134" i="1"/>
  <c r="A200" i="1"/>
  <c r="D201" i="1"/>
  <c r="K27" i="1"/>
  <c r="M288" i="1"/>
  <c r="K31" i="1"/>
  <c r="K50" i="1"/>
  <c r="D174" i="1"/>
  <c r="A173" i="1"/>
  <c r="D211" i="1"/>
  <c r="A210" i="1"/>
  <c r="K35" i="1"/>
  <c r="K47" i="1"/>
  <c r="K65" i="1"/>
  <c r="M70" i="1"/>
  <c r="P70" i="1" s="1"/>
  <c r="D156" i="1"/>
  <c r="K22" i="1"/>
  <c r="K25" i="1"/>
  <c r="K43" i="1"/>
  <c r="K51" i="1"/>
  <c r="D71" i="1"/>
  <c r="K38" i="1"/>
  <c r="K58" i="1"/>
  <c r="M523" i="1"/>
  <c r="K23" i="1"/>
  <c r="K30" i="1"/>
  <c r="K41" i="1"/>
  <c r="K40" i="1"/>
  <c r="K44" i="1"/>
  <c r="K52" i="1"/>
  <c r="A123" i="1"/>
  <c r="AA308" i="1"/>
  <c r="AE309" i="1"/>
  <c r="A228" i="1"/>
  <c r="A238" i="1"/>
  <c r="D239" i="1"/>
  <c r="D247" i="1"/>
  <c r="D265" i="1"/>
  <c r="A264" i="1"/>
  <c r="K272" i="1"/>
  <c r="M273" i="1"/>
  <c r="D143" i="1"/>
  <c r="D230" i="1"/>
  <c r="A229" i="1"/>
  <c r="A237" i="1"/>
  <c r="D310" i="1"/>
  <c r="A309" i="1"/>
  <c r="K309" i="1" s="1"/>
  <c r="A334" i="1"/>
  <c r="K334" i="1" s="1"/>
  <c r="D335" i="1"/>
  <c r="A154" i="1"/>
  <c r="D255" i="1"/>
  <c r="A273" i="1"/>
  <c r="A274" i="1"/>
  <c r="A263" i="1"/>
  <c r="AE334" i="1"/>
  <c r="AA333" i="1"/>
  <c r="A236" i="1"/>
  <c r="AA332" i="1"/>
  <c r="D411" i="1"/>
  <c r="A410" i="1"/>
  <c r="K410" i="1" s="1"/>
  <c r="AE430" i="1"/>
  <c r="A333" i="1"/>
  <c r="K333" i="1" s="1"/>
  <c r="AA373" i="1"/>
  <c r="AE411" i="1"/>
  <c r="D463" i="1"/>
  <c r="AA487" i="1"/>
  <c r="AE488" i="1"/>
  <c r="AE551" i="1"/>
  <c r="AA550" i="1"/>
  <c r="AE530" i="1"/>
  <c r="AA529" i="1"/>
  <c r="D529" i="1"/>
  <c r="A528" i="1"/>
  <c r="K528" i="1" s="1"/>
  <c r="D551" i="1"/>
  <c r="A550" i="1"/>
  <c r="K550" i="1" s="1"/>
  <c r="AA549" i="1"/>
  <c r="AE652" i="1"/>
  <c r="AA651" i="1"/>
  <c r="AE635" i="1"/>
  <c r="AE676" i="1"/>
  <c r="AA675" i="1"/>
  <c r="AA528" i="1"/>
  <c r="AE641" i="1"/>
  <c r="AA640" i="1"/>
  <c r="AE683" i="1"/>
  <c r="AE659" i="1"/>
  <c r="AE689" i="1"/>
  <c r="AA688" i="1"/>
  <c r="D690" i="1"/>
  <c r="A689" i="1"/>
  <c r="K689" i="1" s="1"/>
  <c r="AE665" i="1"/>
  <c r="AA664" i="1"/>
  <c r="A676" i="1"/>
  <c r="K676" i="1" s="1"/>
  <c r="D677" i="1"/>
  <c r="A527" i="1"/>
  <c r="K527" i="1" s="1"/>
  <c r="D666" i="1"/>
  <c r="AA639" i="1"/>
  <c r="D670" i="1"/>
  <c r="AA633" i="1"/>
  <c r="AA657" i="1"/>
  <c r="A664" i="1"/>
  <c r="K664" i="1" s="1"/>
  <c r="AA681" i="1"/>
  <c r="A688" i="1"/>
  <c r="K688" i="1" s="1"/>
  <c r="M431" i="1" l="1"/>
  <c r="M595" i="1"/>
  <c r="M466" i="1"/>
  <c r="M607" i="1"/>
  <c r="M287" i="1"/>
  <c r="M673" i="1"/>
  <c r="A284" i="1"/>
  <c r="K284" i="1" s="1"/>
  <c r="A634" i="1"/>
  <c r="K634" i="1" s="1"/>
  <c r="AA464" i="1"/>
  <c r="D279" i="1"/>
  <c r="A279" i="1" s="1"/>
  <c r="K279" i="1" s="1"/>
  <c r="D489" i="1"/>
  <c r="A489" i="1" s="1"/>
  <c r="K489" i="1" s="1"/>
  <c r="D659" i="1"/>
  <c r="D660" i="1" s="1"/>
  <c r="M670" i="1"/>
  <c r="D437" i="1"/>
  <c r="A437" i="1" s="1"/>
  <c r="K437" i="1" s="1"/>
  <c r="M559" i="1"/>
  <c r="M672" i="1"/>
  <c r="D749" i="1"/>
  <c r="A749" i="1" s="1"/>
  <c r="K749" i="1" s="1"/>
  <c r="A748" i="1"/>
  <c r="K748" i="1" s="1"/>
  <c r="M556" i="1"/>
  <c r="M583" i="1"/>
  <c r="M617" i="1"/>
  <c r="M560" i="1"/>
  <c r="M655" i="1"/>
  <c r="M576" i="1"/>
  <c r="M643" i="1"/>
  <c r="AE749" i="1"/>
  <c r="AA749" i="1" s="1"/>
  <c r="AA748" i="1"/>
  <c r="AA375" i="1"/>
  <c r="M561" i="1"/>
  <c r="M572" i="1"/>
  <c r="M569" i="1"/>
  <c r="M573" i="1"/>
  <c r="M636" i="1"/>
  <c r="M585" i="1"/>
  <c r="M581" i="1"/>
  <c r="M578" i="1"/>
  <c r="M558" i="1"/>
  <c r="M606" i="1"/>
  <c r="D683" i="1"/>
  <c r="D684" i="1" s="1"/>
  <c r="K219" i="1"/>
  <c r="M568" i="1"/>
  <c r="M577" i="1"/>
  <c r="M594" i="1"/>
  <c r="M564" i="1"/>
  <c r="M631" i="1"/>
  <c r="M591" i="1"/>
  <c r="M604" i="1"/>
  <c r="M646" i="1"/>
  <c r="M633" i="1"/>
  <c r="M593" i="1"/>
  <c r="M566" i="1"/>
  <c r="M686" i="1"/>
  <c r="D375" i="1"/>
  <c r="D376" i="1" s="1"/>
  <c r="D377" i="1" s="1"/>
  <c r="D378" i="1" s="1"/>
  <c r="AE466" i="1"/>
  <c r="AE467" i="1" s="1"/>
  <c r="M615" i="1"/>
  <c r="M584" i="1"/>
  <c r="M588" i="1"/>
  <c r="M668" i="1"/>
  <c r="M592" i="1"/>
  <c r="M555" i="1"/>
  <c r="M549" i="1"/>
  <c r="M582" i="1"/>
  <c r="M674" i="1"/>
  <c r="M629" i="1"/>
  <c r="M597" i="1"/>
  <c r="M554" i="1"/>
  <c r="M571" i="1"/>
  <c r="M557" i="1"/>
  <c r="M590" i="1"/>
  <c r="M682" i="1"/>
  <c r="M653" i="1"/>
  <c r="M600" i="1"/>
  <c r="M663" i="1"/>
  <c r="M618" i="1"/>
  <c r="M639" i="1"/>
  <c r="M570" i="1"/>
  <c r="M587" i="1"/>
  <c r="M565" i="1"/>
  <c r="M679" i="1"/>
  <c r="M611" i="1"/>
  <c r="M669" i="1"/>
  <c r="M664" i="1"/>
  <c r="D648" i="1"/>
  <c r="A648" i="1" s="1"/>
  <c r="K648" i="1" s="1"/>
  <c r="A487" i="1"/>
  <c r="K487" i="1" s="1"/>
  <c r="AE345" i="1"/>
  <c r="AE346" i="1" s="1"/>
  <c r="M579" i="1"/>
  <c r="M647" i="1"/>
  <c r="M550" i="1"/>
  <c r="M551" i="1"/>
  <c r="M610" i="1"/>
  <c r="M635" i="1"/>
  <c r="M644" i="1"/>
  <c r="M625" i="1"/>
  <c r="M567" i="1"/>
  <c r="M626" i="1"/>
  <c r="M651" i="1"/>
  <c r="M692" i="1"/>
  <c r="M614" i="1"/>
  <c r="M608" i="1"/>
  <c r="M681" i="1"/>
  <c r="M574" i="1"/>
  <c r="M575" i="1"/>
  <c r="M650" i="1"/>
  <c r="M675" i="1"/>
  <c r="M605" i="1"/>
  <c r="M622" i="1"/>
  <c r="M616" i="1"/>
  <c r="M689" i="1"/>
  <c r="AE671" i="1"/>
  <c r="AE672" i="1" s="1"/>
  <c r="A646" i="1"/>
  <c r="K646" i="1" s="1"/>
  <c r="M552" i="1"/>
  <c r="M553" i="1"/>
  <c r="M562" i="1"/>
  <c r="M563" i="1"/>
  <c r="M580" i="1"/>
  <c r="M589" i="1"/>
  <c r="M599" i="1"/>
  <c r="M623" i="1"/>
  <c r="M690" i="1"/>
  <c r="M628" i="1"/>
  <c r="M661" i="1"/>
  <c r="M678" i="1"/>
  <c r="M680" i="1"/>
  <c r="D653" i="1"/>
  <c r="D654" i="1" s="1"/>
  <c r="A344" i="1"/>
  <c r="K344" i="1" s="1"/>
  <c r="A345" i="1"/>
  <c r="K345" i="1" s="1"/>
  <c r="D347" i="1"/>
  <c r="D348" i="1" s="1"/>
  <c r="AE694" i="1"/>
  <c r="AE695" i="1" s="1"/>
  <c r="AE696" i="1" s="1"/>
  <c r="AE697" i="1" s="1"/>
  <c r="AE698" i="1" s="1"/>
  <c r="AE699" i="1" s="1"/>
  <c r="AE700" i="1" s="1"/>
  <c r="AE701" i="1" s="1"/>
  <c r="AE702" i="1" s="1"/>
  <c r="AE703" i="1" s="1"/>
  <c r="AE704" i="1" s="1"/>
  <c r="AE705" i="1" s="1"/>
  <c r="AE706" i="1" s="1"/>
  <c r="AE707" i="1" s="1"/>
  <c r="AE708" i="1" s="1"/>
  <c r="AE709" i="1" s="1"/>
  <c r="AE710" i="1" s="1"/>
  <c r="D431" i="1"/>
  <c r="D432" i="1" s="1"/>
  <c r="K165" i="1"/>
  <c r="M307" i="1"/>
  <c r="A733" i="1"/>
  <c r="K733" i="1" s="1"/>
  <c r="M324" i="1"/>
  <c r="A713" i="1"/>
  <c r="K713" i="1" s="1"/>
  <c r="AA436" i="1"/>
  <c r="M308" i="1"/>
  <c r="M634" i="1"/>
  <c r="M659" i="1"/>
  <c r="M652" i="1"/>
  <c r="M613" i="1"/>
  <c r="M677" i="1"/>
  <c r="M630" i="1"/>
  <c r="M624" i="1"/>
  <c r="M688" i="1"/>
  <c r="M641" i="1"/>
  <c r="M642" i="1"/>
  <c r="M603" i="1"/>
  <c r="M667" i="1"/>
  <c r="M596" i="1"/>
  <c r="M660" i="1"/>
  <c r="M621" i="1"/>
  <c r="M685" i="1"/>
  <c r="M638" i="1"/>
  <c r="M687" i="1"/>
  <c r="M632" i="1"/>
  <c r="M649" i="1"/>
  <c r="M640" i="1"/>
  <c r="M657" i="1"/>
  <c r="M671" i="1"/>
  <c r="M658" i="1"/>
  <c r="M619" i="1"/>
  <c r="M683" i="1"/>
  <c r="M612" i="1"/>
  <c r="M676" i="1"/>
  <c r="M637" i="1"/>
  <c r="M654" i="1"/>
  <c r="M648" i="1"/>
  <c r="M601" i="1"/>
  <c r="M665" i="1"/>
  <c r="M602" i="1"/>
  <c r="M666" i="1"/>
  <c r="M627" i="1"/>
  <c r="M691" i="1"/>
  <c r="M620" i="1"/>
  <c r="M684" i="1"/>
  <c r="M645" i="1"/>
  <c r="M598" i="1"/>
  <c r="M662" i="1"/>
  <c r="M656" i="1"/>
  <c r="M609" i="1"/>
  <c r="D220" i="1"/>
  <c r="A220" i="1" s="1"/>
  <c r="A715" i="1"/>
  <c r="K715" i="1" s="1"/>
  <c r="K133" i="1"/>
  <c r="A640" i="1"/>
  <c r="K640" i="1" s="1"/>
  <c r="D61" i="1"/>
  <c r="D62" i="1" s="1"/>
  <c r="A62" i="1" s="1"/>
  <c r="M63" i="1" s="1"/>
  <c r="M312" i="1"/>
  <c r="M286" i="1"/>
  <c r="K209" i="1"/>
  <c r="K60" i="1"/>
  <c r="M411" i="1" s="1"/>
  <c r="A191" i="1"/>
  <c r="D192" i="1"/>
  <c r="M321" i="1"/>
  <c r="M480" i="1"/>
  <c r="AA646" i="1"/>
  <c r="AE647" i="1"/>
  <c r="D642" i="1"/>
  <c r="D643" i="1" s="1"/>
  <c r="M319" i="1"/>
  <c r="A693" i="1"/>
  <c r="K693" i="1" s="1"/>
  <c r="D694" i="1"/>
  <c r="K97" i="1"/>
  <c r="M514" i="1"/>
  <c r="M317" i="1"/>
  <c r="M309" i="1"/>
  <c r="M508" i="1"/>
  <c r="M524" i="1"/>
  <c r="M510" i="1"/>
  <c r="M323" i="1"/>
  <c r="M282" i="1"/>
  <c r="M318" i="1"/>
  <c r="M310" i="1"/>
  <c r="M486" i="1"/>
  <c r="M499" i="1"/>
  <c r="M526" i="1"/>
  <c r="M501" i="1"/>
  <c r="M280" i="1"/>
  <c r="M320" i="1"/>
  <c r="M325" i="1"/>
  <c r="M470" i="1"/>
  <c r="M503" i="1"/>
  <c r="M515" i="1"/>
  <c r="A183" i="1"/>
  <c r="D184" i="1"/>
  <c r="M492" i="1"/>
  <c r="M487" i="1"/>
  <c r="M326" i="1"/>
  <c r="M505" i="1"/>
  <c r="M313" i="1"/>
  <c r="M329" i="1"/>
  <c r="M314" i="1"/>
  <c r="M434" i="1"/>
  <c r="M520" i="1"/>
  <c r="M497" i="1"/>
  <c r="M482" i="1"/>
  <c r="M228" i="1"/>
  <c r="P228" i="1" s="1"/>
  <c r="M327" i="1"/>
  <c r="M495" i="1"/>
  <c r="M315" i="1"/>
  <c r="M429" i="1"/>
  <c r="M463" i="1"/>
  <c r="M330" i="1"/>
  <c r="M491" i="1"/>
  <c r="M511" i="1"/>
  <c r="M490" i="1"/>
  <c r="AE677" i="1"/>
  <c r="AA676" i="1"/>
  <c r="AA411" i="1"/>
  <c r="AE412" i="1"/>
  <c r="D256" i="1"/>
  <c r="A255" i="1"/>
  <c r="A310" i="1"/>
  <c r="K310" i="1" s="1"/>
  <c r="D311" i="1"/>
  <c r="A143" i="1"/>
  <c r="D144" i="1"/>
  <c r="K228" i="1"/>
  <c r="M229" i="1"/>
  <c r="P229" i="1" s="1"/>
  <c r="P166" i="1"/>
  <c r="M468" i="1"/>
  <c r="M481" i="1"/>
  <c r="M484" i="1"/>
  <c r="M478" i="1"/>
  <c r="AE684" i="1"/>
  <c r="AA683" i="1"/>
  <c r="AE552" i="1"/>
  <c r="AA551" i="1"/>
  <c r="AE310" i="1"/>
  <c r="AA309" i="1"/>
  <c r="M316" i="1"/>
  <c r="M464" i="1"/>
  <c r="M279" i="1"/>
  <c r="M483" i="1"/>
  <c r="M485" i="1"/>
  <c r="M519" i="1"/>
  <c r="M500" i="1"/>
  <c r="M496" i="1"/>
  <c r="M479" i="1"/>
  <c r="M474" i="1"/>
  <c r="M135" i="1"/>
  <c r="P135" i="1" s="1"/>
  <c r="K134" i="1"/>
  <c r="M125" i="1"/>
  <c r="P125" i="1" s="1"/>
  <c r="K124" i="1"/>
  <c r="M113" i="1"/>
  <c r="P113" i="1" s="1"/>
  <c r="K112" i="1"/>
  <c r="A125" i="1"/>
  <c r="D126" i="1"/>
  <c r="D691" i="1"/>
  <c r="A690" i="1"/>
  <c r="K690" i="1" s="1"/>
  <c r="D552" i="1"/>
  <c r="A551" i="1"/>
  <c r="K551" i="1" s="1"/>
  <c r="M155" i="1"/>
  <c r="P155" i="1" s="1"/>
  <c r="K154" i="1"/>
  <c r="M238" i="1"/>
  <c r="P238" i="1" s="1"/>
  <c r="K237" i="1"/>
  <c r="K85" i="1"/>
  <c r="M86" i="1"/>
  <c r="P86" i="1" s="1"/>
  <c r="K135" i="1"/>
  <c r="M136" i="1"/>
  <c r="P136" i="1" s="1"/>
  <c r="AE489" i="1"/>
  <c r="AA488" i="1"/>
  <c r="AA334" i="1"/>
  <c r="AE335" i="1"/>
  <c r="A156" i="1"/>
  <c r="D157" i="1"/>
  <c r="AE690" i="1"/>
  <c r="AA689" i="1"/>
  <c r="D530" i="1"/>
  <c r="A529" i="1"/>
  <c r="K529" i="1" s="1"/>
  <c r="D464" i="1"/>
  <c r="A463" i="1"/>
  <c r="K463" i="1" s="1"/>
  <c r="AE438" i="1"/>
  <c r="AA437" i="1"/>
  <c r="AE377" i="1"/>
  <c r="AA376" i="1"/>
  <c r="M230" i="1"/>
  <c r="P230" i="1" s="1"/>
  <c r="K229" i="1"/>
  <c r="D266" i="1"/>
  <c r="A265" i="1"/>
  <c r="M472" i="1"/>
  <c r="M493" i="1"/>
  <c r="M488" i="1"/>
  <c r="M430" i="1"/>
  <c r="M516" i="1"/>
  <c r="M512" i="1"/>
  <c r="M525" i="1"/>
  <c r="M494" i="1"/>
  <c r="M498" i="1"/>
  <c r="D137" i="1"/>
  <c r="A136" i="1"/>
  <c r="AE660" i="1"/>
  <c r="AA659" i="1"/>
  <c r="AE642" i="1"/>
  <c r="AA641" i="1"/>
  <c r="D636" i="1"/>
  <c r="A635" i="1"/>
  <c r="K635" i="1" s="1"/>
  <c r="A411" i="1"/>
  <c r="K411" i="1" s="1"/>
  <c r="D412" i="1"/>
  <c r="D336" i="1"/>
  <c r="A335" i="1"/>
  <c r="K335" i="1" s="1"/>
  <c r="A230" i="1"/>
  <c r="D231" i="1"/>
  <c r="D248" i="1"/>
  <c r="A247" i="1"/>
  <c r="K123" i="1"/>
  <c r="M124" i="1"/>
  <c r="P124" i="1" s="1"/>
  <c r="M433" i="1"/>
  <c r="M311" i="1"/>
  <c r="M322" i="1"/>
  <c r="M507" i="1"/>
  <c r="M489" i="1"/>
  <c r="M432" i="1"/>
  <c r="M517" i="1"/>
  <c r="M513" i="1"/>
  <c r="M502" i="1"/>
  <c r="M521" i="1"/>
  <c r="M506" i="1"/>
  <c r="K86" i="1"/>
  <c r="M87" i="1"/>
  <c r="P87" i="1" s="1"/>
  <c r="D7" i="1"/>
  <c r="A6" i="1"/>
  <c r="D88" i="1"/>
  <c r="A87" i="1"/>
  <c r="M6" i="1"/>
  <c r="M211" i="1"/>
  <c r="P211" i="1" s="1"/>
  <c r="K210" i="1"/>
  <c r="A677" i="1"/>
  <c r="K677" i="1" s="1"/>
  <c r="D678" i="1"/>
  <c r="AE636" i="1"/>
  <c r="AA635" i="1"/>
  <c r="AE431" i="1"/>
  <c r="AA430" i="1"/>
  <c r="AE666" i="1"/>
  <c r="AA665" i="1"/>
  <c r="D490" i="1"/>
  <c r="AA466" i="1"/>
  <c r="K274" i="1"/>
  <c r="M275" i="1"/>
  <c r="A239" i="1"/>
  <c r="D240" i="1"/>
  <c r="K173" i="1"/>
  <c r="M174" i="1"/>
  <c r="P174" i="1" s="1"/>
  <c r="M471" i="1"/>
  <c r="M465" i="1"/>
  <c r="M473" i="1"/>
  <c r="M476" i="1"/>
  <c r="D667" i="1"/>
  <c r="A666" i="1"/>
  <c r="K666" i="1" s="1"/>
  <c r="AE653" i="1"/>
  <c r="AA652" i="1"/>
  <c r="AE531" i="1"/>
  <c r="AA530" i="1"/>
  <c r="M237" i="1"/>
  <c r="P237" i="1" s="1"/>
  <c r="K236" i="1"/>
  <c r="M274" i="1"/>
  <c r="K273" i="1"/>
  <c r="M239" i="1"/>
  <c r="P239" i="1" s="1"/>
  <c r="K238" i="1"/>
  <c r="A71" i="1"/>
  <c r="D72" i="1"/>
  <c r="D175" i="1"/>
  <c r="A174" i="1"/>
  <c r="M284" i="1"/>
  <c r="M277" i="1"/>
  <c r="M328" i="1"/>
  <c r="M331" i="1"/>
  <c r="M469" i="1"/>
  <c r="M462" i="1"/>
  <c r="M509" i="1"/>
  <c r="M504" i="1"/>
  <c r="M467" i="1"/>
  <c r="M475" i="1"/>
  <c r="M477" i="1"/>
  <c r="M518" i="1"/>
  <c r="M522" i="1"/>
  <c r="D202" i="1"/>
  <c r="A201" i="1"/>
  <c r="K113" i="1"/>
  <c r="M114" i="1"/>
  <c r="P114" i="1" s="1"/>
  <c r="M99" i="1"/>
  <c r="P99" i="1" s="1"/>
  <c r="K98" i="1"/>
  <c r="D671" i="1"/>
  <c r="A670" i="1"/>
  <c r="K670" i="1" s="1"/>
  <c r="K263" i="1"/>
  <c r="M264" i="1"/>
  <c r="P264" i="1" s="1"/>
  <c r="M265" i="1"/>
  <c r="P265" i="1" s="1"/>
  <c r="K264" i="1"/>
  <c r="D212" i="1"/>
  <c r="A211" i="1"/>
  <c r="K200" i="1"/>
  <c r="M201" i="1"/>
  <c r="P201" i="1" s="1"/>
  <c r="D115" i="1"/>
  <c r="A114" i="1"/>
  <c r="D100" i="1"/>
  <c r="A99" i="1"/>
  <c r="A659" i="1" l="1"/>
  <c r="K659" i="1" s="1"/>
  <c r="A376" i="1"/>
  <c r="K376" i="1" s="1"/>
  <c r="A683" i="1"/>
  <c r="K683" i="1" s="1"/>
  <c r="M419" i="1"/>
  <c r="M415" i="1"/>
  <c r="M412" i="1"/>
  <c r="M417" i="1"/>
  <c r="M428" i="1"/>
  <c r="M418" i="1"/>
  <c r="M427" i="1"/>
  <c r="M425" i="1"/>
  <c r="M426" i="1"/>
  <c r="M410" i="1"/>
  <c r="M424" i="1"/>
  <c r="M413" i="1"/>
  <c r="M414" i="1"/>
  <c r="M422" i="1"/>
  <c r="M421" i="1"/>
  <c r="M420" i="1"/>
  <c r="M423" i="1"/>
  <c r="M416" i="1"/>
  <c r="AA671" i="1"/>
  <c r="A347" i="1"/>
  <c r="K347" i="1" s="1"/>
  <c r="A375" i="1"/>
  <c r="K375" i="1" s="1"/>
  <c r="A377" i="1"/>
  <c r="K377" i="1" s="1"/>
  <c r="D438" i="1"/>
  <c r="D439" i="1" s="1"/>
  <c r="AA345" i="1"/>
  <c r="A653" i="1"/>
  <c r="K653" i="1" s="1"/>
  <c r="A61" i="1"/>
  <c r="D649" i="1"/>
  <c r="A649" i="1" s="1"/>
  <c r="K649" i="1" s="1"/>
  <c r="A431" i="1"/>
  <c r="K431" i="1" s="1"/>
  <c r="AA694" i="1"/>
  <c r="A734" i="1"/>
  <c r="K734" i="1" s="1"/>
  <c r="D221" i="1"/>
  <c r="A221" i="1" s="1"/>
  <c r="A642" i="1"/>
  <c r="K642" i="1" s="1"/>
  <c r="A716" i="1"/>
  <c r="K716" i="1" s="1"/>
  <c r="AE648" i="1"/>
  <c r="AA647" i="1"/>
  <c r="A192" i="1"/>
  <c r="D193" i="1"/>
  <c r="M192" i="1"/>
  <c r="P192" i="1" s="1"/>
  <c r="K191" i="1"/>
  <c r="A694" i="1"/>
  <c r="K694" i="1" s="1"/>
  <c r="D695" i="1"/>
  <c r="AA695" i="1"/>
  <c r="M184" i="1"/>
  <c r="P184" i="1" s="1"/>
  <c r="K183" i="1"/>
  <c r="K220" i="1"/>
  <c r="M221" i="1"/>
  <c r="P221" i="1" s="1"/>
  <c r="D655" i="1"/>
  <c r="A654" i="1"/>
  <c r="K654" i="1" s="1"/>
  <c r="A184" i="1"/>
  <c r="D185" i="1"/>
  <c r="D203" i="1"/>
  <c r="A202" i="1"/>
  <c r="M175" i="1"/>
  <c r="P175" i="1" s="1"/>
  <c r="K174" i="1"/>
  <c r="D241" i="1"/>
  <c r="A240" i="1"/>
  <c r="K87" i="1"/>
  <c r="M88" i="1"/>
  <c r="P88" i="1" s="1"/>
  <c r="K230" i="1"/>
  <c r="M231" i="1"/>
  <c r="P231" i="1" s="1"/>
  <c r="AA642" i="1"/>
  <c r="AE643" i="1"/>
  <c r="M266" i="1"/>
  <c r="P266" i="1" s="1"/>
  <c r="K265" i="1"/>
  <c r="A175" i="1"/>
  <c r="D176" i="1"/>
  <c r="AA653" i="1"/>
  <c r="AE654" i="1"/>
  <c r="M240" i="1"/>
  <c r="P240" i="1" s="1"/>
  <c r="K239" i="1"/>
  <c r="A490" i="1"/>
  <c r="K490" i="1" s="1"/>
  <c r="D491" i="1"/>
  <c r="AE637" i="1"/>
  <c r="AA636" i="1"/>
  <c r="D89" i="1"/>
  <c r="A88" i="1"/>
  <c r="A266" i="1"/>
  <c r="D267" i="1"/>
  <c r="AE439" i="1"/>
  <c r="AA438" i="1"/>
  <c r="A684" i="1"/>
  <c r="K684" i="1" s="1"/>
  <c r="D685" i="1"/>
  <c r="D553" i="1"/>
  <c r="A552" i="1"/>
  <c r="K552" i="1" s="1"/>
  <c r="AE311" i="1"/>
  <c r="AA310" i="1"/>
  <c r="M256" i="1"/>
  <c r="P256" i="1" s="1"/>
  <c r="K255" i="1"/>
  <c r="D337" i="1"/>
  <c r="A336" i="1"/>
  <c r="K336" i="1" s="1"/>
  <c r="AE661" i="1"/>
  <c r="AA660" i="1"/>
  <c r="D158" i="1"/>
  <c r="A157" i="1"/>
  <c r="M158" i="1" s="1"/>
  <c r="A438" i="1"/>
  <c r="K438" i="1" s="1"/>
  <c r="D257" i="1"/>
  <c r="A256" i="1"/>
  <c r="AA677" i="1"/>
  <c r="AE678" i="1"/>
  <c r="D672" i="1"/>
  <c r="A671" i="1"/>
  <c r="K671" i="1" s="1"/>
  <c r="D349" i="1"/>
  <c r="A348" i="1"/>
  <c r="K348" i="1" s="1"/>
  <c r="M100" i="1"/>
  <c r="P100" i="1" s="1"/>
  <c r="K99" i="1"/>
  <c r="K211" i="1"/>
  <c r="M212" i="1"/>
  <c r="P212" i="1" s="1"/>
  <c r="A660" i="1"/>
  <c r="K660" i="1" s="1"/>
  <c r="D661" i="1"/>
  <c r="AA666" i="1"/>
  <c r="AE667" i="1"/>
  <c r="D413" i="1"/>
  <c r="A412" i="1"/>
  <c r="K412" i="1" s="1"/>
  <c r="K136" i="1"/>
  <c r="M137" i="1"/>
  <c r="P137" i="1" s="1"/>
  <c r="D465" i="1"/>
  <c r="A464" i="1"/>
  <c r="K464" i="1" s="1"/>
  <c r="K156" i="1"/>
  <c r="M157" i="1"/>
  <c r="P157" i="1" s="1"/>
  <c r="D692" i="1"/>
  <c r="A692" i="1" s="1"/>
  <c r="K692" i="1" s="1"/>
  <c r="A691" i="1"/>
  <c r="K691" i="1" s="1"/>
  <c r="AE673" i="1"/>
  <c r="AA672" i="1"/>
  <c r="D679" i="1"/>
  <c r="A678" i="1"/>
  <c r="K678" i="1" s="1"/>
  <c r="A100" i="1"/>
  <c r="D101" i="1"/>
  <c r="A212" i="1"/>
  <c r="D213" i="1"/>
  <c r="A72" i="1"/>
  <c r="D73" i="1"/>
  <c r="K62" i="1"/>
  <c r="M7" i="1"/>
  <c r="K6" i="1"/>
  <c r="D138" i="1"/>
  <c r="A137" i="1"/>
  <c r="AA335" i="1"/>
  <c r="AE336" i="1"/>
  <c r="A126" i="1"/>
  <c r="D127" i="1"/>
  <c r="AA346" i="1"/>
  <c r="AE347" i="1"/>
  <c r="D644" i="1"/>
  <c r="A644" i="1" s="1"/>
  <c r="K644" i="1" s="1"/>
  <c r="A643" i="1"/>
  <c r="K643" i="1" s="1"/>
  <c r="K114" i="1"/>
  <c r="M115" i="1"/>
  <c r="P115" i="1" s="1"/>
  <c r="M72" i="1"/>
  <c r="P72" i="1" s="1"/>
  <c r="K71" i="1"/>
  <c r="D668" i="1"/>
  <c r="A668" i="1" s="1"/>
  <c r="K668" i="1" s="1"/>
  <c r="A667" i="1"/>
  <c r="K667" i="1" s="1"/>
  <c r="A7" i="1"/>
  <c r="D8" i="1"/>
  <c r="K247" i="1"/>
  <c r="M248" i="1"/>
  <c r="P248" i="1" s="1"/>
  <c r="A378" i="1"/>
  <c r="K378" i="1" s="1"/>
  <c r="D379" i="1"/>
  <c r="D531" i="1"/>
  <c r="A530" i="1"/>
  <c r="K530" i="1" s="1"/>
  <c r="M126" i="1"/>
  <c r="P126" i="1" s="1"/>
  <c r="K125" i="1"/>
  <c r="AE553" i="1"/>
  <c r="AA552" i="1"/>
  <c r="D145" i="1"/>
  <c r="A144" i="1"/>
  <c r="D116" i="1"/>
  <c r="A115" i="1"/>
  <c r="D249" i="1"/>
  <c r="A248" i="1"/>
  <c r="A636" i="1"/>
  <c r="K636" i="1" s="1"/>
  <c r="D637" i="1"/>
  <c r="P167" i="1"/>
  <c r="K166" i="1"/>
  <c r="M144" i="1"/>
  <c r="P144" i="1" s="1"/>
  <c r="K143" i="1"/>
  <c r="A432" i="1"/>
  <c r="K432" i="1" s="1"/>
  <c r="D433" i="1"/>
  <c r="M202" i="1"/>
  <c r="P202" i="1" s="1"/>
  <c r="K201" i="1"/>
  <c r="AE532" i="1"/>
  <c r="AA531" i="1"/>
  <c r="AE468" i="1"/>
  <c r="AA467" i="1"/>
  <c r="AE432" i="1"/>
  <c r="AA431" i="1"/>
  <c r="M388" i="1"/>
  <c r="M372" i="1"/>
  <c r="M367" i="1"/>
  <c r="M401" i="1"/>
  <c r="M407" i="1"/>
  <c r="M366" i="1"/>
  <c r="M365" i="1"/>
  <c r="M390" i="1"/>
  <c r="M373" i="1"/>
  <c r="M355" i="1"/>
  <c r="M394" i="1"/>
  <c r="M395" i="1"/>
  <c r="M379" i="1"/>
  <c r="M404" i="1"/>
  <c r="M400" i="1"/>
  <c r="M406" i="1"/>
  <c r="M358" i="1"/>
  <c r="M364" i="1"/>
  <c r="M381" i="1"/>
  <c r="M377" i="1"/>
  <c r="M361" i="1"/>
  <c r="M370" i="1"/>
  <c r="M345" i="1"/>
  <c r="M362" i="1"/>
  <c r="M383" i="1"/>
  <c r="M347" i="1"/>
  <c r="M396" i="1"/>
  <c r="M399" i="1"/>
  <c r="M386" i="1"/>
  <c r="M350" i="1"/>
  <c r="M363" i="1"/>
  <c r="M393" i="1"/>
  <c r="M376" i="1"/>
  <c r="M360" i="1"/>
  <c r="M368" i="1"/>
  <c r="M398" i="1"/>
  <c r="M378" i="1"/>
  <c r="M385" i="1"/>
  <c r="M349" i="1"/>
  <c r="M397" i="1"/>
  <c r="M387" i="1"/>
  <c r="M375" i="1"/>
  <c r="M359" i="1"/>
  <c r="M369" i="1"/>
  <c r="M384" i="1"/>
  <c r="M348" i="1"/>
  <c r="M391" i="1"/>
  <c r="M371" i="1"/>
  <c r="M344" i="1"/>
  <c r="M353" i="1"/>
  <c r="M352" i="1"/>
  <c r="M380" i="1"/>
  <c r="M354" i="1"/>
  <c r="M409" i="1"/>
  <c r="M382" i="1"/>
  <c r="M357" i="1"/>
  <c r="M343" i="1"/>
  <c r="M351" i="1"/>
  <c r="M402" i="1"/>
  <c r="M346" i="1"/>
  <c r="M408" i="1"/>
  <c r="M374" i="1"/>
  <c r="M389" i="1"/>
  <c r="M403" i="1"/>
  <c r="M392" i="1"/>
  <c r="M356" i="1"/>
  <c r="M405" i="1"/>
  <c r="D232" i="1"/>
  <c r="A231" i="1"/>
  <c r="AE378" i="1"/>
  <c r="AA377" i="1"/>
  <c r="AE691" i="1"/>
  <c r="AA690" i="1"/>
  <c r="AE490" i="1"/>
  <c r="AA489" i="1"/>
  <c r="AE685" i="1"/>
  <c r="AA684" i="1"/>
  <c r="D312" i="1"/>
  <c r="A311" i="1"/>
  <c r="K311" i="1" s="1"/>
  <c r="AA412" i="1"/>
  <c r="AE413" i="1"/>
  <c r="K61" i="1" l="1"/>
  <c r="M62" i="1"/>
  <c r="D650" i="1"/>
  <c r="A650" i="1" s="1"/>
  <c r="K650" i="1" s="1"/>
  <c r="D222" i="1"/>
  <c r="D223" i="1" s="1"/>
  <c r="A735" i="1"/>
  <c r="K735" i="1" s="1"/>
  <c r="A717" i="1"/>
  <c r="K717" i="1" s="1"/>
  <c r="D194" i="1"/>
  <c r="A193" i="1"/>
  <c r="K192" i="1"/>
  <c r="M193" i="1"/>
  <c r="P193" i="1" s="1"/>
  <c r="AA648" i="1"/>
  <c r="AE649" i="1"/>
  <c r="AA696" i="1"/>
  <c r="D696" i="1"/>
  <c r="A695" i="1"/>
  <c r="K695" i="1" s="1"/>
  <c r="D186" i="1"/>
  <c r="A185" i="1"/>
  <c r="K184" i="1"/>
  <c r="M185" i="1"/>
  <c r="P185" i="1" s="1"/>
  <c r="K221" i="1"/>
  <c r="M222" i="1"/>
  <c r="P222" i="1" s="1"/>
  <c r="D656" i="1"/>
  <c r="A656" i="1" s="1"/>
  <c r="K656" i="1" s="1"/>
  <c r="A655" i="1"/>
  <c r="K655" i="1" s="1"/>
  <c r="D380" i="1"/>
  <c r="A379" i="1"/>
  <c r="K379" i="1" s="1"/>
  <c r="AE433" i="1"/>
  <c r="AA432" i="1"/>
  <c r="D146" i="1"/>
  <c r="A145" i="1"/>
  <c r="AA347" i="1"/>
  <c r="AE348" i="1"/>
  <c r="K212" i="1"/>
  <c r="M213" i="1"/>
  <c r="P213" i="1" s="1"/>
  <c r="A413" i="1"/>
  <c r="K413" i="1" s="1"/>
  <c r="D414" i="1"/>
  <c r="D673" i="1"/>
  <c r="A672" i="1"/>
  <c r="K672" i="1" s="1"/>
  <c r="D159" i="1"/>
  <c r="A158" i="1"/>
  <c r="M159" i="1" s="1"/>
  <c r="AA311" i="1"/>
  <c r="AE312" i="1"/>
  <c r="M267" i="1"/>
  <c r="P267" i="1" s="1"/>
  <c r="K266" i="1"/>
  <c r="D242" i="1"/>
  <c r="A241" i="1"/>
  <c r="D434" i="1"/>
  <c r="A434" i="1" s="1"/>
  <c r="K434" i="1" s="1"/>
  <c r="A433" i="1"/>
  <c r="K433" i="1" s="1"/>
  <c r="A637" i="1"/>
  <c r="K637" i="1" s="1"/>
  <c r="D638" i="1"/>
  <c r="A638" i="1" s="1"/>
  <c r="K638" i="1" s="1"/>
  <c r="A101" i="1"/>
  <c r="K101" i="1" s="1"/>
  <c r="D102" i="1"/>
  <c r="AE668" i="1"/>
  <c r="AA668" i="1" s="1"/>
  <c r="AA667" i="1"/>
  <c r="AA678" i="1"/>
  <c r="AE679" i="1"/>
  <c r="M89" i="1"/>
  <c r="P89" i="1" s="1"/>
  <c r="K88" i="1"/>
  <c r="AA654" i="1"/>
  <c r="AE655" i="1"/>
  <c r="AE644" i="1"/>
  <c r="AA644" i="1" s="1"/>
  <c r="AA643" i="1"/>
  <c r="AA378" i="1"/>
  <c r="AE379" i="1"/>
  <c r="M145" i="1"/>
  <c r="P145" i="1" s="1"/>
  <c r="K144" i="1"/>
  <c r="D214" i="1"/>
  <c r="A213" i="1"/>
  <c r="A267" i="1"/>
  <c r="D268" i="1"/>
  <c r="AE469" i="1"/>
  <c r="AA468" i="1"/>
  <c r="AE554" i="1"/>
  <c r="AA553" i="1"/>
  <c r="D128" i="1"/>
  <c r="A127" i="1"/>
  <c r="M102" i="1"/>
  <c r="P102" i="1" s="1"/>
  <c r="M101" i="1"/>
  <c r="P101" i="1" s="1"/>
  <c r="K100" i="1"/>
  <c r="AA661" i="1"/>
  <c r="AE662" i="1"/>
  <c r="AA662" i="1" s="1"/>
  <c r="D554" i="1"/>
  <c r="A553" i="1"/>
  <c r="K553" i="1" s="1"/>
  <c r="A89" i="1"/>
  <c r="D90" i="1"/>
  <c r="P168" i="1"/>
  <c r="K167" i="1"/>
  <c r="AA490" i="1"/>
  <c r="AE491" i="1"/>
  <c r="D233" i="1"/>
  <c r="A232" i="1"/>
  <c r="M249" i="1"/>
  <c r="P249" i="1" s="1"/>
  <c r="K248" i="1"/>
  <c r="D9" i="1"/>
  <c r="A8" i="1"/>
  <c r="M127" i="1"/>
  <c r="P127" i="1" s="1"/>
  <c r="K126" i="1"/>
  <c r="A661" i="1"/>
  <c r="K661" i="1" s="1"/>
  <c r="D662" i="1"/>
  <c r="A662" i="1" s="1"/>
  <c r="K662" i="1" s="1"/>
  <c r="M257" i="1"/>
  <c r="P257" i="1" s="1"/>
  <c r="K256" i="1"/>
  <c r="A685" i="1"/>
  <c r="K685" i="1" s="1"/>
  <c r="D686" i="1"/>
  <c r="A686" i="1" s="1"/>
  <c r="K686" i="1" s="1"/>
  <c r="AA685" i="1"/>
  <c r="AE686" i="1"/>
  <c r="AA686" i="1" s="1"/>
  <c r="D139" i="1"/>
  <c r="A138" i="1"/>
  <c r="M241" i="1"/>
  <c r="P241" i="1" s="1"/>
  <c r="K240" i="1"/>
  <c r="AA413" i="1"/>
  <c r="AE414" i="1"/>
  <c r="K231" i="1"/>
  <c r="M232" i="1"/>
  <c r="P232" i="1" s="1"/>
  <c r="AE533" i="1"/>
  <c r="AA532" i="1"/>
  <c r="D250" i="1"/>
  <c r="A249" i="1"/>
  <c r="M8" i="1"/>
  <c r="K7" i="1"/>
  <c r="AE337" i="1"/>
  <c r="AA336" i="1"/>
  <c r="D680" i="1"/>
  <c r="A680" i="1" s="1"/>
  <c r="K680" i="1" s="1"/>
  <c r="A679" i="1"/>
  <c r="K679" i="1" s="1"/>
  <c r="D466" i="1"/>
  <c r="A465" i="1"/>
  <c r="K465" i="1" s="1"/>
  <c r="D258" i="1"/>
  <c r="A257" i="1"/>
  <c r="D338" i="1"/>
  <c r="A337" i="1"/>
  <c r="K337" i="1" s="1"/>
  <c r="AA637" i="1"/>
  <c r="AE638" i="1"/>
  <c r="AA638" i="1" s="1"/>
  <c r="K157" i="1"/>
  <c r="P158" i="1"/>
  <c r="K115" i="1"/>
  <c r="M116" i="1"/>
  <c r="P116" i="1" s="1"/>
  <c r="D74" i="1"/>
  <c r="A73" i="1"/>
  <c r="A439" i="1"/>
  <c r="K439" i="1" s="1"/>
  <c r="D440" i="1"/>
  <c r="D492" i="1"/>
  <c r="A491" i="1"/>
  <c r="K491" i="1" s="1"/>
  <c r="A176" i="1"/>
  <c r="D177" i="1"/>
  <c r="M203" i="1"/>
  <c r="P203" i="1" s="1"/>
  <c r="K202" i="1"/>
  <c r="A312" i="1"/>
  <c r="K312" i="1" s="1"/>
  <c r="D313" i="1"/>
  <c r="AE692" i="1"/>
  <c r="AA692" i="1" s="1"/>
  <c r="AA691" i="1"/>
  <c r="D117" i="1"/>
  <c r="A116" i="1"/>
  <c r="D532" i="1"/>
  <c r="A531" i="1"/>
  <c r="K531" i="1" s="1"/>
  <c r="K137" i="1"/>
  <c r="M138" i="1"/>
  <c r="P138" i="1" s="1"/>
  <c r="K72" i="1"/>
  <c r="M73" i="1"/>
  <c r="P73" i="1" s="1"/>
  <c r="AE674" i="1"/>
  <c r="AA674" i="1" s="1"/>
  <c r="AA673" i="1"/>
  <c r="D350" i="1"/>
  <c r="A349" i="1"/>
  <c r="K349" i="1" s="1"/>
  <c r="AA439" i="1"/>
  <c r="AE440" i="1"/>
  <c r="M176" i="1"/>
  <c r="P176" i="1" s="1"/>
  <c r="K175" i="1"/>
  <c r="D204" i="1"/>
  <c r="A203" i="1"/>
  <c r="A222" i="1" l="1"/>
  <c r="A736" i="1"/>
  <c r="K736" i="1" s="1"/>
  <c r="A718" i="1"/>
  <c r="K718" i="1" s="1"/>
  <c r="AE650" i="1"/>
  <c r="AA650" i="1" s="1"/>
  <c r="AA649" i="1"/>
  <c r="M194" i="1"/>
  <c r="P194" i="1" s="1"/>
  <c r="K193" i="1"/>
  <c r="D195" i="1"/>
  <c r="A194" i="1"/>
  <c r="D697" i="1"/>
  <c r="A696" i="1"/>
  <c r="K696" i="1" s="1"/>
  <c r="AA697" i="1"/>
  <c r="M186" i="1"/>
  <c r="P186" i="1" s="1"/>
  <c r="K185" i="1"/>
  <c r="A223" i="1"/>
  <c r="D224" i="1"/>
  <c r="D187" i="1"/>
  <c r="A186" i="1"/>
  <c r="M242" i="1"/>
  <c r="P242" i="1" s="1"/>
  <c r="K241" i="1"/>
  <c r="A313" i="1"/>
  <c r="K313" i="1" s="1"/>
  <c r="D314" i="1"/>
  <c r="A440" i="1"/>
  <c r="K440" i="1" s="1"/>
  <c r="D441" i="1"/>
  <c r="AA491" i="1"/>
  <c r="AE492" i="1"/>
  <c r="K267" i="1"/>
  <c r="M268" i="1"/>
  <c r="P268" i="1" s="1"/>
  <c r="D243" i="1"/>
  <c r="A242" i="1"/>
  <c r="A673" i="1"/>
  <c r="K673" i="1" s="1"/>
  <c r="D674" i="1"/>
  <c r="A674" i="1" s="1"/>
  <c r="K674" i="1" s="1"/>
  <c r="D147" i="1"/>
  <c r="A146" i="1"/>
  <c r="D467" i="1"/>
  <c r="A466" i="1"/>
  <c r="K466" i="1" s="1"/>
  <c r="A350" i="1"/>
  <c r="K350" i="1" s="1"/>
  <c r="D351" i="1"/>
  <c r="AE534" i="1"/>
  <c r="AA533" i="1"/>
  <c r="M128" i="1"/>
  <c r="P128" i="1" s="1"/>
  <c r="K127" i="1"/>
  <c r="K213" i="1"/>
  <c r="M214" i="1"/>
  <c r="P214" i="1" s="1"/>
  <c r="AE656" i="1"/>
  <c r="AA656" i="1" s="1"/>
  <c r="AA655" i="1"/>
  <c r="D103" i="1"/>
  <c r="A102" i="1"/>
  <c r="A414" i="1"/>
  <c r="K414" i="1" s="1"/>
  <c r="D415" i="1"/>
  <c r="D493" i="1"/>
  <c r="A492" i="1"/>
  <c r="K492" i="1" s="1"/>
  <c r="D251" i="1"/>
  <c r="A250" i="1"/>
  <c r="D234" i="1"/>
  <c r="A233" i="1"/>
  <c r="D269" i="1"/>
  <c r="A268" i="1"/>
  <c r="K203" i="1"/>
  <c r="M204" i="1"/>
  <c r="P204" i="1" s="1"/>
  <c r="M139" i="1"/>
  <c r="P139" i="1" s="1"/>
  <c r="K138" i="1"/>
  <c r="M9" i="1"/>
  <c r="K8" i="1"/>
  <c r="D129" i="1"/>
  <c r="A128" i="1"/>
  <c r="D215" i="1"/>
  <c r="A214" i="1"/>
  <c r="K168" i="1"/>
  <c r="P169" i="1"/>
  <c r="A554" i="1"/>
  <c r="K554" i="1" s="1"/>
  <c r="D555" i="1"/>
  <c r="A204" i="1"/>
  <c r="D205" i="1"/>
  <c r="D533" i="1"/>
  <c r="A532" i="1"/>
  <c r="K532" i="1" s="1"/>
  <c r="A338" i="1"/>
  <c r="K338" i="1" s="1"/>
  <c r="D339" i="1"/>
  <c r="AE338" i="1"/>
  <c r="AA337" i="1"/>
  <c r="A139" i="1"/>
  <c r="D140" i="1"/>
  <c r="A9" i="1"/>
  <c r="D10" i="1"/>
  <c r="AE313" i="1"/>
  <c r="AA312" i="1"/>
  <c r="M117" i="1"/>
  <c r="P117" i="1" s="1"/>
  <c r="K116" i="1"/>
  <c r="D178" i="1"/>
  <c r="A177" i="1"/>
  <c r="M74" i="1"/>
  <c r="P74" i="1" s="1"/>
  <c r="K73" i="1"/>
  <c r="M258" i="1"/>
  <c r="P258" i="1" s="1"/>
  <c r="K257" i="1"/>
  <c r="AA414" i="1"/>
  <c r="AE415" i="1"/>
  <c r="A90" i="1"/>
  <c r="D91" i="1"/>
  <c r="AE555" i="1"/>
  <c r="AA554" i="1"/>
  <c r="AE434" i="1"/>
  <c r="AA434" i="1" s="1"/>
  <c r="AA433" i="1"/>
  <c r="A117" i="1"/>
  <c r="D118" i="1"/>
  <c r="K176" i="1"/>
  <c r="M177" i="1"/>
  <c r="P177" i="1" s="1"/>
  <c r="D75" i="1"/>
  <c r="A74" i="1"/>
  <c r="D259" i="1"/>
  <c r="A258" i="1"/>
  <c r="M90" i="1"/>
  <c r="P90" i="1" s="1"/>
  <c r="K89" i="1"/>
  <c r="AA379" i="1"/>
  <c r="AE380" i="1"/>
  <c r="AE680" i="1"/>
  <c r="AA680" i="1" s="1"/>
  <c r="AA679" i="1"/>
  <c r="P159" i="1"/>
  <c r="K158" i="1"/>
  <c r="AE349" i="1"/>
  <c r="AA348" i="1"/>
  <c r="M146" i="1"/>
  <c r="P146" i="1" s="1"/>
  <c r="K145" i="1"/>
  <c r="AA440" i="1"/>
  <c r="AE441" i="1"/>
  <c r="K249" i="1"/>
  <c r="M250" i="1"/>
  <c r="P250" i="1" s="1"/>
  <c r="M233" i="1"/>
  <c r="P233" i="1" s="1"/>
  <c r="K232" i="1"/>
  <c r="AE470" i="1"/>
  <c r="AA469" i="1"/>
  <c r="A159" i="1"/>
  <c r="D160" i="1"/>
  <c r="D381" i="1"/>
  <c r="A380" i="1"/>
  <c r="K380" i="1" s="1"/>
  <c r="M223" i="1" l="1"/>
  <c r="P223" i="1" s="1"/>
  <c r="M160" i="1"/>
  <c r="P160" i="1" s="1"/>
  <c r="K222" i="1"/>
  <c r="A737" i="1"/>
  <c r="K737" i="1" s="1"/>
  <c r="A719" i="1"/>
  <c r="K719" i="1" s="1"/>
  <c r="K194" i="1"/>
  <c r="M195" i="1"/>
  <c r="P195" i="1" s="1"/>
  <c r="D196" i="1"/>
  <c r="A195" i="1"/>
  <c r="AA698" i="1"/>
  <c r="D698" i="1"/>
  <c r="A697" i="1"/>
  <c r="K697" i="1" s="1"/>
  <c r="K186" i="1"/>
  <c r="M187" i="1"/>
  <c r="P187" i="1" s="1"/>
  <c r="D188" i="1"/>
  <c r="A187" i="1"/>
  <c r="A224" i="1"/>
  <c r="D225" i="1"/>
  <c r="M224" i="1"/>
  <c r="P224" i="1" s="1"/>
  <c r="K223" i="1"/>
  <c r="K159" i="1"/>
  <c r="A118" i="1"/>
  <c r="D119" i="1"/>
  <c r="M215" i="1"/>
  <c r="P215" i="1" s="1"/>
  <c r="K214" i="1"/>
  <c r="M251" i="1"/>
  <c r="P251" i="1" s="1"/>
  <c r="K250" i="1"/>
  <c r="M118" i="1"/>
  <c r="P118" i="1" s="1"/>
  <c r="K117" i="1"/>
  <c r="AA338" i="1"/>
  <c r="AE339" i="1"/>
  <c r="K204" i="1"/>
  <c r="M205" i="1"/>
  <c r="P205" i="1" s="1"/>
  <c r="A215" i="1"/>
  <c r="D216" i="1"/>
  <c r="A251" i="1"/>
  <c r="D252" i="1"/>
  <c r="D104" i="1"/>
  <c r="A103" i="1"/>
  <c r="D468" i="1"/>
  <c r="A467" i="1"/>
  <c r="K467" i="1" s="1"/>
  <c r="AE442" i="1"/>
  <c r="AA441" i="1"/>
  <c r="AA470" i="1"/>
  <c r="AE471" i="1"/>
  <c r="K258" i="1"/>
  <c r="M259" i="1"/>
  <c r="P259" i="1" s="1"/>
  <c r="D340" i="1"/>
  <c r="A339" i="1"/>
  <c r="K339" i="1" s="1"/>
  <c r="A555" i="1"/>
  <c r="K555" i="1" s="1"/>
  <c r="D556" i="1"/>
  <c r="M129" i="1"/>
  <c r="P129" i="1" s="1"/>
  <c r="K128" i="1"/>
  <c r="M130" i="1"/>
  <c r="P130" i="1" s="1"/>
  <c r="M147" i="1"/>
  <c r="P147" i="1" s="1"/>
  <c r="K146" i="1"/>
  <c r="D206" i="1"/>
  <c r="A205" i="1"/>
  <c r="AE381" i="1"/>
  <c r="AA380" i="1"/>
  <c r="A259" i="1"/>
  <c r="D260" i="1"/>
  <c r="AE314" i="1"/>
  <c r="AA313" i="1"/>
  <c r="D130" i="1"/>
  <c r="A129" i="1"/>
  <c r="K129" i="1" s="1"/>
  <c r="D494" i="1"/>
  <c r="A493" i="1"/>
  <c r="K493" i="1" s="1"/>
  <c r="AE535" i="1"/>
  <c r="AA534" i="1"/>
  <c r="A147" i="1"/>
  <c r="D148" i="1"/>
  <c r="A441" i="1"/>
  <c r="K441" i="1" s="1"/>
  <c r="D442" i="1"/>
  <c r="A160" i="1"/>
  <c r="D161" i="1"/>
  <c r="M103" i="1"/>
  <c r="P103" i="1" s="1"/>
  <c r="K102" i="1"/>
  <c r="K74" i="1"/>
  <c r="M75" i="1"/>
  <c r="P75" i="1" s="1"/>
  <c r="A10" i="1"/>
  <c r="D11" i="1"/>
  <c r="M269" i="1"/>
  <c r="P269" i="1" s="1"/>
  <c r="K268" i="1"/>
  <c r="AE493" i="1"/>
  <c r="AA492" i="1"/>
  <c r="D76" i="1"/>
  <c r="A75" i="1"/>
  <c r="AA555" i="1"/>
  <c r="AE556" i="1"/>
  <c r="M10" i="1"/>
  <c r="K9" i="1"/>
  <c r="D534" i="1"/>
  <c r="A533" i="1"/>
  <c r="K533" i="1" s="1"/>
  <c r="A269" i="1"/>
  <c r="D270" i="1"/>
  <c r="A314" i="1"/>
  <c r="K314" i="1" s="1"/>
  <c r="D315" i="1"/>
  <c r="AA415" i="1"/>
  <c r="AE416" i="1"/>
  <c r="P170" i="1"/>
  <c r="K169" i="1"/>
  <c r="A381" i="1"/>
  <c r="K381" i="1" s="1"/>
  <c r="D382" i="1"/>
  <c r="AE350" i="1"/>
  <c r="AA349" i="1"/>
  <c r="D92" i="1"/>
  <c r="A91" i="1"/>
  <c r="M178" i="1"/>
  <c r="P178" i="1" s="1"/>
  <c r="K177" i="1"/>
  <c r="D141" i="1"/>
  <c r="A141" i="1" s="1"/>
  <c r="A140" i="1"/>
  <c r="M234" i="1"/>
  <c r="P234" i="1" s="1"/>
  <c r="K233" i="1"/>
  <c r="A415" i="1"/>
  <c r="K415" i="1" s="1"/>
  <c r="D416" i="1"/>
  <c r="D352" i="1"/>
  <c r="A351" i="1"/>
  <c r="K351" i="1" s="1"/>
  <c r="M243" i="1"/>
  <c r="P243" i="1" s="1"/>
  <c r="K242" i="1"/>
  <c r="M91" i="1"/>
  <c r="P91" i="1" s="1"/>
  <c r="K90" i="1"/>
  <c r="D179" i="1"/>
  <c r="A178" i="1"/>
  <c r="M140" i="1"/>
  <c r="P140" i="1" s="1"/>
  <c r="K139" i="1"/>
  <c r="D235" i="1"/>
  <c r="A235" i="1" s="1"/>
  <c r="A234" i="1"/>
  <c r="A243" i="1"/>
  <c r="D244" i="1"/>
  <c r="M161" i="1" l="1"/>
  <c r="P161" i="1" s="1"/>
  <c r="A738" i="1"/>
  <c r="K738" i="1" s="1"/>
  <c r="A720" i="1"/>
  <c r="K720" i="1" s="1"/>
  <c r="M196" i="1"/>
  <c r="P196" i="1" s="1"/>
  <c r="K195" i="1"/>
  <c r="A196" i="1"/>
  <c r="D197" i="1"/>
  <c r="D699" i="1"/>
  <c r="A698" i="1"/>
  <c r="K698" i="1" s="1"/>
  <c r="AA699" i="1"/>
  <c r="D189" i="1"/>
  <c r="A189" i="1" s="1"/>
  <c r="A188" i="1"/>
  <c r="K187" i="1"/>
  <c r="M188" i="1"/>
  <c r="P188" i="1" s="1"/>
  <c r="A225" i="1"/>
  <c r="D226" i="1"/>
  <c r="A226" i="1" s="1"/>
  <c r="M225" i="1"/>
  <c r="P225" i="1" s="1"/>
  <c r="K224" i="1"/>
  <c r="AA350" i="1"/>
  <c r="AE351" i="1"/>
  <c r="K160" i="1"/>
  <c r="A494" i="1"/>
  <c r="K494" i="1" s="1"/>
  <c r="D495" i="1"/>
  <c r="AE382" i="1"/>
  <c r="AA381" i="1"/>
  <c r="D557" i="1"/>
  <c r="A556" i="1"/>
  <c r="K556" i="1" s="1"/>
  <c r="A216" i="1"/>
  <c r="D217" i="1"/>
  <c r="A217" i="1" s="1"/>
  <c r="D245" i="1"/>
  <c r="A245" i="1" s="1"/>
  <c r="A244" i="1"/>
  <c r="M179" i="1"/>
  <c r="P179" i="1" s="1"/>
  <c r="K178" i="1"/>
  <c r="M141" i="1"/>
  <c r="P141" i="1" s="1"/>
  <c r="K140" i="1"/>
  <c r="P171" i="1"/>
  <c r="K170" i="1"/>
  <c r="D316" i="1"/>
  <c r="A315" i="1"/>
  <c r="K315" i="1" s="1"/>
  <c r="AA556" i="1"/>
  <c r="AE557" i="1"/>
  <c r="A11" i="1"/>
  <c r="D12" i="1"/>
  <c r="A442" i="1"/>
  <c r="K442" i="1" s="1"/>
  <c r="D443" i="1"/>
  <c r="K205" i="1"/>
  <c r="M206" i="1"/>
  <c r="P206" i="1" s="1"/>
  <c r="AE443" i="1"/>
  <c r="AA442" i="1"/>
  <c r="M216" i="1"/>
  <c r="P216" i="1" s="1"/>
  <c r="K215" i="1"/>
  <c r="K243" i="1"/>
  <c r="M244" i="1"/>
  <c r="P244" i="1" s="1"/>
  <c r="D180" i="1"/>
  <c r="A179" i="1"/>
  <c r="D353" i="1"/>
  <c r="A352" i="1"/>
  <c r="K352" i="1" s="1"/>
  <c r="M142" i="1"/>
  <c r="P142" i="1" s="1"/>
  <c r="K141" i="1"/>
  <c r="M11" i="1"/>
  <c r="K10" i="1"/>
  <c r="D131" i="1"/>
  <c r="A130" i="1"/>
  <c r="D207" i="1"/>
  <c r="A206" i="1"/>
  <c r="M235" i="1"/>
  <c r="P235" i="1" s="1"/>
  <c r="K234" i="1"/>
  <c r="D417" i="1"/>
  <c r="A416" i="1"/>
  <c r="K416" i="1" s="1"/>
  <c r="D383" i="1"/>
  <c r="A382" i="1"/>
  <c r="K382" i="1" s="1"/>
  <c r="A270" i="1"/>
  <c r="D271" i="1"/>
  <c r="A271" i="1" s="1"/>
  <c r="M76" i="1"/>
  <c r="P76" i="1" s="1"/>
  <c r="K75" i="1"/>
  <c r="D149" i="1"/>
  <c r="A148" i="1"/>
  <c r="D341" i="1"/>
  <c r="A340" i="1"/>
  <c r="K340" i="1" s="1"/>
  <c r="D469" i="1"/>
  <c r="A468" i="1"/>
  <c r="K468" i="1" s="1"/>
  <c r="K235" i="1"/>
  <c r="M236" i="1"/>
  <c r="P236" i="1" s="1"/>
  <c r="M270" i="1"/>
  <c r="P270" i="1" s="1"/>
  <c r="K269" i="1"/>
  <c r="A76" i="1"/>
  <c r="D77" i="1"/>
  <c r="K147" i="1"/>
  <c r="M148" i="1"/>
  <c r="P148" i="1" s="1"/>
  <c r="AE315" i="1"/>
  <c r="AA314" i="1"/>
  <c r="M104" i="1"/>
  <c r="P104" i="1" s="1"/>
  <c r="K103" i="1"/>
  <c r="AA339" i="1"/>
  <c r="AE340" i="1"/>
  <c r="D120" i="1"/>
  <c r="A119" i="1"/>
  <c r="M92" i="1"/>
  <c r="P92" i="1" s="1"/>
  <c r="K91" i="1"/>
  <c r="D261" i="1"/>
  <c r="A260" i="1"/>
  <c r="D105" i="1"/>
  <c r="A104" i="1"/>
  <c r="M119" i="1"/>
  <c r="P119" i="1" s="1"/>
  <c r="K118" i="1"/>
  <c r="D93" i="1"/>
  <c r="A92" i="1"/>
  <c r="D535" i="1"/>
  <c r="A534" i="1"/>
  <c r="K534" i="1" s="1"/>
  <c r="AE494" i="1"/>
  <c r="AA493" i="1"/>
  <c r="AE536" i="1"/>
  <c r="AA535" i="1"/>
  <c r="K259" i="1"/>
  <c r="M260" i="1"/>
  <c r="P260" i="1" s="1"/>
  <c r="AA471" i="1"/>
  <c r="AE472" i="1"/>
  <c r="D253" i="1"/>
  <c r="A253" i="1" s="1"/>
  <c r="A252" i="1"/>
  <c r="AA416" i="1"/>
  <c r="AE417" i="1"/>
  <c r="D162" i="1"/>
  <c r="A161" i="1"/>
  <c r="K251" i="1"/>
  <c r="M252" i="1"/>
  <c r="P252" i="1" s="1"/>
  <c r="M162" i="1" l="1"/>
  <c r="P162" i="1" s="1"/>
  <c r="A740" i="1"/>
  <c r="K740" i="1" s="1"/>
  <c r="A739" i="1"/>
  <c r="K739" i="1" s="1"/>
  <c r="A721" i="1"/>
  <c r="K721" i="1" s="1"/>
  <c r="D198" i="1"/>
  <c r="A197" i="1"/>
  <c r="K196" i="1"/>
  <c r="M197" i="1"/>
  <c r="P197" i="1" s="1"/>
  <c r="AA700" i="1"/>
  <c r="D700" i="1"/>
  <c r="A699" i="1"/>
  <c r="K699" i="1" s="1"/>
  <c r="K189" i="1"/>
  <c r="M190" i="1"/>
  <c r="P190" i="1" s="1"/>
  <c r="K188" i="1"/>
  <c r="M189" i="1"/>
  <c r="P189" i="1" s="1"/>
  <c r="K226" i="1"/>
  <c r="M227" i="1"/>
  <c r="P227" i="1" s="1"/>
  <c r="M226" i="1"/>
  <c r="P226" i="1" s="1"/>
  <c r="K225" i="1"/>
  <c r="M254" i="1"/>
  <c r="P254" i="1" s="1"/>
  <c r="K253" i="1"/>
  <c r="D342" i="1"/>
  <c r="A342" i="1" s="1"/>
  <c r="K342" i="1" s="1"/>
  <c r="A341" i="1"/>
  <c r="K341" i="1" s="1"/>
  <c r="A131" i="1"/>
  <c r="D132" i="1"/>
  <c r="A132" i="1" s="1"/>
  <c r="M149" i="1"/>
  <c r="P149" i="1" s="1"/>
  <c r="K148" i="1"/>
  <c r="A149" i="1"/>
  <c r="D150" i="1"/>
  <c r="D418" i="1"/>
  <c r="A417" i="1"/>
  <c r="K417" i="1" s="1"/>
  <c r="K179" i="1"/>
  <c r="M180" i="1"/>
  <c r="P180" i="1" s="1"/>
  <c r="M245" i="1"/>
  <c r="P245" i="1" s="1"/>
  <c r="K244" i="1"/>
  <c r="D496" i="1"/>
  <c r="A495" i="1"/>
  <c r="K495" i="1" s="1"/>
  <c r="K76" i="1"/>
  <c r="M77" i="1"/>
  <c r="P77" i="1" s="1"/>
  <c r="AE558" i="1"/>
  <c r="AA557" i="1"/>
  <c r="AE473" i="1"/>
  <c r="AA472" i="1"/>
  <c r="AE444" i="1"/>
  <c r="AA443" i="1"/>
  <c r="M93" i="1"/>
  <c r="P93" i="1" s="1"/>
  <c r="K92" i="1"/>
  <c r="A180" i="1"/>
  <c r="D181" i="1"/>
  <c r="A181" i="1" s="1"/>
  <c r="D317" i="1"/>
  <c r="A316" i="1"/>
  <c r="K316" i="1" s="1"/>
  <c r="M246" i="1"/>
  <c r="P246" i="1" s="1"/>
  <c r="K245" i="1"/>
  <c r="D106" i="1"/>
  <c r="A105" i="1"/>
  <c r="M261" i="1"/>
  <c r="P261" i="1" s="1"/>
  <c r="K260" i="1"/>
  <c r="D354" i="1"/>
  <c r="A353" i="1"/>
  <c r="K353" i="1" s="1"/>
  <c r="AE383" i="1"/>
  <c r="AA382" i="1"/>
  <c r="K171" i="1"/>
  <c r="P172" i="1"/>
  <c r="A443" i="1"/>
  <c r="K443" i="1" s="1"/>
  <c r="D444" i="1"/>
  <c r="M218" i="1"/>
  <c r="P218" i="1" s="1"/>
  <c r="K217" i="1"/>
  <c r="AA494" i="1"/>
  <c r="AE495" i="1"/>
  <c r="D536" i="1"/>
  <c r="A535" i="1"/>
  <c r="K535" i="1" s="1"/>
  <c r="K161" i="1"/>
  <c r="AA417" i="1"/>
  <c r="AE418" i="1"/>
  <c r="M272" i="1"/>
  <c r="K271" i="1"/>
  <c r="M207" i="1"/>
  <c r="P207" i="1" s="1"/>
  <c r="K206" i="1"/>
  <c r="K172" i="1"/>
  <c r="M173" i="1"/>
  <c r="P173" i="1" s="1"/>
  <c r="K216" i="1"/>
  <c r="M217" i="1"/>
  <c r="P217" i="1" s="1"/>
  <c r="D384" i="1"/>
  <c r="A383" i="1"/>
  <c r="K383" i="1" s="1"/>
  <c r="D94" i="1"/>
  <c r="A93" i="1"/>
  <c r="AA315" i="1"/>
  <c r="AE316" i="1"/>
  <c r="M120" i="1"/>
  <c r="P120" i="1" s="1"/>
  <c r="K119" i="1"/>
  <c r="AE537" i="1"/>
  <c r="AA536" i="1"/>
  <c r="D121" i="1"/>
  <c r="A120" i="1"/>
  <c r="A469" i="1"/>
  <c r="K469" i="1" s="1"/>
  <c r="D470" i="1"/>
  <c r="M271" i="1"/>
  <c r="P271" i="1" s="1"/>
  <c r="K270" i="1"/>
  <c r="A207" i="1"/>
  <c r="D208" i="1"/>
  <c r="A208" i="1" s="1"/>
  <c r="D13" i="1"/>
  <c r="D14" i="1" s="1"/>
  <c r="A14" i="1" s="1"/>
  <c r="K14" i="1" s="1"/>
  <c r="A12" i="1"/>
  <c r="AA351" i="1"/>
  <c r="AE352" i="1"/>
  <c r="D262" i="1"/>
  <c r="A262" i="1" s="1"/>
  <c r="A261" i="1"/>
  <c r="D163" i="1"/>
  <c r="A163" i="1" s="1"/>
  <c r="A162" i="1"/>
  <c r="K252" i="1"/>
  <c r="M253" i="1"/>
  <c r="P253" i="1" s="1"/>
  <c r="K104" i="1"/>
  <c r="M105" i="1"/>
  <c r="P105" i="1" s="1"/>
  <c r="AE341" i="1"/>
  <c r="AA340" i="1"/>
  <c r="A77" i="1"/>
  <c r="D78" i="1"/>
  <c r="M131" i="1"/>
  <c r="P131" i="1" s="1"/>
  <c r="K130" i="1"/>
  <c r="M12" i="1"/>
  <c r="K11" i="1"/>
  <c r="D558" i="1"/>
  <c r="A557" i="1"/>
  <c r="K557" i="1" s="1"/>
  <c r="M164" i="1" l="1"/>
  <c r="P164" i="1" s="1"/>
  <c r="M163" i="1"/>
  <c r="P163" i="1" s="1"/>
  <c r="P296" i="1"/>
  <c r="M294" i="1"/>
  <c r="P294" i="1" s="1"/>
  <c r="A722" i="1"/>
  <c r="K722" i="1" s="1"/>
  <c r="M198" i="1"/>
  <c r="P198" i="1" s="1"/>
  <c r="K197" i="1"/>
  <c r="D199" i="1"/>
  <c r="A199" i="1" s="1"/>
  <c r="A198" i="1"/>
  <c r="A700" i="1"/>
  <c r="K700" i="1" s="1"/>
  <c r="D701" i="1"/>
  <c r="AA701" i="1"/>
  <c r="A354" i="1"/>
  <c r="K354" i="1" s="1"/>
  <c r="D355" i="1"/>
  <c r="D79" i="1"/>
  <c r="A78" i="1"/>
  <c r="K162" i="1"/>
  <c r="AE353" i="1"/>
  <c r="AA352" i="1"/>
  <c r="A470" i="1"/>
  <c r="K470" i="1" s="1"/>
  <c r="D471" i="1"/>
  <c r="AA316" i="1"/>
  <c r="AE317" i="1"/>
  <c r="A444" i="1"/>
  <c r="K444" i="1" s="1"/>
  <c r="D445" i="1"/>
  <c r="K181" i="1"/>
  <c r="M182" i="1"/>
  <c r="P182" i="1" s="1"/>
  <c r="M133" i="1"/>
  <c r="P133" i="1" s="1"/>
  <c r="K132" i="1"/>
  <c r="M78" i="1"/>
  <c r="P78" i="1" s="1"/>
  <c r="K77" i="1"/>
  <c r="K163" i="1"/>
  <c r="K180" i="1"/>
  <c r="M181" i="1"/>
  <c r="P181" i="1" s="1"/>
  <c r="AE559" i="1"/>
  <c r="AA558" i="1"/>
  <c r="M132" i="1"/>
  <c r="P132" i="1" s="1"/>
  <c r="K131" i="1"/>
  <c r="D318" i="1"/>
  <c r="A317" i="1"/>
  <c r="K317" i="1" s="1"/>
  <c r="M262" i="1"/>
  <c r="P262" i="1" s="1"/>
  <c r="K261" i="1"/>
  <c r="M13" i="1"/>
  <c r="K12" i="1"/>
  <c r="M121" i="1"/>
  <c r="P121" i="1" s="1"/>
  <c r="K120" i="1"/>
  <c r="K93" i="1"/>
  <c r="M94" i="1"/>
  <c r="P94" i="1" s="1"/>
  <c r="K105" i="1"/>
  <c r="M106" i="1"/>
  <c r="P106" i="1" s="1"/>
  <c r="AA418" i="1"/>
  <c r="AE419" i="1"/>
  <c r="D559" i="1"/>
  <c r="A558" i="1"/>
  <c r="K558" i="1" s="1"/>
  <c r="AE342" i="1"/>
  <c r="AA342" i="1" s="1"/>
  <c r="AA341" i="1"/>
  <c r="M263" i="1"/>
  <c r="P263" i="1" s="1"/>
  <c r="K262" i="1"/>
  <c r="A13" i="1"/>
  <c r="M14" i="1" s="1"/>
  <c r="D122" i="1"/>
  <c r="A122" i="1" s="1"/>
  <c r="A121" i="1"/>
  <c r="D95" i="1"/>
  <c r="A94" i="1"/>
  <c r="D537" i="1"/>
  <c r="A536" i="1"/>
  <c r="K536" i="1" s="1"/>
  <c r="D107" i="1"/>
  <c r="A106" i="1"/>
  <c r="A418" i="1"/>
  <c r="K418" i="1" s="1"/>
  <c r="D419" i="1"/>
  <c r="K208" i="1"/>
  <c r="M209" i="1"/>
  <c r="P209" i="1" s="1"/>
  <c r="AA495" i="1"/>
  <c r="AE496" i="1"/>
  <c r="A150" i="1"/>
  <c r="D151" i="1"/>
  <c r="AA473" i="1"/>
  <c r="AE474" i="1"/>
  <c r="M208" i="1"/>
  <c r="P208" i="1" s="1"/>
  <c r="K207" i="1"/>
  <c r="AE538" i="1"/>
  <c r="AA537" i="1"/>
  <c r="A384" i="1"/>
  <c r="K384" i="1" s="1"/>
  <c r="D385" i="1"/>
  <c r="AE384" i="1"/>
  <c r="AA383" i="1"/>
  <c r="AE445" i="1"/>
  <c r="AA444" i="1"/>
  <c r="D497" i="1"/>
  <c r="A496" i="1"/>
  <c r="K496" i="1" s="1"/>
  <c r="M150" i="1"/>
  <c r="P150" i="1" s="1"/>
  <c r="K149" i="1"/>
  <c r="A723" i="1" l="1"/>
  <c r="K723" i="1" s="1"/>
  <c r="K198" i="1"/>
  <c r="M199" i="1"/>
  <c r="P199" i="1" s="1"/>
  <c r="M200" i="1"/>
  <c r="P200" i="1" s="1"/>
  <c r="K199" i="1"/>
  <c r="AA702" i="1"/>
  <c r="A701" i="1"/>
  <c r="K701" i="1" s="1"/>
  <c r="D702" i="1"/>
  <c r="D538" i="1"/>
  <c r="A537" i="1"/>
  <c r="K537" i="1" s="1"/>
  <c r="AE354" i="1"/>
  <c r="AA353" i="1"/>
  <c r="K94" i="1"/>
  <c r="M95" i="1"/>
  <c r="P95" i="1" s="1"/>
  <c r="A445" i="1"/>
  <c r="K445" i="1" s="1"/>
  <c r="D446" i="1"/>
  <c r="D96" i="1"/>
  <c r="A96" i="1" s="1"/>
  <c r="A95" i="1"/>
  <c r="A318" i="1"/>
  <c r="K318" i="1" s="1"/>
  <c r="D319" i="1"/>
  <c r="AA384" i="1"/>
  <c r="AE385" i="1"/>
  <c r="A385" i="1"/>
  <c r="K385" i="1" s="1"/>
  <c r="D386" i="1"/>
  <c r="D152" i="1"/>
  <c r="A151" i="1"/>
  <c r="M151" i="1"/>
  <c r="P151" i="1" s="1"/>
  <c r="K150" i="1"/>
  <c r="A419" i="1"/>
  <c r="K419" i="1" s="1"/>
  <c r="D420" i="1"/>
  <c r="K121" i="1"/>
  <c r="M122" i="1"/>
  <c r="P122" i="1" s="1"/>
  <c r="AE318" i="1"/>
  <c r="AA317" i="1"/>
  <c r="M79" i="1"/>
  <c r="P79" i="1" s="1"/>
  <c r="K78" i="1"/>
  <c r="AE446" i="1"/>
  <c r="AA445" i="1"/>
  <c r="K122" i="1"/>
  <c r="M123" i="1"/>
  <c r="P123" i="1" s="1"/>
  <c r="D560" i="1"/>
  <c r="A559" i="1"/>
  <c r="K559" i="1" s="1"/>
  <c r="D80" i="1"/>
  <c r="A79" i="1"/>
  <c r="AA474" i="1"/>
  <c r="AE475" i="1"/>
  <c r="AE497" i="1"/>
  <c r="AA496" i="1"/>
  <c r="D498" i="1"/>
  <c r="A497" i="1"/>
  <c r="K497" i="1" s="1"/>
  <c r="AE539" i="1"/>
  <c r="AA538" i="1"/>
  <c r="K106" i="1"/>
  <c r="M107" i="1"/>
  <c r="P107" i="1" s="1"/>
  <c r="D16" i="1"/>
  <c r="AA419" i="1"/>
  <c r="AE420" i="1"/>
  <c r="D472" i="1"/>
  <c r="A471" i="1"/>
  <c r="K471" i="1" s="1"/>
  <c r="D356" i="1"/>
  <c r="A355" i="1"/>
  <c r="K355" i="1" s="1"/>
  <c r="D108" i="1"/>
  <c r="A107" i="1"/>
  <c r="K13" i="1"/>
  <c r="AE560" i="1"/>
  <c r="AA559" i="1"/>
  <c r="A724" i="1" l="1"/>
  <c r="K724" i="1" s="1"/>
  <c r="D703" i="1"/>
  <c r="A702" i="1"/>
  <c r="K702" i="1" s="1"/>
  <c r="AE711" i="1"/>
  <c r="AA703" i="1"/>
  <c r="A108" i="1"/>
  <c r="D109" i="1"/>
  <c r="M16" i="1"/>
  <c r="AE498" i="1"/>
  <c r="AA497" i="1"/>
  <c r="A16" i="1"/>
  <c r="D17" i="1"/>
  <c r="D387" i="1"/>
  <c r="A386" i="1"/>
  <c r="K386" i="1" s="1"/>
  <c r="AE476" i="1"/>
  <c r="AA475" i="1"/>
  <c r="A420" i="1"/>
  <c r="K420" i="1" s="1"/>
  <c r="D421" i="1"/>
  <c r="AA385" i="1"/>
  <c r="AE386" i="1"/>
  <c r="D357" i="1"/>
  <c r="A356" i="1"/>
  <c r="K356" i="1" s="1"/>
  <c r="AE447" i="1"/>
  <c r="AA446" i="1"/>
  <c r="AE561" i="1"/>
  <c r="AA560" i="1"/>
  <c r="M80" i="1"/>
  <c r="P80" i="1" s="1"/>
  <c r="K79" i="1"/>
  <c r="A319" i="1"/>
  <c r="K319" i="1" s="1"/>
  <c r="D320" i="1"/>
  <c r="K107" i="1"/>
  <c r="M108" i="1"/>
  <c r="P108" i="1" s="1"/>
  <c r="A446" i="1"/>
  <c r="K446" i="1" s="1"/>
  <c r="D447" i="1"/>
  <c r="AA354" i="1"/>
  <c r="AE355" i="1"/>
  <c r="D473" i="1"/>
  <c r="A472" i="1"/>
  <c r="K472" i="1" s="1"/>
  <c r="A80" i="1"/>
  <c r="D81" i="1"/>
  <c r="AA420" i="1"/>
  <c r="AE421" i="1"/>
  <c r="K151" i="1"/>
  <c r="M152" i="1"/>
  <c r="P152" i="1" s="1"/>
  <c r="K95" i="1"/>
  <c r="M96" i="1"/>
  <c r="P96" i="1" s="1"/>
  <c r="AE540" i="1"/>
  <c r="AA539" i="1"/>
  <c r="A498" i="1"/>
  <c r="K498" i="1" s="1"/>
  <c r="D499" i="1"/>
  <c r="D561" i="1"/>
  <c r="A560" i="1"/>
  <c r="K560" i="1" s="1"/>
  <c r="AE319" i="1"/>
  <c r="AA318" i="1"/>
  <c r="D153" i="1"/>
  <c r="A153" i="1" s="1"/>
  <c r="A152" i="1"/>
  <c r="K96" i="1"/>
  <c r="M97" i="1"/>
  <c r="P97" i="1" s="1"/>
  <c r="D539" i="1"/>
  <c r="A538" i="1"/>
  <c r="K538" i="1" s="1"/>
  <c r="AE712" i="1" l="1"/>
  <c r="AA711" i="1"/>
  <c r="A725" i="1"/>
  <c r="K725" i="1" s="1"/>
  <c r="AA704" i="1"/>
  <c r="D704" i="1"/>
  <c r="A703" i="1"/>
  <c r="K703" i="1" s="1"/>
  <c r="AA421" i="1"/>
  <c r="AE422" i="1"/>
  <c r="A447" i="1"/>
  <c r="K447" i="1" s="1"/>
  <c r="D448" i="1"/>
  <c r="D422" i="1"/>
  <c r="A421" i="1"/>
  <c r="K421" i="1" s="1"/>
  <c r="D540" i="1"/>
  <c r="A539" i="1"/>
  <c r="K539" i="1" s="1"/>
  <c r="D500" i="1"/>
  <c r="A499" i="1"/>
  <c r="K499" i="1" s="1"/>
  <c r="AE562" i="1"/>
  <c r="AA561" i="1"/>
  <c r="AE499" i="1"/>
  <c r="AA498" i="1"/>
  <c r="D562" i="1"/>
  <c r="A561" i="1"/>
  <c r="K561" i="1" s="1"/>
  <c r="A81" i="1"/>
  <c r="D82" i="1"/>
  <c r="M154" i="1"/>
  <c r="P154" i="1" s="1"/>
  <c r="K153" i="1"/>
  <c r="AE541" i="1"/>
  <c r="AA540" i="1"/>
  <c r="M81" i="1"/>
  <c r="P81" i="1" s="1"/>
  <c r="K80" i="1"/>
  <c r="AA447" i="1"/>
  <c r="AE448" i="1"/>
  <c r="AA476" i="1"/>
  <c r="AE477" i="1"/>
  <c r="D321" i="1"/>
  <c r="A320" i="1"/>
  <c r="K320" i="1" s="1"/>
  <c r="AA319" i="1"/>
  <c r="AE320" i="1"/>
  <c r="D474" i="1"/>
  <c r="A473" i="1"/>
  <c r="K473" i="1" s="1"/>
  <c r="D358" i="1"/>
  <c r="A357" i="1"/>
  <c r="K357" i="1" s="1"/>
  <c r="D388" i="1"/>
  <c r="A387" i="1"/>
  <c r="K387" i="1" s="1"/>
  <c r="A109" i="1"/>
  <c r="D110" i="1"/>
  <c r="M17" i="1"/>
  <c r="K16" i="1"/>
  <c r="M153" i="1"/>
  <c r="P153" i="1" s="1"/>
  <c r="K152" i="1"/>
  <c r="AA355" i="1"/>
  <c r="AE356" i="1"/>
  <c r="AE387" i="1"/>
  <c r="AA386" i="1"/>
  <c r="D18" i="1"/>
  <c r="A17" i="1"/>
  <c r="M109" i="1"/>
  <c r="P109" i="1" s="1"/>
  <c r="K108" i="1"/>
  <c r="AE713" i="1" l="1"/>
  <c r="AA712" i="1"/>
  <c r="A726" i="1"/>
  <c r="K726" i="1" s="1"/>
  <c r="D705" i="1"/>
  <c r="A704" i="1"/>
  <c r="K704" i="1" s="1"/>
  <c r="AA705" i="1"/>
  <c r="AA320" i="1"/>
  <c r="AE321" i="1"/>
  <c r="AA387" i="1"/>
  <c r="AE388" i="1"/>
  <c r="M110" i="1"/>
  <c r="P110" i="1" s="1"/>
  <c r="K109" i="1"/>
  <c r="A562" i="1"/>
  <c r="K562" i="1" s="1"/>
  <c r="D563" i="1"/>
  <c r="D541" i="1"/>
  <c r="A540" i="1"/>
  <c r="K540" i="1" s="1"/>
  <c r="AE357" i="1"/>
  <c r="AA356" i="1"/>
  <c r="A388" i="1"/>
  <c r="K388" i="1" s="1"/>
  <c r="D389" i="1"/>
  <c r="D322" i="1"/>
  <c r="A321" i="1"/>
  <c r="K321" i="1" s="1"/>
  <c r="AE542" i="1"/>
  <c r="AA541" i="1"/>
  <c r="AA499" i="1"/>
  <c r="AE500" i="1"/>
  <c r="D423" i="1"/>
  <c r="A422" i="1"/>
  <c r="K422" i="1" s="1"/>
  <c r="AE478" i="1"/>
  <c r="AA477" i="1"/>
  <c r="A448" i="1"/>
  <c r="K448" i="1" s="1"/>
  <c r="D449" i="1"/>
  <c r="A358" i="1"/>
  <c r="K358" i="1" s="1"/>
  <c r="D359" i="1"/>
  <c r="AE563" i="1"/>
  <c r="AA562" i="1"/>
  <c r="M18" i="1"/>
  <c r="K17" i="1"/>
  <c r="AA448" i="1"/>
  <c r="AE449" i="1"/>
  <c r="A82" i="1"/>
  <c r="D83" i="1"/>
  <c r="AA422" i="1"/>
  <c r="AE423" i="1"/>
  <c r="A110" i="1"/>
  <c r="D111" i="1"/>
  <c r="A111" i="1" s="1"/>
  <c r="D19" i="1"/>
  <c r="A18" i="1"/>
  <c r="D475" i="1"/>
  <c r="A474" i="1"/>
  <c r="K474" i="1" s="1"/>
  <c r="M82" i="1"/>
  <c r="P82" i="1" s="1"/>
  <c r="K81" i="1"/>
  <c r="D501" i="1"/>
  <c r="A500" i="1"/>
  <c r="K500" i="1" s="1"/>
  <c r="AE714" i="1" l="1"/>
  <c r="AA713" i="1"/>
  <c r="A727" i="1"/>
  <c r="K727" i="1" s="1"/>
  <c r="AA706" i="1"/>
  <c r="D706" i="1"/>
  <c r="A705" i="1"/>
  <c r="K705" i="1" s="1"/>
  <c r="A563" i="1"/>
  <c r="K563" i="1" s="1"/>
  <c r="D564" i="1"/>
  <c r="D502" i="1"/>
  <c r="A501" i="1"/>
  <c r="K501" i="1" s="1"/>
  <c r="M111" i="1"/>
  <c r="P111" i="1" s="1"/>
  <c r="K110" i="1"/>
  <c r="AE479" i="1"/>
  <c r="AA478" i="1"/>
  <c r="A322" i="1"/>
  <c r="K322" i="1" s="1"/>
  <c r="D323" i="1"/>
  <c r="AA423" i="1"/>
  <c r="AE424" i="1"/>
  <c r="A389" i="1"/>
  <c r="K389" i="1" s="1"/>
  <c r="D390" i="1"/>
  <c r="AA563" i="1"/>
  <c r="AE564" i="1"/>
  <c r="D424" i="1"/>
  <c r="A423" i="1"/>
  <c r="K423" i="1" s="1"/>
  <c r="D84" i="1"/>
  <c r="A84" i="1" s="1"/>
  <c r="K84" i="1" s="1"/>
  <c r="A83" i="1"/>
  <c r="D360" i="1"/>
  <c r="A359" i="1"/>
  <c r="K359" i="1" s="1"/>
  <c r="AA500" i="1"/>
  <c r="AE501" i="1"/>
  <c r="AA388" i="1"/>
  <c r="AE389" i="1"/>
  <c r="D476" i="1"/>
  <c r="A475" i="1"/>
  <c r="K475" i="1" s="1"/>
  <c r="M83" i="1"/>
  <c r="P83" i="1" s="1"/>
  <c r="K82" i="1"/>
  <c r="AE358" i="1"/>
  <c r="AA357" i="1"/>
  <c r="M19" i="1"/>
  <c r="K18" i="1"/>
  <c r="AE450" i="1"/>
  <c r="AA449" i="1"/>
  <c r="A449" i="1"/>
  <c r="K449" i="1" s="1"/>
  <c r="D450" i="1"/>
  <c r="AE322" i="1"/>
  <c r="AA321" i="1"/>
  <c r="M112" i="1"/>
  <c r="P112" i="1" s="1"/>
  <c r="K111" i="1"/>
  <c r="D20" i="1"/>
  <c r="A19" i="1"/>
  <c r="AE543" i="1"/>
  <c r="AA542" i="1"/>
  <c r="D542" i="1"/>
  <c r="A541" i="1"/>
  <c r="K541" i="1" s="1"/>
  <c r="AE715" i="1" l="1"/>
  <c r="AA714" i="1"/>
  <c r="A728" i="1"/>
  <c r="K728" i="1" s="1"/>
  <c r="D707" i="1"/>
  <c r="A706" i="1"/>
  <c r="K706" i="1" s="1"/>
  <c r="AA707" i="1"/>
  <c r="D543" i="1"/>
  <c r="A542" i="1"/>
  <c r="K542" i="1" s="1"/>
  <c r="AA322" i="1"/>
  <c r="AE323" i="1"/>
  <c r="AE359" i="1"/>
  <c r="AA358" i="1"/>
  <c r="AA479" i="1"/>
  <c r="AE480" i="1"/>
  <c r="AA564" i="1"/>
  <c r="AE565" i="1"/>
  <c r="A450" i="1"/>
  <c r="K450" i="1" s="1"/>
  <c r="D451" i="1"/>
  <c r="D391" i="1"/>
  <c r="A390" i="1"/>
  <c r="K390" i="1" s="1"/>
  <c r="AE502" i="1"/>
  <c r="AA501" i="1"/>
  <c r="AE544" i="1"/>
  <c r="AA543" i="1"/>
  <c r="D361" i="1"/>
  <c r="A360" i="1"/>
  <c r="K360" i="1" s="1"/>
  <c r="M20" i="1"/>
  <c r="K19" i="1"/>
  <c r="M85" i="1"/>
  <c r="P85" i="1" s="1"/>
  <c r="K83" i="1"/>
  <c r="AA424" i="1"/>
  <c r="AE425" i="1"/>
  <c r="D21" i="1"/>
  <c r="A21" i="1" s="1"/>
  <c r="M22" i="1" s="1"/>
  <c r="A20" i="1"/>
  <c r="AE451" i="1"/>
  <c r="AA450" i="1"/>
  <c r="D477" i="1"/>
  <c r="A476" i="1"/>
  <c r="K476" i="1" s="1"/>
  <c r="A502" i="1"/>
  <c r="K502" i="1" s="1"/>
  <c r="D503" i="1"/>
  <c r="M335" i="1"/>
  <c r="M334" i="1"/>
  <c r="M338" i="1"/>
  <c r="M341" i="1"/>
  <c r="M340" i="1"/>
  <c r="M342" i="1"/>
  <c r="M339" i="1"/>
  <c r="M333" i="1"/>
  <c r="M337" i="1"/>
  <c r="M332" i="1"/>
  <c r="M336" i="1"/>
  <c r="AE390" i="1"/>
  <c r="AA389" i="1"/>
  <c r="A323" i="1"/>
  <c r="K323" i="1" s="1"/>
  <c r="D324" i="1"/>
  <c r="D565" i="1"/>
  <c r="A564" i="1"/>
  <c r="K564" i="1" s="1"/>
  <c r="D425" i="1"/>
  <c r="A424" i="1"/>
  <c r="K424" i="1" s="1"/>
  <c r="A729" i="1" l="1"/>
  <c r="K729" i="1" s="1"/>
  <c r="A730" i="1"/>
  <c r="K730" i="1" s="1"/>
  <c r="AE716" i="1"/>
  <c r="AA715" i="1"/>
  <c r="AA708" i="1"/>
  <c r="A707" i="1"/>
  <c r="K707" i="1" s="1"/>
  <c r="D708" i="1"/>
  <c r="D478" i="1"/>
  <c r="A477" i="1"/>
  <c r="K477" i="1" s="1"/>
  <c r="AE481" i="1"/>
  <c r="AA480" i="1"/>
  <c r="AE391" i="1"/>
  <c r="AA390" i="1"/>
  <c r="AA502" i="1"/>
  <c r="AE503" i="1"/>
  <c r="AE452" i="1"/>
  <c r="AA451" i="1"/>
  <c r="A425" i="1"/>
  <c r="K425" i="1" s="1"/>
  <c r="D426" i="1"/>
  <c r="M21" i="1"/>
  <c r="K20" i="1"/>
  <c r="A391" i="1"/>
  <c r="K391" i="1" s="1"/>
  <c r="D392" i="1"/>
  <c r="AA359" i="1"/>
  <c r="AE360" i="1"/>
  <c r="K21" i="1"/>
  <c r="A451" i="1"/>
  <c r="K451" i="1" s="1"/>
  <c r="D452" i="1"/>
  <c r="AE324" i="1"/>
  <c r="AA323" i="1"/>
  <c r="D566" i="1"/>
  <c r="A565" i="1"/>
  <c r="K565" i="1" s="1"/>
  <c r="D504" i="1"/>
  <c r="A503" i="1"/>
  <c r="K503" i="1" s="1"/>
  <c r="AA425" i="1"/>
  <c r="AE426" i="1"/>
  <c r="A361" i="1"/>
  <c r="K361" i="1" s="1"/>
  <c r="D362" i="1"/>
  <c r="D325" i="1"/>
  <c r="A324" i="1"/>
  <c r="K324" i="1" s="1"/>
  <c r="AE566" i="1"/>
  <c r="AA565" i="1"/>
  <c r="AE545" i="1"/>
  <c r="AA544" i="1"/>
  <c r="D544" i="1"/>
  <c r="A543" i="1"/>
  <c r="K543" i="1" s="1"/>
  <c r="AE717" i="1" l="1"/>
  <c r="AA716" i="1"/>
  <c r="A708" i="1"/>
  <c r="K708" i="1" s="1"/>
  <c r="D709" i="1"/>
  <c r="AA709" i="1"/>
  <c r="D427" i="1"/>
  <c r="A426" i="1"/>
  <c r="K426" i="1" s="1"/>
  <c r="AE546" i="1"/>
  <c r="AA545" i="1"/>
  <c r="D326" i="1"/>
  <c r="A325" i="1"/>
  <c r="K325" i="1" s="1"/>
  <c r="AE567" i="1"/>
  <c r="AA566" i="1"/>
  <c r="AA360" i="1"/>
  <c r="AE361" i="1"/>
  <c r="A362" i="1"/>
  <c r="K362" i="1" s="1"/>
  <c r="D363" i="1"/>
  <c r="D545" i="1"/>
  <c r="A544" i="1"/>
  <c r="K544" i="1" s="1"/>
  <c r="AE325" i="1"/>
  <c r="AA324" i="1"/>
  <c r="A392" i="1"/>
  <c r="K392" i="1" s="1"/>
  <c r="D393" i="1"/>
  <c r="AE453" i="1"/>
  <c r="AA452" i="1"/>
  <c r="AE392" i="1"/>
  <c r="AA391" i="1"/>
  <c r="D567" i="1"/>
  <c r="A566" i="1"/>
  <c r="K566" i="1" s="1"/>
  <c r="AA426" i="1"/>
  <c r="AE427" i="1"/>
  <c r="A452" i="1"/>
  <c r="K452" i="1" s="1"/>
  <c r="D453" i="1"/>
  <c r="AA503" i="1"/>
  <c r="AE504" i="1"/>
  <c r="AE482" i="1"/>
  <c r="AA481" i="1"/>
  <c r="D505" i="1"/>
  <c r="A504" i="1"/>
  <c r="K504" i="1" s="1"/>
  <c r="A478" i="1"/>
  <c r="K478" i="1" s="1"/>
  <c r="D479" i="1"/>
  <c r="AE718" i="1" l="1"/>
  <c r="AA717" i="1"/>
  <c r="AA710" i="1"/>
  <c r="A709" i="1"/>
  <c r="K709" i="1" s="1"/>
  <c r="D710" i="1"/>
  <c r="D568" i="1"/>
  <c r="A567" i="1"/>
  <c r="K567" i="1" s="1"/>
  <c r="AE326" i="1"/>
  <c r="AA325" i="1"/>
  <c r="AE568" i="1"/>
  <c r="AA567" i="1"/>
  <c r="D480" i="1"/>
  <c r="A479" i="1"/>
  <c r="K479" i="1" s="1"/>
  <c r="AE505" i="1"/>
  <c r="AA504" i="1"/>
  <c r="AA392" i="1"/>
  <c r="AE393" i="1"/>
  <c r="D546" i="1"/>
  <c r="A545" i="1"/>
  <c r="K545" i="1" s="1"/>
  <c r="A326" i="1"/>
  <c r="K326" i="1" s="1"/>
  <c r="D327" i="1"/>
  <c r="D506" i="1"/>
  <c r="A505" i="1"/>
  <c r="K505" i="1" s="1"/>
  <c r="A453" i="1"/>
  <c r="K453" i="1" s="1"/>
  <c r="D454" i="1"/>
  <c r="D364" i="1"/>
  <c r="A363" i="1"/>
  <c r="K363" i="1" s="1"/>
  <c r="AE483" i="1"/>
  <c r="AA482" i="1"/>
  <c r="AE454" i="1"/>
  <c r="AA453" i="1"/>
  <c r="AE547" i="1"/>
  <c r="AA546" i="1"/>
  <c r="AA427" i="1"/>
  <c r="AE428" i="1"/>
  <c r="AA428" i="1" s="1"/>
  <c r="A393" i="1"/>
  <c r="K393" i="1" s="1"/>
  <c r="D394" i="1"/>
  <c r="AE362" i="1"/>
  <c r="AA361" i="1"/>
  <c r="D428" i="1"/>
  <c r="A428" i="1" s="1"/>
  <c r="K428" i="1" s="1"/>
  <c r="A427" i="1"/>
  <c r="K427" i="1" s="1"/>
  <c r="AE719" i="1" l="1"/>
  <c r="AA718" i="1"/>
  <c r="A710" i="1"/>
  <c r="K710" i="1" s="1"/>
  <c r="AA362" i="1"/>
  <c r="AE363" i="1"/>
  <c r="AE455" i="1"/>
  <c r="AA454" i="1"/>
  <c r="A506" i="1"/>
  <c r="K506" i="1" s="1"/>
  <c r="D507" i="1"/>
  <c r="A394" i="1"/>
  <c r="K394" i="1" s="1"/>
  <c r="D395" i="1"/>
  <c r="D328" i="1"/>
  <c r="A327" i="1"/>
  <c r="K327" i="1" s="1"/>
  <c r="AE327" i="1"/>
  <c r="AA326" i="1"/>
  <c r="AE484" i="1"/>
  <c r="AA483" i="1"/>
  <c r="AE506" i="1"/>
  <c r="AA505" i="1"/>
  <c r="D569" i="1"/>
  <c r="A568" i="1"/>
  <c r="K568" i="1" s="1"/>
  <c r="D365" i="1"/>
  <c r="A364" i="1"/>
  <c r="K364" i="1" s="1"/>
  <c r="D547" i="1"/>
  <c r="A546" i="1"/>
  <c r="K546" i="1" s="1"/>
  <c r="A454" i="1"/>
  <c r="K454" i="1" s="1"/>
  <c r="D455" i="1"/>
  <c r="AA393" i="1"/>
  <c r="AE394" i="1"/>
  <c r="A480" i="1"/>
  <c r="K480" i="1" s="1"/>
  <c r="D481" i="1"/>
  <c r="AE548" i="1"/>
  <c r="AA548" i="1" s="1"/>
  <c r="AA547" i="1"/>
  <c r="AE569" i="1"/>
  <c r="AA568" i="1"/>
  <c r="AE720" i="1" l="1"/>
  <c r="AA719" i="1"/>
  <c r="AE570" i="1"/>
  <c r="AA569" i="1"/>
  <c r="AA506" i="1"/>
  <c r="AE507" i="1"/>
  <c r="A395" i="1"/>
  <c r="K395" i="1" s="1"/>
  <c r="D396" i="1"/>
  <c r="D508" i="1"/>
  <c r="A507" i="1"/>
  <c r="K507" i="1" s="1"/>
  <c r="D548" i="1"/>
  <c r="A548" i="1" s="1"/>
  <c r="K548" i="1" s="1"/>
  <c r="A547" i="1"/>
  <c r="K547" i="1" s="1"/>
  <c r="AA484" i="1"/>
  <c r="AE485" i="1"/>
  <c r="AA485" i="1" s="1"/>
  <c r="A455" i="1"/>
  <c r="K455" i="1" s="1"/>
  <c r="D456" i="1"/>
  <c r="D482" i="1"/>
  <c r="A481" i="1"/>
  <c r="K481" i="1" s="1"/>
  <c r="D366" i="1"/>
  <c r="A365" i="1"/>
  <c r="K365" i="1" s="1"/>
  <c r="AA327" i="1"/>
  <c r="AE328" i="1"/>
  <c r="AA455" i="1"/>
  <c r="AE456" i="1"/>
  <c r="AA394" i="1"/>
  <c r="AE395" i="1"/>
  <c r="AA363" i="1"/>
  <c r="AE364" i="1"/>
  <c r="D570" i="1"/>
  <c r="A569" i="1"/>
  <c r="K569" i="1" s="1"/>
  <c r="D329" i="1"/>
  <c r="A328" i="1"/>
  <c r="K328" i="1" s="1"/>
  <c r="AE721" i="1" l="1"/>
  <c r="AA720" i="1"/>
  <c r="D483" i="1"/>
  <c r="A482" i="1"/>
  <c r="K482" i="1" s="1"/>
  <c r="D509" i="1"/>
  <c r="A508" i="1"/>
  <c r="K508" i="1" s="1"/>
  <c r="A396" i="1"/>
  <c r="K396" i="1" s="1"/>
  <c r="D397" i="1"/>
  <c r="AA395" i="1"/>
  <c r="AE396" i="1"/>
  <c r="A456" i="1"/>
  <c r="K456" i="1" s="1"/>
  <c r="D457" i="1"/>
  <c r="AA328" i="1"/>
  <c r="AE329" i="1"/>
  <c r="AA507" i="1"/>
  <c r="AE508" i="1"/>
  <c r="A329" i="1"/>
  <c r="K329" i="1" s="1"/>
  <c r="D330" i="1"/>
  <c r="A570" i="1"/>
  <c r="K570" i="1" s="1"/>
  <c r="D571" i="1"/>
  <c r="AA456" i="1"/>
  <c r="AE457" i="1"/>
  <c r="AE365" i="1"/>
  <c r="AA364" i="1"/>
  <c r="A366" i="1"/>
  <c r="K366" i="1" s="1"/>
  <c r="D367" i="1"/>
  <c r="AE571" i="1"/>
  <c r="AA570" i="1"/>
  <c r="AA721" i="1" l="1"/>
  <c r="AE722" i="1"/>
  <c r="AA396" i="1"/>
  <c r="AE397" i="1"/>
  <c r="AE509" i="1"/>
  <c r="AA508" i="1"/>
  <c r="A397" i="1"/>
  <c r="K397" i="1" s="1"/>
  <c r="D398" i="1"/>
  <c r="A330" i="1"/>
  <c r="K330" i="1" s="1"/>
  <c r="D331" i="1"/>
  <c r="A331" i="1" s="1"/>
  <c r="K331" i="1" s="1"/>
  <c r="AE458" i="1"/>
  <c r="AA457" i="1"/>
  <c r="AE330" i="1"/>
  <c r="AA329" i="1"/>
  <c r="D510" i="1"/>
  <c r="A509" i="1"/>
  <c r="K509" i="1" s="1"/>
  <c r="A571" i="1"/>
  <c r="K571" i="1" s="1"/>
  <c r="D572" i="1"/>
  <c r="A457" i="1"/>
  <c r="K457" i="1" s="1"/>
  <c r="D458" i="1"/>
  <c r="D368" i="1"/>
  <c r="A367" i="1"/>
  <c r="K367" i="1" s="1"/>
  <c r="AE366" i="1"/>
  <c r="AA365" i="1"/>
  <c r="AA571" i="1"/>
  <c r="AE572" i="1"/>
  <c r="D484" i="1"/>
  <c r="A483" i="1"/>
  <c r="K483" i="1" s="1"/>
  <c r="AE723" i="1" l="1"/>
  <c r="AA722" i="1"/>
  <c r="AA572" i="1"/>
  <c r="AE573" i="1"/>
  <c r="D399" i="1"/>
  <c r="A398" i="1"/>
  <c r="K398" i="1" s="1"/>
  <c r="AA366" i="1"/>
  <c r="AE367" i="1"/>
  <c r="A510" i="1"/>
  <c r="K510" i="1" s="1"/>
  <c r="D511" i="1"/>
  <c r="D573" i="1"/>
  <c r="A572" i="1"/>
  <c r="K572" i="1" s="1"/>
  <c r="D369" i="1"/>
  <c r="A368" i="1"/>
  <c r="K368" i="1" s="1"/>
  <c r="AA330" i="1"/>
  <c r="AE331" i="1"/>
  <c r="AA331" i="1" s="1"/>
  <c r="AE510" i="1"/>
  <c r="AA509" i="1"/>
  <c r="A458" i="1"/>
  <c r="K458" i="1" s="1"/>
  <c r="D459" i="1"/>
  <c r="AA397" i="1"/>
  <c r="AE398" i="1"/>
  <c r="D485" i="1"/>
  <c r="A485" i="1" s="1"/>
  <c r="K485" i="1" s="1"/>
  <c r="A484" i="1"/>
  <c r="K484" i="1" s="1"/>
  <c r="AA458" i="1"/>
  <c r="AE459" i="1"/>
  <c r="AA723" i="1" l="1"/>
  <c r="AE724" i="1"/>
  <c r="AA510" i="1"/>
  <c r="AE511" i="1"/>
  <c r="D512" i="1"/>
  <c r="A511" i="1"/>
  <c r="K511" i="1" s="1"/>
  <c r="AA367" i="1"/>
  <c r="AE368" i="1"/>
  <c r="AE399" i="1"/>
  <c r="AA398" i="1"/>
  <c r="D370" i="1"/>
  <c r="A369" i="1"/>
  <c r="K369" i="1" s="1"/>
  <c r="A399" i="1"/>
  <c r="K399" i="1" s="1"/>
  <c r="D400" i="1"/>
  <c r="A459" i="1"/>
  <c r="K459" i="1" s="1"/>
  <c r="D460" i="1"/>
  <c r="AE574" i="1"/>
  <c r="AA573" i="1"/>
  <c r="AE460" i="1"/>
  <c r="AA459" i="1"/>
  <c r="D574" i="1"/>
  <c r="A573" i="1"/>
  <c r="K573" i="1" s="1"/>
  <c r="AE725" i="1" l="1"/>
  <c r="AA724" i="1"/>
  <c r="AE575" i="1"/>
  <c r="AA574" i="1"/>
  <c r="AE400" i="1"/>
  <c r="AA399" i="1"/>
  <c r="A460" i="1"/>
  <c r="K460" i="1" s="1"/>
  <c r="D461" i="1"/>
  <c r="A461" i="1" s="1"/>
  <c r="K461" i="1" s="1"/>
  <c r="AE369" i="1"/>
  <c r="AA368" i="1"/>
  <c r="A400" i="1"/>
  <c r="K400" i="1" s="1"/>
  <c r="D401" i="1"/>
  <c r="D575" i="1"/>
  <c r="A574" i="1"/>
  <c r="K574" i="1" s="1"/>
  <c r="AA511" i="1"/>
  <c r="AE512" i="1"/>
  <c r="D513" i="1"/>
  <c r="A512" i="1"/>
  <c r="K512" i="1" s="1"/>
  <c r="AE461" i="1"/>
  <c r="AA461" i="1" s="1"/>
  <c r="AA460" i="1"/>
  <c r="A370" i="1"/>
  <c r="K370" i="1" s="1"/>
  <c r="D371" i="1"/>
  <c r="AE726" i="1" l="1"/>
  <c r="AA725" i="1"/>
  <c r="D514" i="1"/>
  <c r="A513" i="1"/>
  <c r="K513" i="1" s="1"/>
  <c r="AE370" i="1"/>
  <c r="AA369" i="1"/>
  <c r="AE513" i="1"/>
  <c r="AA512" i="1"/>
  <c r="D372" i="1"/>
  <c r="A372" i="1" s="1"/>
  <c r="K372" i="1" s="1"/>
  <c r="A371" i="1"/>
  <c r="K371" i="1" s="1"/>
  <c r="D576" i="1"/>
  <c r="A575" i="1"/>
  <c r="K575" i="1" s="1"/>
  <c r="AA400" i="1"/>
  <c r="AE401" i="1"/>
  <c r="D402" i="1"/>
  <c r="A401" i="1"/>
  <c r="K401" i="1" s="1"/>
  <c r="AE576" i="1"/>
  <c r="AA575" i="1"/>
  <c r="AE727" i="1" l="1"/>
  <c r="AA726" i="1"/>
  <c r="AE577" i="1"/>
  <c r="AA576" i="1"/>
  <c r="A402" i="1"/>
  <c r="K402" i="1" s="1"/>
  <c r="D403" i="1"/>
  <c r="AE514" i="1"/>
  <c r="AA513" i="1"/>
  <c r="AA370" i="1"/>
  <c r="AE371" i="1"/>
  <c r="AA401" i="1"/>
  <c r="AE402" i="1"/>
  <c r="D577" i="1"/>
  <c r="A576" i="1"/>
  <c r="K576" i="1" s="1"/>
  <c r="A514" i="1"/>
  <c r="K514" i="1" s="1"/>
  <c r="D515" i="1"/>
  <c r="AA727" i="1" l="1"/>
  <c r="AE728" i="1"/>
  <c r="AE515" i="1"/>
  <c r="AA514" i="1"/>
  <c r="A403" i="1"/>
  <c r="K403" i="1" s="1"/>
  <c r="D404" i="1"/>
  <c r="AA371" i="1"/>
  <c r="AE372" i="1"/>
  <c r="AA372" i="1" s="1"/>
  <c r="D516" i="1"/>
  <c r="A515" i="1"/>
  <c r="K515" i="1" s="1"/>
  <c r="D578" i="1"/>
  <c r="A577" i="1"/>
  <c r="K577" i="1" s="1"/>
  <c r="AE403" i="1"/>
  <c r="AA402" i="1"/>
  <c r="AE578" i="1"/>
  <c r="AA577" i="1"/>
  <c r="AE729" i="1" l="1"/>
  <c r="AA728" i="1"/>
  <c r="D517" i="1"/>
  <c r="A516" i="1"/>
  <c r="K516" i="1" s="1"/>
  <c r="A404" i="1"/>
  <c r="K404" i="1" s="1"/>
  <c r="D405" i="1"/>
  <c r="AE579" i="1"/>
  <c r="AA578" i="1"/>
  <c r="AE404" i="1"/>
  <c r="AA403" i="1"/>
  <c r="A578" i="1"/>
  <c r="K578" i="1" s="1"/>
  <c r="D579" i="1"/>
  <c r="AA515" i="1"/>
  <c r="AE516" i="1"/>
  <c r="AA729" i="1" l="1"/>
  <c r="AE730" i="1"/>
  <c r="AE405" i="1"/>
  <c r="AA404" i="1"/>
  <c r="AA579" i="1"/>
  <c r="AE580" i="1"/>
  <c r="AA516" i="1"/>
  <c r="AE517" i="1"/>
  <c r="A405" i="1"/>
  <c r="K405" i="1" s="1"/>
  <c r="D406" i="1"/>
  <c r="A579" i="1"/>
  <c r="K579" i="1" s="1"/>
  <c r="D580" i="1"/>
  <c r="D518" i="1"/>
  <c r="A517" i="1"/>
  <c r="K517" i="1" s="1"/>
  <c r="AA730" i="1" l="1"/>
  <c r="AE731" i="1"/>
  <c r="AE518" i="1"/>
  <c r="AA517" i="1"/>
  <c r="D407" i="1"/>
  <c r="A406" i="1"/>
  <c r="K406" i="1" s="1"/>
  <c r="AA580" i="1"/>
  <c r="AE581" i="1"/>
  <c r="A518" i="1"/>
  <c r="K518" i="1" s="1"/>
  <c r="D519" i="1"/>
  <c r="D581" i="1"/>
  <c r="A580" i="1"/>
  <c r="K580" i="1" s="1"/>
  <c r="AE406" i="1"/>
  <c r="AA405" i="1"/>
  <c r="AE732" i="1" l="1"/>
  <c r="AA731" i="1"/>
  <c r="AE582" i="1"/>
  <c r="AA581" i="1"/>
  <c r="D520" i="1"/>
  <c r="A519" i="1"/>
  <c r="K519" i="1" s="1"/>
  <c r="AE407" i="1"/>
  <c r="AA406" i="1"/>
  <c r="A407" i="1"/>
  <c r="K407" i="1" s="1"/>
  <c r="D408" i="1"/>
  <c r="D582" i="1"/>
  <c r="A581" i="1"/>
  <c r="K581" i="1" s="1"/>
  <c r="AA518" i="1"/>
  <c r="AE519" i="1"/>
  <c r="AE733" i="1" l="1"/>
  <c r="AA732" i="1"/>
  <c r="AE408" i="1"/>
  <c r="AA407" i="1"/>
  <c r="D521" i="1"/>
  <c r="A520" i="1"/>
  <c r="K520" i="1" s="1"/>
  <c r="AA519" i="1"/>
  <c r="AE520" i="1"/>
  <c r="A408" i="1"/>
  <c r="K408" i="1" s="1"/>
  <c r="D409" i="1"/>
  <c r="A409" i="1" s="1"/>
  <c r="K409" i="1" s="1"/>
  <c r="D583" i="1"/>
  <c r="A582" i="1"/>
  <c r="K582" i="1" s="1"/>
  <c r="AE583" i="1"/>
  <c r="AA582" i="1"/>
  <c r="AE734" i="1" l="1"/>
  <c r="AA733" i="1"/>
  <c r="AE521" i="1"/>
  <c r="AA520" i="1"/>
  <c r="AE584" i="1"/>
  <c r="AA583" i="1"/>
  <c r="A521" i="1"/>
  <c r="K521" i="1" s="1"/>
  <c r="D522" i="1"/>
  <c r="D584" i="1"/>
  <c r="A583" i="1"/>
  <c r="K583" i="1" s="1"/>
  <c r="AE409" i="1"/>
  <c r="AA409" i="1" s="1"/>
  <c r="AA408" i="1"/>
  <c r="AE735" i="1" l="1"/>
  <c r="AA734" i="1"/>
  <c r="A522" i="1"/>
  <c r="K522" i="1" s="1"/>
  <c r="D523" i="1"/>
  <c r="D585" i="1"/>
  <c r="A584" i="1"/>
  <c r="K584" i="1" s="1"/>
  <c r="AE585" i="1"/>
  <c r="AA584" i="1"/>
  <c r="AE522" i="1"/>
  <c r="AA521" i="1"/>
  <c r="AE736" i="1" l="1"/>
  <c r="AA735" i="1"/>
  <c r="AE586" i="1"/>
  <c r="AA585" i="1"/>
  <c r="AA522" i="1"/>
  <c r="AE523" i="1"/>
  <c r="D586" i="1"/>
  <c r="A585" i="1"/>
  <c r="K585" i="1" s="1"/>
  <c r="D524" i="1"/>
  <c r="A523" i="1"/>
  <c r="K523" i="1" s="1"/>
  <c r="AE737" i="1" l="1"/>
  <c r="AA736" i="1"/>
  <c r="A586" i="1"/>
  <c r="K586" i="1" s="1"/>
  <c r="D587" i="1"/>
  <c r="AA523" i="1"/>
  <c r="AE524" i="1"/>
  <c r="D525" i="1"/>
  <c r="A524" i="1"/>
  <c r="K524" i="1" s="1"/>
  <c r="AE587" i="1"/>
  <c r="AA586" i="1"/>
  <c r="AE738" i="1" l="1"/>
  <c r="AA737" i="1"/>
  <c r="AA587" i="1"/>
  <c r="AE588" i="1"/>
  <c r="D526" i="1"/>
  <c r="A526" i="1" s="1"/>
  <c r="K526" i="1" s="1"/>
  <c r="A525" i="1"/>
  <c r="K525" i="1" s="1"/>
  <c r="AE525" i="1"/>
  <c r="AA524" i="1"/>
  <c r="A587" i="1"/>
  <c r="K587" i="1" s="1"/>
  <c r="D588" i="1"/>
  <c r="AE739" i="1" l="1"/>
  <c r="AA738" i="1"/>
  <c r="D589" i="1"/>
  <c r="A588" i="1"/>
  <c r="K588" i="1" s="1"/>
  <c r="AE526" i="1"/>
  <c r="AA526" i="1" s="1"/>
  <c r="AA525" i="1"/>
  <c r="AA588" i="1"/>
  <c r="AE589" i="1"/>
  <c r="AE740" i="1" l="1"/>
  <c r="AA740" i="1" s="1"/>
  <c r="AA739" i="1"/>
  <c r="AE590" i="1"/>
  <c r="AA589" i="1"/>
  <c r="D590" i="1"/>
  <c r="A589" i="1"/>
  <c r="K589" i="1" s="1"/>
  <c r="D591" i="1" l="1"/>
  <c r="A590" i="1"/>
  <c r="K590" i="1" s="1"/>
  <c r="AE591" i="1"/>
  <c r="AA590" i="1"/>
  <c r="AE592" i="1" l="1"/>
  <c r="AA591" i="1"/>
  <c r="D592" i="1"/>
  <c r="A591" i="1"/>
  <c r="K591" i="1" s="1"/>
  <c r="D593" i="1" l="1"/>
  <c r="A592" i="1"/>
  <c r="K592" i="1" s="1"/>
  <c r="AE593" i="1"/>
  <c r="AA592" i="1"/>
  <c r="AE594" i="1" l="1"/>
  <c r="AA593" i="1"/>
  <c r="D594" i="1"/>
  <c r="A593" i="1"/>
  <c r="K593" i="1" s="1"/>
  <c r="D595" i="1" l="1"/>
  <c r="A594" i="1"/>
  <c r="K594" i="1" s="1"/>
  <c r="AE595" i="1"/>
  <c r="AA594" i="1"/>
  <c r="AE596" i="1" l="1"/>
  <c r="AA595" i="1"/>
  <c r="D596" i="1"/>
  <c r="A595" i="1"/>
  <c r="K595" i="1" s="1"/>
  <c r="A596" i="1" l="1"/>
  <c r="K596" i="1" s="1"/>
  <c r="D597" i="1"/>
  <c r="AA596" i="1"/>
  <c r="AE597" i="1"/>
  <c r="AA597" i="1" l="1"/>
  <c r="AE598" i="1"/>
  <c r="D598" i="1"/>
  <c r="A597" i="1"/>
  <c r="K597" i="1" s="1"/>
  <c r="D599" i="1" l="1"/>
  <c r="A598" i="1"/>
  <c r="K598" i="1" s="1"/>
  <c r="AE599" i="1"/>
  <c r="AA598" i="1"/>
  <c r="AE600" i="1" l="1"/>
  <c r="AA599" i="1"/>
  <c r="A599" i="1"/>
  <c r="K599" i="1" s="1"/>
  <c r="D600" i="1"/>
  <c r="D601" i="1" l="1"/>
  <c r="A600" i="1"/>
  <c r="K600" i="1" s="1"/>
  <c r="AE601" i="1"/>
  <c r="AA600" i="1"/>
  <c r="AE602" i="1" l="1"/>
  <c r="AA601" i="1"/>
  <c r="D602" i="1"/>
  <c r="A601" i="1"/>
  <c r="K601" i="1" s="1"/>
  <c r="D603" i="1" l="1"/>
  <c r="A602" i="1"/>
  <c r="K602" i="1" s="1"/>
  <c r="AE603" i="1"/>
  <c r="AA602" i="1"/>
  <c r="AE604" i="1" l="1"/>
  <c r="AA603" i="1"/>
  <c r="D604" i="1"/>
  <c r="A603" i="1"/>
  <c r="K603" i="1" s="1"/>
  <c r="A604" i="1" l="1"/>
  <c r="K604" i="1" s="1"/>
  <c r="D605" i="1"/>
  <c r="AE605" i="1"/>
  <c r="AA604" i="1"/>
  <c r="AA605" i="1" l="1"/>
  <c r="AE606" i="1"/>
  <c r="A605" i="1"/>
  <c r="K605" i="1" s="1"/>
  <c r="D606" i="1"/>
  <c r="D607" i="1" l="1"/>
  <c r="A606" i="1"/>
  <c r="K606" i="1" s="1"/>
  <c r="AA606" i="1"/>
  <c r="AE607" i="1"/>
  <c r="AE608" i="1" l="1"/>
  <c r="AA607" i="1"/>
  <c r="D608" i="1"/>
  <c r="A607" i="1"/>
  <c r="K607" i="1" s="1"/>
  <c r="D609" i="1" l="1"/>
  <c r="A608" i="1"/>
  <c r="K608" i="1" s="1"/>
  <c r="AE609" i="1"/>
  <c r="AA608" i="1"/>
  <c r="AE610" i="1" l="1"/>
  <c r="AA609" i="1"/>
  <c r="A609" i="1"/>
  <c r="K609" i="1" s="1"/>
  <c r="D610" i="1"/>
  <c r="D611" i="1" l="1"/>
  <c r="A610" i="1"/>
  <c r="K610" i="1" s="1"/>
  <c r="AA610" i="1"/>
  <c r="AE611" i="1"/>
  <c r="AE612" i="1" l="1"/>
  <c r="AA611" i="1"/>
  <c r="D612" i="1"/>
  <c r="A611" i="1"/>
  <c r="K611" i="1" s="1"/>
  <c r="A612" i="1" l="1"/>
  <c r="K612" i="1" s="1"/>
  <c r="D613" i="1"/>
  <c r="AE613" i="1"/>
  <c r="AA612" i="1"/>
  <c r="AA613" i="1" l="1"/>
  <c r="AE614" i="1"/>
  <c r="A613" i="1"/>
  <c r="K613" i="1" s="1"/>
  <c r="D614" i="1"/>
  <c r="D615" i="1" l="1"/>
  <c r="A614" i="1"/>
  <c r="K614" i="1" s="1"/>
  <c r="AA614" i="1"/>
  <c r="AE615" i="1"/>
  <c r="AE616" i="1" l="1"/>
  <c r="AA615" i="1"/>
  <c r="D616" i="1"/>
  <c r="A615" i="1"/>
  <c r="K615" i="1" s="1"/>
  <c r="D617" i="1" l="1"/>
  <c r="A616" i="1"/>
  <c r="K616" i="1" s="1"/>
  <c r="AE617" i="1"/>
  <c r="AA616" i="1"/>
  <c r="AE618" i="1" l="1"/>
  <c r="AA617" i="1"/>
  <c r="A617" i="1"/>
  <c r="K617" i="1" s="1"/>
  <c r="D618" i="1"/>
  <c r="D619" i="1" l="1"/>
  <c r="A618" i="1"/>
  <c r="K618" i="1" s="1"/>
  <c r="AA618" i="1"/>
  <c r="AE619" i="1"/>
  <c r="AE620" i="1" l="1"/>
  <c r="AA619" i="1"/>
  <c r="D620" i="1"/>
  <c r="A619" i="1"/>
  <c r="K619" i="1" s="1"/>
  <c r="A620" i="1" l="1"/>
  <c r="K620" i="1" s="1"/>
  <c r="D621" i="1"/>
  <c r="AE621" i="1"/>
  <c r="AA620" i="1"/>
  <c r="AA621" i="1" l="1"/>
  <c r="AE622" i="1"/>
  <c r="A621" i="1"/>
  <c r="K621" i="1" s="1"/>
  <c r="D622" i="1"/>
  <c r="D623" i="1" l="1"/>
  <c r="A622" i="1"/>
  <c r="K622" i="1" s="1"/>
  <c r="AA622" i="1"/>
  <c r="AE623" i="1"/>
  <c r="AE624" i="1" l="1"/>
  <c r="AA623" i="1"/>
  <c r="D624" i="1"/>
  <c r="A623" i="1"/>
  <c r="K623" i="1" s="1"/>
  <c r="D625" i="1" l="1"/>
  <c r="A624" i="1"/>
  <c r="K624" i="1" s="1"/>
  <c r="AE625" i="1"/>
  <c r="AA624" i="1"/>
  <c r="AE626" i="1" l="1"/>
  <c r="AA625" i="1"/>
  <c r="A625" i="1"/>
  <c r="K625" i="1" s="1"/>
  <c r="D626" i="1"/>
  <c r="D627" i="1" l="1"/>
  <c r="A626" i="1"/>
  <c r="K626" i="1" s="1"/>
  <c r="AA626" i="1"/>
  <c r="AE627" i="1"/>
  <c r="AE628" i="1" l="1"/>
  <c r="AA627" i="1"/>
  <c r="D628" i="1"/>
  <c r="A627" i="1"/>
  <c r="K627" i="1" s="1"/>
  <c r="A628" i="1" l="1"/>
  <c r="K628" i="1" s="1"/>
  <c r="D629" i="1"/>
  <c r="AE629" i="1"/>
  <c r="AA628" i="1"/>
  <c r="AA629" i="1" l="1"/>
  <c r="AE630" i="1"/>
  <c r="A629" i="1"/>
  <c r="K629" i="1" s="1"/>
  <c r="D630" i="1"/>
  <c r="D631" i="1" l="1"/>
  <c r="A630" i="1"/>
  <c r="K630" i="1" s="1"/>
  <c r="AA630" i="1"/>
  <c r="AE631" i="1"/>
  <c r="AE632" i="1" l="1"/>
  <c r="AA632" i="1" s="1"/>
  <c r="AA631" i="1"/>
  <c r="D632" i="1"/>
  <c r="A632" i="1" s="1"/>
  <c r="K632" i="1" s="1"/>
  <c r="A631" i="1"/>
  <c r="K6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ryanshen(沈博文)</author>
  </authors>
  <commentList>
    <comment ref="S2" authorId="0" shapeId="0" xr:uid="{00000000-0006-0000-0000-000001000000}">
      <text>
        <r>
          <rPr>
            <sz val="11"/>
            <color rgb="FF000000"/>
            <rFont val="等线"/>
            <family val="3"/>
            <charset val="134"/>
            <scheme val="minor"/>
          </rPr>
          <t>ryanshen(沈博文):
enum PlayerStatisticDataType {
    PSDT_Unkonwn = 0;
    PSDT_AdventureCount = 1 [(name) = "历史冒险次数"];
    PSDT_BornSpendCopperCount = 2 [(name) = "建号起消耗铜币数"];
    PSDT_BornSpeedUpBuildingMinutes = 3 [(name) = "建号起建筑加速时间"];
    PSDT_BornSpeedUpTechMinutes = 4 [(name) = "建号起科技加速时间"];
    PSDT_BornSpeedUpTrainMinutes = 5 [(name) = "建号起训练加速时间"];
    PSDT_BornSpeedUpHealMinutes = 6 [(name) = "建号起治疗加速时间"];
    PSDT_BornSpeedUpTotalMinutes = 7 [(name) = "建号起总加速时间"];
    PSDT_BornGetReserveSoldierNum = 8 [(name) = "建号起获得预备役士兵数量"];
    PSDT_BornWanderTraderTradeTimes = 9 [(name) = "建号起神秘商人交易次数"];
    PSDT_BornGetDaLiuKeCount = 10 [(name) = "建号起神秘商人交易次数"];
    PSDT_KillPlayerNum = 11 [(name) = "建号起杀敌数量"];
    PSDT_AdventureTime = 12 [(name) = "建号起冒险次数"];
    PSDT_KillMonsterNum = 13 [(name) = "建号起杀野怪数量"];
    PSDT_WildResourceWoodCollect = 14 [(name) = "建号起野外采集木材数量"];
    PSDT_WildResourceFoodCollect = 15 [(name) = "建号起野外采集食物数量"];
    PSDT_WildResourceStoneCollect = 16 [(name) = "建号起野外采集石头数量"];
    PSDT_WildResourceGoldCollect = 17 [(name) = "建号起野外采集黄金数量"];
    PSDT_InnerCityWoodCollect = 18 [(name) = "建号起城内采集木材数量"];
    PSDT_InnerCityFoodCollect = 19 [(name) = "建号起城内采集食物数量"];
    PSDT_InnerCityStoneCollect = 20 [(name) = "建号起城内采集石头数量"];
    PSDT_InnerCityGoldCollect = 21 [(name) = "建号起城内采集黄金数量"];
    PSDT_HeroRecruit = 22 [(name) = "建号起武将招募次数"];
    PSDT_HeroStar = 23 [(name) = "武将星数"];
    PSDT_MaxHeroSkillLevel = 24 [(name) = "武将技能最高等级"];
    PSDT_SoldierTreatNum = 25 [(name) = "建号起治疗士兵数量"];
    PSDT_TechResearch = 26 [(name) = "建号起科技研究次数"];
    PSDT_SwordsmanTrainingLv1 = 27 [(name) = "1级剑士训练数量"];
    PSDT_SwordsmanTrainingLv2 = 28 [(name) = "2级剑士训练数量"];
    PSDT_SwordsmanTrainingLv3 = 29 [(name) = "3级剑士训练数量"];
    PSDT_SwordsmanTrainingLv4 = 30 [(name) = "4级剑士训练数量"];
    PSDT_SpearmanTrainingLv1 = 31 [(name) = "1级枪兵训练数量"];
    PSDT_SpearmanTrainingLv2 = 32 [(name) = "2级枪兵训练数量"];
    PSDT_SpearmanTrainingLv3 = 33 [(name) = "3级枪兵训练数量"];
    PSDT_SpearmanTrainingLv4 = 34 [(name) = "4级枪兵训练数量"];
    PSDT_CavalryTrainingLv1 = 35 [(name) = "1级骑兵训练数量"];
    PSDT_CavalryTrainingLv2 = 36 [(name) = "2级骑兵训练数量"];
    PSDT_CavalryTrainingLv3 = 37 [(name) = "3级骑兵训练数量"];
    PSDT_CavalryTrainingLv4 = 38 [(name) = "4级骑兵训练数量"];
    PSDT_BowmanTrainingLv1 = 39 [(name) = "1级弓兵训练数量"];
    PSDT_BowmanTrainingLv2 = 40 [(name) = "2级弓兵训练数量"];
    PSDT_BowmanTrainingLv3 = 41 [(name) = "3级弓兵训练数量"];
    PSDT_BowmanTrainingLv4 = 42 [(name) = "4级弓兵训练数量"];
    PSDT_InnerCityStory = 43 [(name) = "城内情景对话次数"];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tinyshan</author>
  </authors>
  <commentList>
    <comment ref="M2" authorId="0" shapeId="0" xr:uid="{00000000-0006-0000-0100-000001000000}">
      <text>
        <r>
          <rPr>
            <b/>
            <sz val="9"/>
            <rFont val="宋体"/>
            <family val="3"/>
            <charset val="134"/>
          </rPr>
          <t>tinyshan:</t>
        </r>
        <r>
          <rPr>
            <sz val="9"/>
            <rFont val="宋体"/>
            <family val="3"/>
            <charset val="134"/>
          </rPr>
          <t xml:space="preserve">
1、视频
2、对话
3、timeline
顺序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dillonding(丁亮)</author>
    <author>ryanshen(沈博文)</author>
  </authors>
  <commentList>
    <comment ref="C2" authorId="0" shapeId="0" xr:uid="{00000000-0006-0000-0300-000001000000}">
      <text>
        <r>
          <rPr>
            <sz val="11"/>
            <color rgb="FF000000"/>
            <rFont val="等线"/>
            <family val="3"/>
            <charset val="134"/>
            <scheme val="minor"/>
          </rPr>
          <t>dillonding(丁亮):
作者:
默认不填是100，当为100，每次刷新必触发该任务；
当为50，每次刷新一半概率触发该任务到任务库。</t>
        </r>
      </text>
    </comment>
    <comment ref="F2" authorId="1" shapeId="0" xr:uid="{00000000-0006-0000-0300-000002000000}">
      <text>
        <r>
          <rPr>
            <sz val="11"/>
            <color rgb="FF000000"/>
            <rFont val="等线"/>
            <family val="3"/>
            <charset val="134"/>
            <scheme val="minor"/>
          </rPr>
          <t>ryanshen(沈博文):
enum PlayerStatisticDataType {
    PSDT_Unkonwn = 0;
    PSDT_AdventureCount = 1 [(name) = "历史冒险次数"];
    PSDT_BornSpendCopperCount = 2 [(name) = "建号起消耗铜币数"];
    PSDT_BornSpeedUpBuildingMinutes = 3 [(name) = "建号起建筑加速时间"];
    PSDT_BornSpeedUpTechMinutes = 4 [(name) = "建号起科技加速时间"];
    PSDT_BornSpeedUpTrainMinutes = 5 [(name) = "建号起训练加速时间"];
    PSDT_BornSpeedUpHealMinutes = 6 [(name) = "建号起治疗加速时间"];
    PSDT_BornSpeedUpTotalMinutes = 7 [(name) = "建号起总加速时间"];
    PSDT_BornGetReserveSoldierNum = 8 [(name) = "建号起获得预备役士兵数量"];
    PSDT_BornWanderTraderTradeTimes = 9 [(name) = "建号起神秘商人交易次数"];
    PSDT_BornGetDaLiuKeCount = 10 [(name) = "建号起神秘商人交易次数"];
    PSDT_KillPlayerNum = 11 [(name) = "建号起杀敌数量"];
    PSDT_AdventureTime = 12 [(name) = "建号起冒险次数"];
    PSDT_KillMonsterNum = 13 [(name) = "建号起杀野怪数量"];
    PSDT_WildResourceWoodCollect = 14 [(name) = "建号起野外采集木材数量"];
    PSDT_WildResourceFoodCollect = 15 [(name) = "建号起野外采集食物数量"];
    PSDT_WildResourceStoneCollect = 16 [(name) = "建号起野外采集石头数量"];
    PSDT_WildResourceGoldCollect = 17 [(name) = "建号起野外采集黄金数量"];
    PSDT_InnerCityWoodCollect = 18 [(name) = "建号起城内采集木材数量"];
    PSDT_InnerCityFoodCollect = 19 [(name) = "建号起城内采集食物数量"];
    PSDT_InnerCityStoneCollect = 20 [(name) = "建号起城内采集石头数量"];
    PSDT_InnerCityGoldCollect = 21 [(name) = "建号起城内采集黄金数量"];
    PSDT_HeroRecruit = 22 [(name) = "建号起武将招募次数"];
    PSDT_HeroStar = 23 [(name) = "武将星数"];
    PSDT_MaxHeroSkillLevel = 24 [(name) = "武将技能最高等级"];
    PSDT_SoldierTreatNum = 25 [(name) = "建号起治疗士兵数量"];
    PSDT_TechResearch = 26 [(name) = "建号起科技研究次数"];
    PSDT_SwordsmanTrainingLv1 = 27 [(name) = "1级剑士训练数量"];
    PSDT_SwordsmanTrainingLv2 = 28 [(name) = "2级剑士训练数量"];
    PSDT_SwordsmanTrainingLv3 = 29 [(name) = "3级剑士训练数量"];
    PSDT_SwordsmanTrainingLv4 = 30 [(name) = "4级剑士训练数量"];
    PSDT_SpearmanTrainingLv1 = 31 [(name) = "1级枪兵训练数量"];
    PSDT_SpearmanTrainingLv2 = 32 [(name) = "2级枪兵训练数量"];
    PSDT_SpearmanTrainingLv3 = 33 [(name) = "3级枪兵训练数量"];
    PSDT_SpearmanTrainingLv4 = 34 [(name) = "4级枪兵训练数量"];
    PSDT_CavalryTrainingLv1 = 35 [(name) = "1级骑兵训练数量"];
    PSDT_CavalryTrainingLv2 = 36 [(name) = "2级骑兵训练数量"];
    PSDT_CavalryTrainingLv3 = 37 [(name) = "3级骑兵训练数量"];
    PSDT_CavalryTrainingLv4 = 38 [(name) = "4级骑兵训练数量"];
    PSDT_BowmanTrainingLv1 = 39 [(name) = "1级弓兵训练数量"];
    PSDT_BowmanTrainingLv2 = 40 [(name) = "2级弓兵训练数量"];
    PSDT_BowmanTrainingLv3 = 41 [(name) = "3级弓兵训练数量"];
    PSDT_BowmanTrainingLv4 = 42 [(name) = "4级弓兵训练数量"];
    PSDT_InnerCityStory = 43 [(name) = "城内情景对话次数"];
}</t>
        </r>
      </text>
    </comment>
  </commentList>
</comments>
</file>

<file path=xl/sharedStrings.xml><?xml version="1.0" encoding="utf-8"?>
<sst xmlns="http://schemas.openxmlformats.org/spreadsheetml/2006/main" count="13943" uniqueCount="3429">
  <si>
    <t>convert(ResTask.proto, table_LineTaskConf, BranchLineTaskConf.pbin)</t>
  </si>
  <si>
    <t>任务ID</t>
  </si>
  <si>
    <t>城镇中心等级</t>
  </si>
  <si>
    <t>分组</t>
  </si>
  <si>
    <t>序号</t>
  </si>
  <si>
    <t>ID规划</t>
  </si>
  <si>
    <t>任务名称</t>
  </si>
  <si>
    <t>任务前缀</t>
  </si>
  <si>
    <t>任务数值</t>
  </si>
  <si>
    <t>任务单位</t>
  </si>
  <si>
    <t>任务名称(源文本)</t>
  </si>
  <si>
    <t>任务ID辅助</t>
  </si>
  <si>
    <t>前置主线任务</t>
  </si>
  <si>
    <t>前置主线ID</t>
  </si>
  <si>
    <t>解锁条件文本</t>
  </si>
  <si>
    <t>解锁条件关系</t>
  </si>
  <si>
    <t>解锁条件组</t>
  </si>
  <si>
    <t>完成条件关系</t>
  </si>
  <si>
    <t>完成条件文本</t>
  </si>
  <si>
    <t>完成条件组</t>
  </si>
  <si>
    <t>进行中条件关系</t>
  </si>
  <si>
    <t>进行条件</t>
  </si>
  <si>
    <t>跳转名称</t>
  </si>
  <si>
    <t>跳转id</t>
  </si>
  <si>
    <t>任务描述</t>
  </si>
  <si>
    <t>图集</t>
  </si>
  <si>
    <t>sprite</t>
  </si>
  <si>
    <t>排序</t>
  </si>
  <si>
    <t>奖励</t>
  </si>
  <si>
    <t>排序分组</t>
  </si>
  <si>
    <t>排序编号</t>
  </si>
  <si>
    <t>是否隐藏任务</t>
  </si>
  <si>
    <t>是否主线道具奖励类任务</t>
  </si>
  <si>
    <t>id</t>
  </si>
  <si>
    <t>taskName</t>
  </si>
  <si>
    <t>common.resTriggerConditionGroup.conditionRelation</t>
  </si>
  <si>
    <t>common.resTriggerConditionGroup.condition.condOneOf</t>
  </si>
  <si>
    <t>common.resCompleteConditionGroup.conditionRelation</t>
  </si>
  <si>
    <t>common.resCompleteConditionGroup.condition.condOneOf</t>
  </si>
  <si>
    <t>common.resDoingConditionGroup.conditionRelation</t>
  </si>
  <si>
    <t>common.resDoingConditionGroup.condition.condOneOf</t>
  </si>
  <si>
    <t>common.jumpTo</t>
  </si>
  <si>
    <t>taskDesc</t>
  </si>
  <si>
    <t>atlas</t>
  </si>
  <si>
    <t>order</t>
  </si>
  <si>
    <t>common.rewardId</t>
  </si>
  <si>
    <t>hideBeforeComplete</t>
  </si>
  <si>
    <t>isItemRewardShowTask</t>
  </si>
  <si>
    <t>主线任务链</t>
  </si>
  <si>
    <t>TID_BranchLineTaskConf_10410105_taskName_GL_Main</t>
  </si>
  <si>
    <t>前往城外探查</t>
  </si>
  <si>
    <t>taskReward{taskId:@@@}</t>
  </si>
  <si>
    <t>条件与</t>
  </si>
  <si>
    <t>taskComplete{taskId:667710}</t>
  </si>
  <si>
    <t>playerEnterBigScene{count:1}</t>
  </si>
  <si>
    <t>跳转到城外(默认为当前屏幕中心位置)</t>
  </si>
  <si>
    <t>icon_task</t>
  </si>
  <si>
    <t>icon_task_p3_01</t>
  </si>
  <si>
    <t>清剿1级蛮族</t>
  </si>
  <si>
    <t>次</t>
  </si>
  <si>
    <t>statisticReach{type:"BattleKillMonsterEvent1_1",value:@@@}</t>
  </si>
  <si>
    <t>attackingMonsterNow{categoryType:0,rarity:0,level:0}</t>
  </si>
  <si>
    <t>跳转到城外【可打下一等级】野怪进攻按钮</t>
  </si>
  <si>
    <t>级</t>
  </si>
  <si>
    <t>heroLevelUp{heroId:0,level:@@@}</t>
  </si>
  <si>
    <t>跳转到主界面【英雄】按钮</t>
  </si>
  <si>
    <t>buildingLevelUpNow{buildingType:205,buildingWantLevel:30}</t>
  </si>
  <si>
    <t>升级伐木场至</t>
  </si>
  <si>
    <t>buildingLevelUp{buildingType:204,buildingLevel:@@@}</t>
  </si>
  <si>
    <t>buildingLevelUpNow{buildingType:204,buildingWantLevel:20}</t>
  </si>
  <si>
    <t>跳转到伐木场【升级】菜单按钮7011</t>
  </si>
  <si>
    <t>升级磨坊至</t>
  </si>
  <si>
    <t>buildingLevelUp{buildingType:203,buildingLevel:@@@}</t>
  </si>
  <si>
    <t>buildingLevelUpNow{buildingType:203,buildingWantLevel:30}</t>
  </si>
  <si>
    <t>跳转到磨坊【升级】菜单按钮7009</t>
  </si>
  <si>
    <t>建造</t>
  </si>
  <si>
    <t>跳转到旅店【建造】确认</t>
  </si>
  <si>
    <t>TID_BranchLineTaskConf_10401050_taskName_GL_Main</t>
  </si>
  <si>
    <t>TID_BranchLineTaskConf_10401030_taskName_GL_Main</t>
  </si>
  <si>
    <t>训练1级剑士</t>
  </si>
  <si>
    <t>名</t>
  </si>
  <si>
    <t>soldierTraining{soldierType1:0,soldierLevel:1}</t>
  </si>
  <si>
    <t>【海外】跳转到剑士营【训练】700名1级剑士</t>
  </si>
  <si>
    <t>TID_BranchLineTaskConf_10410118_taskName_GL_Main</t>
  </si>
  <si>
    <t>攻占1个</t>
  </si>
  <si>
    <t>级或更高级的资源点</t>
  </si>
  <si>
    <t>occupyResourceLand{level:@@@,occupyNum:1,needTrace:true}</t>
  </si>
  <si>
    <t>跳转到1级【任意】资源点采集按钮</t>
  </si>
  <si>
    <t>TID_BranchLineTaskConf_10012020_taskName_GL_Main</t>
  </si>
  <si>
    <t>清剿</t>
  </si>
  <si>
    <t>级或更高级【普通】蛮族</t>
  </si>
  <si>
    <t>statisticReach{type:"BattleKillMonsterEvent@@@_1",value:1}</t>
  </si>
  <si>
    <t>跳转到城外【可打最高级】野怪进攻按钮</t>
  </si>
  <si>
    <t>TID_BranchLineTaskConf_10510106_taskName_GL_Main</t>
  </si>
  <si>
    <t>soldierIsTreatingNow{}</t>
  </si>
  <si>
    <t>TID_BranchLineTaskConf_10410121_taskName_GL_Main</t>
  </si>
  <si>
    <t>升级城镇中心至</t>
  </si>
  <si>
    <t>buildingLevelUp{buildingType:201,buildingLevel:@@@}</t>
  </si>
  <si>
    <t>buildingLevelUpNow{buildingType:201,buildingWantLevel:20}</t>
  </si>
  <si>
    <t>跳转到城镇中心【升级】菜单按钮7001</t>
  </si>
  <si>
    <t>TID_BranchLineTaskConf_222_1_taskName_GL_Main</t>
  </si>
  <si>
    <t>升级治疗房舍至</t>
  </si>
  <si>
    <t>buildingLevelUp{buildingType:222,buildingLevel:@@@}</t>
  </si>
  <si>
    <t>buildingLevelUpNow{buildingType:222,buildingWantLevel:20}</t>
  </si>
  <si>
    <t>跳转到治疗房舍【升级】菜单按钮7041</t>
  </si>
  <si>
    <t>TID_BranchLineTaskConf_215_1_taskName_GL_Main</t>
  </si>
  <si>
    <t>升级城墙至</t>
  </si>
  <si>
    <t>buildingLevelUp{buildingType:215,buildingLevel:@@@}</t>
  </si>
  <si>
    <t>buildingLevelUpNow{buildingType:215,buildingWantLevel:30}</t>
  </si>
  <si>
    <t>跳转到城墙【升级】菜单按钮7039</t>
  </si>
  <si>
    <t>TID_BranchLineTaskConf_10012030_taskName_GL_Main</t>
  </si>
  <si>
    <t>任意英雄等级提升至</t>
  </si>
  <si>
    <t>【海外】跳转英雄界面指向加号按钮</t>
  </si>
  <si>
    <t>TID_BranchLineTaskConf_10510114_taskName_GL_Main</t>
  </si>
  <si>
    <t>任意英雄固有技能升级至</t>
  </si>
  <si>
    <t>satisfyInherentSkillLvHeroCnt{level:@@@,cnt:1}</t>
  </si>
  <si>
    <t>TID_MainSubTaskConf_1111010_taskName_CN_Main</t>
  </si>
  <si>
    <t>个学院</t>
  </si>
  <si>
    <t>TID_BranchLineTaskConf_10501110_taskName_GL_Main</t>
  </si>
  <si>
    <t>研究[全兵种训练速度1]科技至</t>
  </si>
  <si>
    <t>castleScienceMultiLevelUp {techId:10101,level:1,relationIfWith:true}</t>
  </si>
  <si>
    <t>scienceLevelUping{scienceId:0,wantLevel:0}</t>
  </si>
  <si>
    <t>【海外】跳转到学院【研究科技】菜单按钮</t>
  </si>
  <si>
    <t>TID_BranchLineTaskConf_211_2_taskName_GL_Main</t>
  </si>
  <si>
    <t>升级学院至</t>
  </si>
  <si>
    <t>buildingLevelUp{buildingType:211,buildingLevel:@@@}</t>
  </si>
  <si>
    <t>buildingLevelUpNow{buildingType:211,buildingWantLevel:30}</t>
  </si>
  <si>
    <t>跳转到学院【升级】菜单按钮</t>
  </si>
  <si>
    <t>TID_NewbieStepsData_2_10801110_tipsText_GL_Share</t>
  </si>
  <si>
    <t>研究科技解锁</t>
  </si>
  <si>
    <t>[剑士攻击1级]</t>
  </si>
  <si>
    <t>castleScienceMultiLevelUp {techId:10201,level:1,relationIfWith:false}</t>
  </si>
  <si>
    <t>【海外】跳转到学院【剑士攻击3级】菜单按钮</t>
  </si>
  <si>
    <t>TID_BranchLineTaskConf_10012040_taskName_GL_Main</t>
  </si>
  <si>
    <t>TID_BranchLineTaskConf_10410122_taskName_GL_Main</t>
  </si>
  <si>
    <t>加入任意</t>
  </si>
  <si>
    <t>个联盟</t>
  </si>
  <si>
    <t>allianceJoin{count:1}</t>
  </si>
  <si>
    <t>TID_BranchLineTaskConf_226_1_taskName_GL_Main</t>
  </si>
  <si>
    <t>升级瞭望塔至</t>
  </si>
  <si>
    <t>buildingLevelUp{buildingType:226,buildingLevel:@@@}</t>
  </si>
  <si>
    <t>跳转到瞭望塔【升级】菜单按钮7049</t>
  </si>
  <si>
    <t>TID_BranchLineTaskConf_215_2_taskName_GL_Main</t>
  </si>
  <si>
    <t>TID_BranchLineTaskConf_10510118_taskName_GL_Main</t>
  </si>
  <si>
    <t>TID_BranchLineTaskConf_10410111_taskName_GL_Main</t>
  </si>
  <si>
    <t>个石矿场</t>
  </si>
  <si>
    <t>buildingSum{buildingType:205,sum:1}</t>
  </si>
  <si>
    <t xml:space="preserve">                                      </t>
  </si>
  <si>
    <t>跳转到石矿场【建造】确认</t>
  </si>
  <si>
    <t>TID_BranchLineTaskConf_10510104_taskName_GL_Main</t>
  </si>
  <si>
    <t>升级居民房舍至</t>
  </si>
  <si>
    <t>buildingLevelUp{buildingType:202,buildingLevel:@@@}</t>
  </si>
  <si>
    <t>barracksIsLevelUpNow{type:0,level:20}</t>
  </si>
  <si>
    <t>跳转到居民房舍【升级】菜单按钮</t>
  </si>
  <si>
    <t>statisticReach{type:"InnerPeasantTrainEvent",value:17}</t>
  </si>
  <si>
    <t>deployedFarmerToBuildingResource{cityElementType:205,value:1}</t>
  </si>
  <si>
    <t>TID_BranchLineTaskConf_10601080_taskName_GL_Main</t>
  </si>
  <si>
    <t>高级剑士</t>
  </si>
  <si>
    <t>castleScienceMultiLevelUp {techId:10301,techId:10302,techId:10303,techId:10304,level:1,relationIfWith:false}</t>
  </si>
  <si>
    <t>【海外】跳转到学院【高级剑士】菜单按钮</t>
  </si>
  <si>
    <t>TID_BranchLineTaskConf_10401030_1_taskName_GL_Main</t>
  </si>
  <si>
    <t>训练2级剑士</t>
  </si>
  <si>
    <t>soldierTrain{soldierType1:SNV_Swordsman,soldierLevel:2,value:1}</t>
  </si>
  <si>
    <t>TID_BranchLineTaskConf_AnySpeedUp_1_taskName_GL_Main</t>
  </si>
  <si>
    <t>使用任意加速时间累积</t>
  </si>
  <si>
    <t>分钟</t>
  </si>
  <si>
    <t>itemSpeedUp{speedUpType:0,minutes:@@@}</t>
  </si>
  <si>
    <t>TID_BranchLineTaskConf_10012050_taskName_GL_Main</t>
  </si>
  <si>
    <t>TID_BranchLineTaskConf_10910101_taskName_GL_Main</t>
  </si>
  <si>
    <t>个市集</t>
  </si>
  <si>
    <t>buildingSum{buildingType:231,sum:@@@}</t>
  </si>
  <si>
    <t>buildingLevelUpNow{buildingType:231,buildingWantLevel:1}</t>
  </si>
  <si>
    <t>跳转到市集【建造】确认</t>
  </si>
  <si>
    <t>个仓库</t>
  </si>
  <si>
    <t>buildingSum{buildingType:400,sum:@@@}</t>
  </si>
  <si>
    <t>跳转到仓库【建造】确认</t>
  </si>
  <si>
    <t>TID_BranchLineTaskConf_215_3_taskName_GL_Main</t>
  </si>
  <si>
    <t>TID_BranchLineTaskConf_10610113_taskName_GL_Main</t>
  </si>
  <si>
    <t>TID_BranchLineTaskConf_10710102_taskName_GL_Main</t>
  </si>
  <si>
    <t>statisticReach{type:"CityGameFishingEvent",value:@@@}</t>
  </si>
  <si>
    <t>跳转到码头【捕鱼】菜单按钮</t>
  </si>
  <si>
    <t>跳转到磨坊【升级】菜单按钮</t>
  </si>
  <si>
    <t>TID_BranchLineTaskConf_215_4_taskName_GL_Main</t>
  </si>
  <si>
    <t>升级剑士营至</t>
  </si>
  <si>
    <t>buildingLevelUp{buildingType:206,buildingLevel:@@@}</t>
  </si>
  <si>
    <t>跳转到剑士营【升级】菜单按钮7015</t>
  </si>
  <si>
    <t>采集任意资源点</t>
  </si>
  <si>
    <t>occupyAnyResourceLand{count:@@@}</t>
  </si>
  <si>
    <t>跳转到当前可攻打最高级【任意】资源点攻占按钮</t>
  </si>
  <si>
    <t>清剿任意等级【普通】蛮族</t>
  </si>
  <si>
    <t>statisticReach{type:"BattleKillMonsterEvent0_1",value:@@@}</t>
  </si>
  <si>
    <t>attackingMonsterNow{categoryType:1,rarity:1,level:0}</t>
  </si>
  <si>
    <t>TID_BranchLineTaskConf_10710112_taskName_GL_Main</t>
  </si>
  <si>
    <t>TID_BranchLineTaskConf_10810101_taskName_GL_Main</t>
  </si>
  <si>
    <t>个大使馆</t>
  </si>
  <si>
    <t>buildingSum{buildingType:230,sum:@@@}</t>
  </si>
  <si>
    <t>buildingLevelUpNow{buildingType:230,buildingWantLevel:1}</t>
  </si>
  <si>
    <t>跳转到大使馆【建造】确认</t>
  </si>
  <si>
    <t>TID_BranchLineTaskConf_215_5_taskName_GL_Main</t>
  </si>
  <si>
    <t>TID_BranchLineTaskConf_10810111_taskName_GL_Main</t>
  </si>
  <si>
    <t>TID_BranchLineTaskConf_10012060_taskName_GL_Main</t>
  </si>
  <si>
    <t>训练农民到</t>
  </si>
  <si>
    <t>statisticReach{type:"InnerPeasantTrainEvent",value:@@@}</t>
  </si>
  <si>
    <t>TID_BranchLineTaskConf_215_6_taskName_GL_Main</t>
  </si>
  <si>
    <t>TID_BranchLineTaskConf_10910113_taskName_GL_Main</t>
  </si>
  <si>
    <t>TID_BranchLineTaskConf_10910114_taskName_GL_Main</t>
  </si>
  <si>
    <t>升级至</t>
  </si>
  <si>
    <t>城堡</t>
  </si>
  <si>
    <t>时代</t>
  </si>
  <si>
    <t>civilLevelUp{age:3,complete:1}</t>
  </si>
  <si>
    <t>跳转到城镇中心【升级时代】菜单按钮</t>
  </si>
  <si>
    <t>TID_BranchLineTaskConf_10012070_taskName_GL_Main</t>
  </si>
  <si>
    <t>TID_BranchLineTaskConf_11010102_taskName_GL_Main</t>
  </si>
  <si>
    <t>个金矿场</t>
  </si>
  <si>
    <t>buildingSum{buildingType:234,sum:@@@}</t>
  </si>
  <si>
    <t>buildingLevelUpNow{buildingType:234,buildingWantLevel:1}</t>
  </si>
  <si>
    <t>跳转到金矿场【建造】确认</t>
  </si>
  <si>
    <t>TID_BranchLineTaskConf_11001031_taskName_GL_Main</t>
  </si>
  <si>
    <t>派遣农民进金矿场</t>
  </si>
  <si>
    <t>deployedFarmerToBuildingResource{cityElementType:234,value:1}</t>
  </si>
  <si>
    <t>TID_BranchLineTaskConf_234_1_taskName_GL_Main</t>
  </si>
  <si>
    <t>升级金矿场至</t>
  </si>
  <si>
    <t>buildingLevelUp{buildingType:234,buildingLevel:@@@}</t>
  </si>
  <si>
    <t>buildingLevelUpNow{buildingType:234,buildingWantLevel:30}</t>
  </si>
  <si>
    <t>跳转到金矿场【升级】菜单按钮</t>
  </si>
  <si>
    <t>TID_BranchLineTaskConf_204_1_taskName_GL_Main</t>
  </si>
  <si>
    <t>跳转到伐木场【升级】菜单按钮</t>
  </si>
  <si>
    <t>TID_BranchLineTaskConf_205_1_taskName_GL_Main</t>
  </si>
  <si>
    <t>升级石矿场至</t>
  </si>
  <si>
    <t>buildingLevelUp{buildingType:205,buildingLevel:@@@}</t>
  </si>
  <si>
    <t>跳转到石矿场【升级】菜单按钮</t>
  </si>
  <si>
    <t>TID_BranchLineTaskConf_203_1_taskName_GL_Main</t>
  </si>
  <si>
    <t>TID_BranchLineTaskConf_11010107_taskName_GL_Main</t>
  </si>
  <si>
    <t>buildingLevelUpWithCnt{buildingType:202,buildingLevel:@@@,buildingCnt:1}</t>
  </si>
  <si>
    <t>buildingLevelUpNow{buildingType:202,buildingWantLevel:30}</t>
  </si>
  <si>
    <t>TID_BranchLineTaskConf_222_4_taskName_GL_Main</t>
  </si>
  <si>
    <t>跳转到治疗房舍【升级】菜单按钮</t>
  </si>
  <si>
    <t>TID_BranchLineTaskConf_11010110_taskName_GL_Main</t>
  </si>
  <si>
    <t>升级任意1个兵营至</t>
  </si>
  <si>
    <t>barracksLevelUp{level:@@@,count:1}</t>
  </si>
  <si>
    <t>跳转到当前等级最高【兵营建筑】展开菜单</t>
  </si>
  <si>
    <t>TID_BranchLineTaskConf_11010111_taskName_GL_Main</t>
  </si>
  <si>
    <t>TID_BranchLineTaskConf_20120003_taskName_GL_Main</t>
  </si>
  <si>
    <t>heroSkillUp{heroId:0,level:@@@}</t>
  </si>
  <si>
    <t>TID_BranchLineTaskConf_11001200_taskName_GL_Main</t>
  </si>
  <si>
    <t>任意英雄进行</t>
  </si>
  <si>
    <t>次天赋升级</t>
  </si>
  <si>
    <t>heroInBornAbility{heroId:0,talentId:0,level:0}</t>
  </si>
  <si>
    <t>TID_BranchLineTaskConf_215_7_taskName_GL_Main</t>
  </si>
  <si>
    <t>跳转到城墙【升级】菜单按钮</t>
  </si>
  <si>
    <t>TID_BranchLineTaskConf_11010116_taskName_GL_Main</t>
  </si>
  <si>
    <t>跳转到城镇中心【升级】菜单按钮</t>
  </si>
  <si>
    <t>TID_BranchLineTaskConf_10001140_taskName_GL_Main</t>
  </si>
  <si>
    <t>进入活动中心</t>
  </si>
  <si>
    <t>taskComplete{taskId:@@@}</t>
  </si>
  <si>
    <t>clientClick{taskId:11001160}</t>
  </si>
  <si>
    <t>跳转到主界面【活动入口】</t>
  </si>
  <si>
    <t>TID_BranchLineTaskConf_204_2_taskName_GL_Main</t>
  </si>
  <si>
    <t>TID_BranchLineTaskConf_205_2_taskName_GL_Main</t>
  </si>
  <si>
    <t>TID_BranchLineTaskConf_11101030_2_taskName_GL_Main</t>
  </si>
  <si>
    <t>TID_BranchLineTaskConf_234_2_taskName_GL_Main</t>
  </si>
  <si>
    <t>TID_BranchLineTaskConf_203_2_taskName_GL_Main</t>
  </si>
  <si>
    <t>TID_BranchLineTaskConf_400_2_taskName_GL_Main</t>
  </si>
  <si>
    <t>升级仓库至</t>
  </si>
  <si>
    <t>buildingLevelUp{buildingType:400,buildingLevel:@@@}</t>
  </si>
  <si>
    <t>buildingLevelUpNow{buildingType:400,buildingWantLevel:30}</t>
  </si>
  <si>
    <t>跳转到仓库【升级】菜单按钮</t>
  </si>
  <si>
    <t>TID_BranchLineTaskConf_231_2_taskName_GL_Main</t>
  </si>
  <si>
    <t>升级市集至</t>
  </si>
  <si>
    <t>buildingLevelUp{buildingType:231,buildingLevel:@@@}</t>
  </si>
  <si>
    <t>buildingLevelUpNow{buildingType:231,buildingWantLevel:30}</t>
  </si>
  <si>
    <t>跳转到市集【升级】菜单按钮</t>
  </si>
  <si>
    <t>TID_BranchLineTaskConf_202_1_taskName_GL_Main</t>
  </si>
  <si>
    <t>TID_BranchLineTaskConf_222_5_taskName_GL_Main</t>
  </si>
  <si>
    <t>TID_BranchLineTaskConf_215_8_taskName_GL_Main</t>
  </si>
  <si>
    <t>TID_BranchLineTaskConf_226_3_taskName_GL_Main</t>
  </si>
  <si>
    <t>buildingLevelUpNow{buildingType:212,buildingWantLevel:30}</t>
  </si>
  <si>
    <t>TID_BranchLineTaskConf_11110113_taskName_GL_Main</t>
  </si>
  <si>
    <t>TID_BranchLineTaskConf_20201011_1_taskName_GL_Main</t>
  </si>
  <si>
    <t>一个编队上阵</t>
  </si>
  <si>
    <t>名英雄</t>
  </si>
  <si>
    <t>presetTeam{heroCnt:2,soldierNum:0,teamCnt:1}</t>
  </si>
  <si>
    <t>buildingLevelUpNow{buildingType:229,buildingWantLevel:1}</t>
  </si>
  <si>
    <t>TID_BranchLineTaskConf_11210101_taskName_GL_Main</t>
  </si>
  <si>
    <t>个战争大厅</t>
  </si>
  <si>
    <t>buildingSum{buildingType:229,sum:@@@}</t>
  </si>
  <si>
    <t>跳转到战争大厅【建造】确认</t>
  </si>
  <si>
    <t>TID_BranchLineTaskConf_229_1_taskName_GL_Main</t>
  </si>
  <si>
    <t>升级战争大厅至</t>
  </si>
  <si>
    <t>buildingLevelUp{buildingType:229,buildingLevel:@@@}</t>
  </si>
  <si>
    <t>buildingLevelUpNow{buildingType:229,buildingWantLevel:20}</t>
  </si>
  <si>
    <t>跳转到战争大厅【升级】菜单按钮</t>
  </si>
  <si>
    <t>TID_BranchLineTaskConf_204_3_taskName_GL_Main</t>
  </si>
  <si>
    <t>TID_UpgradeBuildings_015</t>
  </si>
  <si>
    <t>升级枪兵营至</t>
  </si>
  <si>
    <t>buildingLevelUp{buildingType:232,buildingLevel:@@@}</t>
  </si>
  <si>
    <t>buildingLevelUpNow{buildingType:232,buildingWantLevel:30}</t>
  </si>
  <si>
    <t>跳转到枪兵营【升级】菜单按钮</t>
  </si>
  <si>
    <t>TID_BranchLineTaskConf_10013010_taskName_GL_Main</t>
  </si>
  <si>
    <t>TID_BranchLineTaskConf_205_3_taskName_GL_Main</t>
  </si>
  <si>
    <t>TID_BranchLineTaskConf_234_3_taskName_GL_Main</t>
  </si>
  <si>
    <t>TID_BranchLineTaskConf_203_3_taskName_GL_Main</t>
  </si>
  <si>
    <t>TID_BranchLineTaskConf_202_2_taskName_GL_Main</t>
  </si>
  <si>
    <t>TID_BranchLineTaskConf_222_6_taskName_GL_Main</t>
  </si>
  <si>
    <t>TID_BranchLineTaskConf_215_9_taskName_GL_Main</t>
  </si>
  <si>
    <t>TID_BranchLineTaskConf_211_11_taskName_GL_Main</t>
  </si>
  <si>
    <t>TID_BranchLineTaskConf_11201140_taskName_GL_Main</t>
  </si>
  <si>
    <t>解锁</t>
  </si>
  <si>
    <t>英雄编队</t>
  </si>
  <si>
    <t>castleScienceMultiLevelUp{techId:10801,level:1,relationIfWith:true}</t>
  </si>
  <si>
    <t>【海外】跳转到学院【英雄编队1】菜单按钮</t>
  </si>
  <si>
    <t>TID_BranchLineTaskConf_11210112_taskName_GL_Main</t>
  </si>
  <si>
    <t>TID_BranchLineTaskConf_204_4_taskName_GL_Main</t>
  </si>
  <si>
    <t>TID_BranchLineTaskConf_205_4_taskName_GL_Main</t>
  </si>
  <si>
    <t>TID_BranchLineTaskConf_234_4_taskName_GL_Main</t>
  </si>
  <si>
    <t>TID_BranchLineTaskConf_203_4_taskName_GL_Main</t>
  </si>
  <si>
    <t>TID_BranchLineTaskConf_202_3_taskName_GL_Main</t>
  </si>
  <si>
    <t>TID_BranchLineTaskConf_222_7_taskName_GL_Main</t>
  </si>
  <si>
    <t>TID_BranchLineTaskConf_230_9_taskName_GL_Main</t>
  </si>
  <si>
    <t>升级大使馆至</t>
  </si>
  <si>
    <t>buildingLevelUp{buildingType:230,buildingLevel:@@@}</t>
  </si>
  <si>
    <t>buildingLevelUpNow{buildingType:230,buildingWantLevel:30}</t>
  </si>
  <si>
    <t>跳转到大使馆【升级】菜单按钮</t>
  </si>
  <si>
    <t>TID_BranchLineTaskConf_215_10_taskName_GL_Main</t>
  </si>
  <si>
    <t>TID_BranchLineTaskConf_11310110_taskName_GL_Main</t>
  </si>
  <si>
    <t>TID_BranchLineTaskConf_204_5_taskName_GL_Main</t>
  </si>
  <si>
    <t>TID_BranchLineTaskConf_205_5_taskName_GL_Main</t>
  </si>
  <si>
    <t>TID_BranchLineTaskConf_234_5_taskName_GL_Main</t>
  </si>
  <si>
    <t>TID_BranchLineTaskConf_203_5_taskName_GL_Main</t>
  </si>
  <si>
    <t>TID_BranchLineTaskConf_202_4_taskName_GL_Main</t>
  </si>
  <si>
    <t>TID_BranchLineTaskConf_222_8_taskName_GL_Main</t>
  </si>
  <si>
    <t>TID_BranchLineTaskConf_11401070_2_taskName_GL_Main</t>
  </si>
  <si>
    <t>TID_BranchLineTaskConf_211_13_taskName_GL_Main</t>
  </si>
  <si>
    <t>TID_BranchLineTaskConf_215_11_taskName_GL_Main</t>
  </si>
  <si>
    <t>TID_BranchLineTaskConf_11410110_taskName_GL_Main</t>
  </si>
  <si>
    <t>TID_BranchLineTaskConf_11410111_taskName_GL_Main</t>
  </si>
  <si>
    <t>帝王</t>
  </si>
  <si>
    <t>civilLevelUp{age:4,complete:1}</t>
  </si>
  <si>
    <t>TID_BranchLineTaskConf_204_6_taskName_GL_Main</t>
  </si>
  <si>
    <t>TID_BranchLineTaskConf_205_6_taskName_GL_Main</t>
  </si>
  <si>
    <t>TID_BranchLineTaskConf_234_6_taskName_GL_Main</t>
  </si>
  <si>
    <t>TID_BranchLineTaskConf_203_6_taskName_GL_Main</t>
  </si>
  <si>
    <t>TID_BranchLineTaskConf_202_5_taskName_GL_Main</t>
  </si>
  <si>
    <t>TID_BranchLineTaskConf_222_9_taskName_GL_Main</t>
  </si>
  <si>
    <t>TID_BranchLineTaskConf_215_12_taskName_GL_Main</t>
  </si>
  <si>
    <t>TID_BranchLineTaskConf_11510110_taskName_GL_Main</t>
  </si>
  <si>
    <t>TID_BranchLineTaskConf_204_7_taskName_GL_Main</t>
  </si>
  <si>
    <t>TID_BranchLineTaskConf_205_7_taskName_GL_Main</t>
  </si>
  <si>
    <t>TID_BranchLineTaskConf_234_7_taskName_GL_Main</t>
  </si>
  <si>
    <t>TID_BranchLineTaskConf_203_7_taskName_GL_Main</t>
  </si>
  <si>
    <t>TID_BranchLineTaskConf_400_3_taskName_GL_Main</t>
  </si>
  <si>
    <t>TID_BranchLineTaskConf_231_3_taskName_GL_Main</t>
  </si>
  <si>
    <t>TID_BranchLineTaskConf_202_6_taskName_GL_Main</t>
  </si>
  <si>
    <t>TID_BranchLineTaskConf_222_10_taskName_GL_Main</t>
  </si>
  <si>
    <t>TID_BranchLineTaskConf_215_13_taskName_GL_Main</t>
  </si>
  <si>
    <t>TID_BranchLineTaskConf_211_15_taskName_GL_Main</t>
  </si>
  <si>
    <t>TID_BranchLineTaskConf_11601130_taskName_GL_Main</t>
  </si>
  <si>
    <t>castleScienceMultiLevelUp{techId:11101,level:1,relationIfWith:true}</t>
  </si>
  <si>
    <t>【海外】跳转到学院【英雄编队2】菜单按钮</t>
  </si>
  <si>
    <t>TID_BranchLineTaskConf_11610110_taskName_GL_Main</t>
  </si>
  <si>
    <t>TID_BranchLineTaskConf_20201011_2_taskName_GL_Main</t>
  </si>
  <si>
    <t>presetTeam{heroCnt:3,soldierNum:0,teamCnt:1}</t>
  </si>
  <si>
    <t>TID_BranchLineTaskConf_204_8_taskName_GL_Main</t>
  </si>
  <si>
    <t>TID_BranchLineTaskConf_205_8_taskName_GL_Main</t>
  </si>
  <si>
    <t>TID_BranchLineTaskConf_234_8_taskName_GL_Main</t>
  </si>
  <si>
    <t>TID_BranchLineTaskConf_203_8_taskName_GL_Main</t>
  </si>
  <si>
    <t>TID_BranchLineTaskConf_202_7_taskName_GL_Main</t>
  </si>
  <si>
    <t>TID_BranchLineTaskConf_222_11_taskName_GL_Main</t>
  </si>
  <si>
    <t>TID_UpgradeBuildings_014</t>
  </si>
  <si>
    <t>升级马厩至</t>
  </si>
  <si>
    <t>buildingLevelUp{buildingType:209,buildingLevel:@@@}</t>
  </si>
  <si>
    <t>buildingLevelUpNow{buildingType:209,buildingWantLevel:30}</t>
  </si>
  <si>
    <t>跳转到马厩【升级】菜单按钮</t>
  </si>
  <si>
    <t>TID_BranchLineTaskConf_215_14_taskName_GL_Main</t>
  </si>
  <si>
    <t>TID_BranchLineTaskConf_11710110_taskName_GL_Main</t>
  </si>
  <si>
    <t>TID_BranchLineTaskConf_204_9_taskName_GL_Main</t>
  </si>
  <si>
    <t>TID_BranchLineTaskConf_205_9_taskName_GL_Main</t>
  </si>
  <si>
    <t>TID_BranchLineTaskConf_234_9_taskName_GL_Main</t>
  </si>
  <si>
    <t>TID_BranchLineTaskConf_203_9_taskName_GL_Main</t>
  </si>
  <si>
    <t>TID_BranchLineTaskConf_202_8_taskName_GL_Main</t>
  </si>
  <si>
    <t>TID_BranchLineTaskConf_222_12_taskName_GL_Main</t>
  </si>
  <si>
    <t>TID_BranchLineTaskConf_230_14_taskName_GL_Main</t>
  </si>
  <si>
    <t>TID_BranchLineTaskConf_215_15_taskName_GL_Main</t>
  </si>
  <si>
    <t>TID_BranchLineTaskConf_11810110_taskName_GL_Main</t>
  </si>
  <si>
    <t>TID_BranchLineTaskConf_204_10_taskName_GL_Main</t>
  </si>
  <si>
    <t>TID_BranchLineTaskConf_205_10_taskName_GL_Main</t>
  </si>
  <si>
    <t>TID_BranchLineTaskConf_234_10_taskName_GL_Main</t>
  </si>
  <si>
    <t>TID_BranchLineTaskConf_203_10_taskName_GL_Main</t>
  </si>
  <si>
    <t>TID_BranchLineTaskConf_202_9_taskName_GL_Main</t>
  </si>
  <si>
    <t>TID_BranchLineTaskConf_211_18_taskName_GL_Main</t>
  </si>
  <si>
    <t>TID_BranchLineTaskConf_222_13_taskName_GL_Main</t>
  </si>
  <si>
    <t>TID_BranchLineTaskConf_215_16_taskName_GL_Main</t>
  </si>
  <si>
    <t>TID_BranchLineTaskConf_11910110_taskName_GL_Main</t>
  </si>
  <si>
    <t>TID_BranchLineTaskConf_204_11_taskName_GL_Main</t>
  </si>
  <si>
    <t>TID_BranchLineTaskConf_205_11_taskName_GL_Main</t>
  </si>
  <si>
    <t>TID_BranchLineTaskConf_234_11_taskName_GL_Main</t>
  </si>
  <si>
    <t>TID_BranchLineTaskConf_203_11_taskName_GL_Main</t>
  </si>
  <si>
    <t>TID_BranchLineTaskConf_202_10_taskName_GL_Main</t>
  </si>
  <si>
    <t>TID_BranchLineTaskConf_222_14_taskName_GL_Main</t>
  </si>
  <si>
    <t>TID_BranchLineTaskConf_215_17_taskName_GL_Main</t>
  </si>
  <si>
    <t>TID_BranchLineTaskConf_201_1_taskName_GL_Main</t>
  </si>
  <si>
    <t>TID_BranchLineTaskConf_204_12_taskName_GL_Main</t>
  </si>
  <si>
    <t>TID_BranchLineTaskConf_205_12_taskName_GL_Main</t>
  </si>
  <si>
    <t>TID_BranchLineTaskConf_234_12_taskName_GL_Main</t>
  </si>
  <si>
    <t>TID_BranchLineTaskConf_203_12_taskName_GL_Main</t>
  </si>
  <si>
    <t>TID_BranchLineTaskConf_400_4_taskName_GL_Main</t>
  </si>
  <si>
    <t>TID_BranchLineTaskConf_231_4_taskName_GL_Main</t>
  </si>
  <si>
    <t>TID_BranchLineTaskConf_202_11_taskName_GL_Main</t>
  </si>
  <si>
    <t>TID_BranchLineTaskConf_222_15_taskName_GL_Main</t>
  </si>
  <si>
    <t>TID_BranchLineTaskConf_215_18_taskName_GL_Main</t>
  </si>
  <si>
    <t>TID_BranchLineTaskConf_201_2_taskName_GL_Main</t>
  </si>
  <si>
    <t>TID_BranchLineTaskConf_204_13_taskName_GL_Main</t>
  </si>
  <si>
    <t>TID_BranchLineTaskConf_205_13_taskName_GL_Main</t>
  </si>
  <si>
    <t>TID_BranchLineTaskConf_234_13_taskName_GL_Main</t>
  </si>
  <si>
    <t>TID_BranchLineTaskConf_203_13_taskName_GL_Main</t>
  </si>
  <si>
    <t>TID_BranchLineTaskConf_202_12_taskName_GL_Main</t>
  </si>
  <si>
    <t>TID_BranchLineTaskConf_222_16_taskName_GL_Main</t>
  </si>
  <si>
    <t>TID_UpgradeBuildings_013</t>
  </si>
  <si>
    <t>升级射箭场至</t>
  </si>
  <si>
    <t>buildingLevelUp{buildingType:224,buildingLevel:@@@}</t>
  </si>
  <si>
    <t>buildingLevelUpNow{buildingType:224,buildingWantLevel:30}</t>
  </si>
  <si>
    <t>跳转到射箭场【升级】菜单按钮</t>
  </si>
  <si>
    <t>TID_BranchLineTaskConf_215_19_taskName_GL_Main</t>
  </si>
  <si>
    <t>TID_BranchLineTaskConf_201_3_taskName_GL_Main</t>
  </si>
  <si>
    <t>TID_BranchLineTaskConf_204_14_taskName_GL_Main</t>
  </si>
  <si>
    <t>TID_BranchLineTaskConf_205_14_taskName_GL_Main</t>
  </si>
  <si>
    <t>TID_BranchLineTaskConf_234_14_taskName_GL_Main</t>
  </si>
  <si>
    <t>TID_BranchLineTaskConf_203_14_taskName_GL_Main</t>
  </si>
  <si>
    <t>TID_BranchLineTaskConf_202_13_taskName_GL_Main</t>
  </si>
  <si>
    <t>TID_BranchLineTaskConf_222_17_taskName_GL_Main</t>
  </si>
  <si>
    <t>TID_BranchLineTaskConf_230_19_taskName_GL_Main</t>
  </si>
  <si>
    <t>TID_BranchLineTaskConf_215_20_taskName_GL_Main</t>
  </si>
  <si>
    <t>TID_BranchLineTaskConf_201_4_taskName_GL_Main</t>
  </si>
  <si>
    <t>TID_BranchLineTaskConf_204_15_taskName_GL_Main</t>
  </si>
  <si>
    <t>TID_BranchLineTaskConf_205_15_taskName_GL_Main</t>
  </si>
  <si>
    <t>TID_BranchLineTaskConf_234_15_taskName_GL_Main</t>
  </si>
  <si>
    <t>TID_BranchLineTaskConf_203_15_taskName_GL_Main</t>
  </si>
  <si>
    <t>TID_BranchLineTaskConf_202_14_taskName_GL_Main</t>
  </si>
  <si>
    <t>TID_BranchLineTaskConf_211_23_taskName_GL_Main</t>
  </si>
  <si>
    <t>TID_BranchLineTaskConf_222_18_taskName_GL_Main</t>
  </si>
  <si>
    <t>TID_BranchLineTaskConf_215_21_taskName_GL_Main</t>
  </si>
  <si>
    <t>TID_BranchLineTaskConf_201_5_taskName_GL_Main</t>
  </si>
  <si>
    <t>TID_BranchLineTaskConf_204_16_taskName_GL_Main</t>
  </si>
  <si>
    <t>TID_BranchLineTaskConf_205_16_taskName_GL_Main</t>
  </si>
  <si>
    <t>TID_BranchLineTaskConf_234_16_taskName_GL_Main</t>
  </si>
  <si>
    <t>TID_BranchLineTaskConf_203_16_taskName_GL_Main</t>
  </si>
  <si>
    <t>TID_BranchLineTaskConf_202_15_taskName_GL_Main</t>
  </si>
  <si>
    <t>TID_BranchLineTaskConf_222_19_taskName_GL_Main</t>
  </si>
  <si>
    <t>TID_BranchLineTaskConf_226_21_taskName_GL_Main</t>
  </si>
  <si>
    <t>跳转到瞭望塔【升级】菜单按钮</t>
  </si>
  <si>
    <t>TID_BranchLineTaskConf_215_22_taskName_GL_Main</t>
  </si>
  <si>
    <t>TID_BranchLineTaskConf_201_6_taskName_GL_Main</t>
  </si>
  <si>
    <t>TID_BranchLineTaskConf_204_17_taskName_GL_Main</t>
  </si>
  <si>
    <t>TID_BranchLineTaskConf_205_17_taskName_GL_Main</t>
  </si>
  <si>
    <t>TID_BranchLineTaskConf_234_17_taskName_GL_Main</t>
  </si>
  <si>
    <t>TID_BranchLineTaskConf_203_17_taskName_GL_Main</t>
  </si>
  <si>
    <t>TID_BranchLineTaskConf_400_5_taskName_GL_Main</t>
  </si>
  <si>
    <t>TID_BranchLineTaskConf_231_5_taskName_GL_Main</t>
  </si>
  <si>
    <t>TID_BranchLineTaskConf_202_16_taskName_GL_Main</t>
  </si>
  <si>
    <t>TID_BranchLineTaskConf_222_20_taskName_GL_Main</t>
  </si>
  <si>
    <t>TID_BranchLineTaskConf_215_23_taskName_GL_Main</t>
  </si>
  <si>
    <t>TID_BranchLineTaskConf_201_7_taskName_GL_Main</t>
  </si>
  <si>
    <t>TID_BranchLineTaskConf_204_18_taskName_GL_Main</t>
  </si>
  <si>
    <t>TID_BranchLineTaskConf_205_18_taskName_GL_Main</t>
  </si>
  <si>
    <t>TID_BranchLineTaskConf_234_18_taskName_GL_Main</t>
  </si>
  <si>
    <t>TID_BranchLineTaskConf_203_18_taskName_GL_Main</t>
  </si>
  <si>
    <t>TID_BranchLineTaskConf_202_17_taskName_GL_Main</t>
  </si>
  <si>
    <t>TID_BranchLineTaskConf_222_21_taskName_GL_Main</t>
  </si>
  <si>
    <t>TID_BranchLineTaskConf_215_24_taskName_GL_Main</t>
  </si>
  <si>
    <t>TID_BranchLineTaskConf_201_8_taskName_GL_Main</t>
  </si>
  <si>
    <t>TID_BranchLineTaskConf_204_19_taskName_GL_Main</t>
  </si>
  <si>
    <t>TID_BranchLineTaskConf_205_19_taskName_GL_Main</t>
  </si>
  <si>
    <t>TID_BranchLineTaskConf_234_19_taskName_GL_Main</t>
  </si>
  <si>
    <t>TID_BranchLineTaskConf_203_19_taskName_GL_Main</t>
  </si>
  <si>
    <t>TID_BranchLineTaskConf_202_18_taskName_GL_Main</t>
  </si>
  <si>
    <t>TID_BranchLineTaskConf_222_22_taskName_GL_Main</t>
  </si>
  <si>
    <t>TID_BranchLineTaskConf_230_24_taskName_GL_Main</t>
  </si>
  <si>
    <t>TID_BranchLineTaskConf_215_25_taskName_GL_Main</t>
  </si>
  <si>
    <t>TID_BranchLineTaskConf_201_9_taskName_GL_Main</t>
  </si>
  <si>
    <t>TID_BranchLineTaskConf_204_20_taskName_GL_Main</t>
  </si>
  <si>
    <t>TID_BranchLineTaskConf_205_20_taskName_GL_Main</t>
  </si>
  <si>
    <t>TID_BranchLineTaskConf_234_20_taskName_GL_Main</t>
  </si>
  <si>
    <t>TID_BranchLineTaskConf_203_20_taskName_GL_Main</t>
  </si>
  <si>
    <t>TID_BranchLineTaskConf_202_19_taskName_GL_Main</t>
  </si>
  <si>
    <t>TID_BranchLineTaskConf_211_28_taskName_GL_Main</t>
  </si>
  <si>
    <t>TID_BranchLineTaskConf_222_23_taskName_GL_Main</t>
  </si>
  <si>
    <t>TID_BranchLineTaskConf_215_26_taskName_GL_Main</t>
  </si>
  <si>
    <t>TID_BranchLineTaskConf_201_10_taskName_GL_Main</t>
  </si>
  <si>
    <t>教学任务联盟发言</t>
  </si>
  <si>
    <t>TID_BranchLineTaskConf_10101_taskName_CN_Main</t>
  </si>
  <si>
    <t>在联盟频道发言</t>
  </si>
  <si>
    <t>taskComplete{taskId:100014}</t>
  </si>
  <si>
    <t>chatCount{chatType:4,count:@@@}</t>
  </si>
  <si>
    <t>跳转到聊天界面【联盟】选项</t>
  </si>
  <si>
    <t>icon_task_p3_02</t>
  </si>
  <si>
    <t>教学任务联盟礼物</t>
  </si>
  <si>
    <t>TID_BranchLineTaskConf_10001020_taskName_GL_Main</t>
  </si>
  <si>
    <t>领取联盟礼物</t>
  </si>
  <si>
    <t>statisticReach{type:"AllianceReceiveGift",value:@@@}</t>
  </si>
  <si>
    <t>直接打开【联盟礼物界面】</t>
  </si>
  <si>
    <t>教学任务联盟帮助</t>
  </si>
  <si>
    <t>TID_BranchLineTaskConf_10001030_taskName_GL_Main</t>
  </si>
  <si>
    <t>联盟帮助盟友建筑加速</t>
  </si>
  <si>
    <t>statisticReach{type:"AllianceHelp",value:@@@}</t>
  </si>
  <si>
    <t>直接打开【联盟帮助界面】</t>
  </si>
  <si>
    <t>教学任务联盟领地</t>
  </si>
  <si>
    <t>TID_BranchLineTaskConf_10109_taskName_CN_Main</t>
  </si>
  <si>
    <t>联盟内领取领地奖励</t>
  </si>
  <si>
    <t>statisticReach{type:"GetDailyTerritoryPowerReward",value:@@@}</t>
  </si>
  <si>
    <t>【海外】跳转到主界面【联盟】按钮</t>
  </si>
  <si>
    <t>milestoneOpen{milestoneId:2}</t>
  </si>
  <si>
    <t/>
  </si>
  <si>
    <t>教学任务联盟宝库</t>
  </si>
  <si>
    <t>TID_BranchLineTaskConf_10110_taskName_CN_Main</t>
  </si>
  <si>
    <t>联盟宝库内兑换奖励</t>
  </si>
  <si>
    <t>加入任意1个联盟</t>
  </si>
  <si>
    <t>statisticReach{type:"AllianceTreasureHouseBuy",value:@@@}</t>
  </si>
  <si>
    <t>直接跳转-联盟-宝库</t>
  </si>
  <si>
    <t>教学任务迁城</t>
  </si>
  <si>
    <t>TID_BranchLineTaskConf_10108_taskName_CN_Main</t>
  </si>
  <si>
    <t>使用任意迁城方式迁至联盟领地</t>
  </si>
  <si>
    <t>条件或</t>
  </si>
  <si>
    <t>statisticReach{type:"CityMove",value:@@@}</t>
  </si>
  <si>
    <t xml:space="preserve">教学任务好友 </t>
  </si>
  <si>
    <t>TID_BranchLineTaskConf_10103_taskName_CN_Main</t>
  </si>
  <si>
    <t>添加任意好友</t>
  </si>
  <si>
    <t>个</t>
  </si>
  <si>
    <t>statisticReach{type:"AddFriend",value:@@@}</t>
  </si>
  <si>
    <t>跳转到主界面【好友】按钮</t>
  </si>
  <si>
    <t>教学任务城池增益</t>
  </si>
  <si>
    <t>TID_BranchLineTaskConf_10105_taskName_CN_Main</t>
  </si>
  <si>
    <t>通过城池增益开启免战声明</t>
  </si>
  <si>
    <t>升级城镇中心至10级</t>
  </si>
  <si>
    <t>openShieldNoHistory{count:@@@}</t>
  </si>
  <si>
    <t>跳转到城镇中心【城池增益】菜单按钮</t>
  </si>
  <si>
    <t>教学任务集结进攻</t>
  </si>
  <si>
    <t>TID_BranchLineTaskConf_10001100_taskName_GL_Main</t>
  </si>
  <si>
    <t>参与集结进攻</t>
  </si>
  <si>
    <t>statisticReach{type:"PlayerJoinGrpForAttack",value:@@@}</t>
  </si>
  <si>
    <t>教学任务蛮族集结</t>
  </si>
  <si>
    <t>TID_BranchLineTaskConf_10106_taskName_CN_Main</t>
  </si>
  <si>
    <t>参与蛮族集结活动</t>
  </si>
  <si>
    <t>statisticReach{type:"JoinManzuGroup",value:@@@}</t>
  </si>
  <si>
    <t>icon_task_p3_03</t>
  </si>
  <si>
    <t>教学任务草丛</t>
  </si>
  <si>
    <t>TID_BranchLineTaskConf_10112_taskName_CN_Main</t>
  </si>
  <si>
    <t>进入草丛</t>
  </si>
  <si>
    <t>generalProcess{event:PET_PlayerInGrass,count:@@@}</t>
  </si>
  <si>
    <t>教学新手有礼</t>
  </si>
  <si>
    <t>TID_BranchLineTaskConf_10001150_taskName_GL_Main</t>
  </si>
  <si>
    <t>进入加群有礼活动1次</t>
  </si>
  <si>
    <t>升级城镇中心至6级</t>
  </si>
  <si>
    <t>TID_DailyTaskConf_30004_taskDesc_GL_Main</t>
  </si>
  <si>
    <t>完成</t>
  </si>
  <si>
    <t>asyncArenaBattleCnt{count:1}</t>
  </si>
  <si>
    <t>支线任务链训练</t>
  </si>
  <si>
    <t>TID_BranchLineTaskConf_12401_taskName_CN_Main</t>
  </si>
  <si>
    <t>累计训练任意士兵</t>
  </si>
  <si>
    <t>soldierTraining{soldierType1:0,soldierLevel:0}</t>
  </si>
  <si>
    <t>跳转到当前士兵总数最多兵营建筑【训练】展开菜单</t>
  </si>
  <si>
    <t>TID_BranchLineTaskConf_12402_taskName_CN_Main</t>
  </si>
  <si>
    <t>TID_BranchLineTaskConf_12403_taskName_CN_Main</t>
  </si>
  <si>
    <t>TID_BranchLineTaskConf_20110004_taskName_GL_Main</t>
  </si>
  <si>
    <t>TID_BranchLineTaskConf_20110005_taskName_GL_Main</t>
  </si>
  <si>
    <t>TID_BranchLineTaskConf_20110006_taskName_GL_Main</t>
  </si>
  <si>
    <t>TID_BranchLineTaskConf_12406_taskName_CN_Main</t>
  </si>
  <si>
    <t>TID_BranchLineTaskConf_12408_taskName_CN_Main</t>
  </si>
  <si>
    <t>TID_BranchLineTaskConf_12409_taskName_CN_Main</t>
  </si>
  <si>
    <t>TID_BranchLineTaskConf_20110010_taskName_GL_Main</t>
  </si>
  <si>
    <t>TID_BranchLineTaskConf_12410_taskName_CN_Main</t>
  </si>
  <si>
    <t>TID_BranchLineTaskConf_20110011_taskName_GL_Main</t>
  </si>
  <si>
    <t>TID_BranchLineTaskConf_20110012_taskName_GL_Main</t>
  </si>
  <si>
    <t>TID_BranchLineTaskConf_20110013_taskName_GL_Main</t>
  </si>
  <si>
    <t>TID_BranchLineTaskConf_20110014_taskName_GL_Main</t>
  </si>
  <si>
    <t>TID_BranchLineTaskConf_20110015_taskName_GL_Main</t>
  </si>
  <si>
    <t>TID_BranchLineTaskConf_20110017_taskName_GL_Main</t>
  </si>
  <si>
    <t>TID_BranchLineTaskConf_20110018_taskName_GL_Main</t>
  </si>
  <si>
    <t>TID_BranchLineTaskConf_20110019_taskName_GL_Main</t>
  </si>
  <si>
    <t>TID_BranchLineTaskConf_20110020_taskName_GL_Main</t>
  </si>
  <si>
    <t>TID_BranchLineTaskConf_20110021_taskName_GL_Main</t>
  </si>
  <si>
    <t>TID_BranchLineTaskConf_20110022_taskName_GL_Main</t>
  </si>
  <si>
    <t>TID_BranchLineTaskConf_20110023_taskName_GL_Main</t>
  </si>
  <si>
    <t>TID_BranchLineTaskConf_20110024_taskName_GL_Main</t>
  </si>
  <si>
    <t>TID_BranchLineTaskConf_20110025_taskName_GL_Main</t>
  </si>
  <si>
    <t>支线任务链治疗</t>
  </si>
  <si>
    <t>TID_BranchLineTaskConf_12501_taskName_CN_Main</t>
  </si>
  <si>
    <t>累计治疗任意士兵</t>
  </si>
  <si>
    <t>治疗伤兵1次</t>
  </si>
  <si>
    <t>statisticReach{type:"SoldierCureNums",value:@@@}</t>
  </si>
  <si>
    <t>直接打开【治疗伤兵界面】</t>
  </si>
  <si>
    <t>TID_BranchLineTaskConf_12502_taskName_CN_Main</t>
  </si>
  <si>
    <t>TID_BranchLineTaskConf_12503_taskName_CN_Main</t>
  </si>
  <si>
    <t>TID_BranchLineTaskConf_20111004_taskName_GL_Main</t>
  </si>
  <si>
    <t>TID_BranchLineTaskConf_20111005_taskName_GL_Main</t>
  </si>
  <si>
    <t>TID_BranchLineTaskConf_20111006_taskName_GL_Main</t>
  </si>
  <si>
    <t>TID_BranchLineTaskConf_12506_taskName_CN_Main</t>
  </si>
  <si>
    <t>TID_BranchLineTaskConf_12508_taskName_CN_Main</t>
  </si>
  <si>
    <t>TID_BranchLineTaskConf_12509_taskName_CN_Main</t>
  </si>
  <si>
    <t>TID_BranchLineTaskConf_20111010_taskName_GL_Main</t>
  </si>
  <si>
    <t>TID_BranchLineTaskConf_12510_taskName_CN_Main</t>
  </si>
  <si>
    <t>支线任务链普通野等级</t>
  </si>
  <si>
    <t>TID_BranchLineTaskConf_10012010_taskName_GL_Main</t>
  </si>
  <si>
    <t>清剿1级蛮族1次</t>
  </si>
  <si>
    <t>attackingMonsterNow{categoryType:1,rarity:1,level:1}</t>
  </si>
  <si>
    <t>attackingMonsterNow{categoryType:1,rarity:1,level:2}</t>
  </si>
  <si>
    <t>attackingMonsterNow{categoryType:1,rarity:1,level:3}</t>
  </si>
  <si>
    <t>attackingMonsterNow{categoryType:1,rarity:1,level:4}</t>
  </si>
  <si>
    <t>attackingMonsterNow{categoryType:1,rarity:1,level:5}</t>
  </si>
  <si>
    <t>attackingMonsterNow{categoryType:1,rarity:1,level:6}</t>
  </si>
  <si>
    <t>attackingMonsterNow{categoryType:1,rarity:1,level:7}</t>
  </si>
  <si>
    <t>TID_BranchLineTaskConf_10012080_taskName_GL_Main</t>
  </si>
  <si>
    <t>attackingMonsterNow{categoryType:1,rarity:1,level:8}</t>
  </si>
  <si>
    <t>TID_BranchLineTaskConf_10012090_taskName_GL_Main</t>
  </si>
  <si>
    <t>attackingMonsterNow{categoryType:1,rarity:1,level:9}</t>
  </si>
  <si>
    <t>TID_BranchLineTaskConf_10012100_taskName_GL_Main</t>
  </si>
  <si>
    <t>attackingMonsterNow{categoryType:1,rarity:1,level:10}</t>
  </si>
  <si>
    <t>TID_BranchLineTaskConf_10012110_taskName_GL_Main</t>
  </si>
  <si>
    <t>attackingMonsterNow{categoryType:1,rarity:1,level:11}</t>
  </si>
  <si>
    <t>TID_BranchLineTaskConf_10012120_taskName_GL_Main</t>
  </si>
  <si>
    <t>attackingMonsterNow{categoryType:1,rarity:1,level:12}</t>
  </si>
  <si>
    <t>TID_BranchLineTaskConf_10012130_taskName_GL_Main</t>
  </si>
  <si>
    <t>attackingMonsterNow{categoryType:1,rarity:1,level:13}</t>
  </si>
  <si>
    <t>TID_BranchLineTaskConf_10012140_taskName_GL_Main</t>
  </si>
  <si>
    <t>attackingMonsterNow{categoryType:1,rarity:1,level:14}</t>
  </si>
  <si>
    <t>TID_BranchLineTaskConf_10012150_taskName_GL_Main</t>
  </si>
  <si>
    <t>attackingMonsterNow{categoryType:1,rarity:1,level:15}</t>
  </si>
  <si>
    <t>TID_BranchLineTaskConf_10012160_taskName_GL_Main</t>
  </si>
  <si>
    <t>attackingMonsterNow{categoryType:1,rarity:1,level:16}</t>
  </si>
  <si>
    <t>TID_BranchLineTaskConf_10012170_taskName_GL_Main</t>
  </si>
  <si>
    <t>attackingMonsterNow{categoryType:1,rarity:1,level:17}</t>
  </si>
  <si>
    <t>TID_BranchLineTaskConf_10012180_taskName_GL_Main</t>
  </si>
  <si>
    <t>attackingMonsterNow{categoryType:1,rarity:1,level:18}</t>
  </si>
  <si>
    <t>TID_BranchLineTaskConf_10012190_taskName_GL_Main</t>
  </si>
  <si>
    <t>attackingMonsterNow{categoryType:1,rarity:1,level:19}</t>
  </si>
  <si>
    <t>TID_BranchLineTaskConf_10012200_taskName_GL_Main</t>
  </si>
  <si>
    <t>attackingMonsterNow{categoryType:1,rarity:1,level:20}</t>
  </si>
  <si>
    <t>TID_BranchLineTaskConf_10012210_taskName_GL_Main</t>
  </si>
  <si>
    <t>attackingMonsterNow{categoryType:1,rarity:1,level:21}</t>
  </si>
  <si>
    <t>TID_BranchLineTaskConf_10012220_taskName_GL_Main</t>
  </si>
  <si>
    <t>attackingMonsterNow{categoryType:1,rarity:1,level:22}</t>
  </si>
  <si>
    <t>TID_BranchLineTaskConf_10012230_taskName_GL_Main</t>
  </si>
  <si>
    <t>attackingMonsterNow{categoryType:1,rarity:1,level:23}</t>
  </si>
  <si>
    <t>TID_BranchLineTaskConf_10012240_taskName_GL_Main</t>
  </si>
  <si>
    <t>attackingMonsterNow{categoryType:1,rarity:1,level:24}</t>
  </si>
  <si>
    <t>TID_BranchLineTaskConf_10012250_taskName_GL_Main</t>
  </si>
  <si>
    <t>attackingMonsterNow{categoryType:1,rarity:1,level:25}</t>
  </si>
  <si>
    <t>TID_BranchLineTaskConf_10012260_taskName_GL_Main</t>
  </si>
  <si>
    <t>attackingMonsterNow{categoryType:1,rarity:1,level:26}</t>
  </si>
  <si>
    <t>TID_BranchLineTaskConf_10012270_taskName_GL_Main</t>
  </si>
  <si>
    <t>attackingMonsterNow{categoryType:1,rarity:1,level:27}</t>
  </si>
  <si>
    <t>TID_BranchLineTaskConf_10012280_taskName_GL_Main</t>
  </si>
  <si>
    <t>attackingMonsterNow{categoryType:1,rarity:1,level:28}</t>
  </si>
  <si>
    <t>TID_BranchLineTaskConf_10012290_taskName_GL_Main</t>
  </si>
  <si>
    <t>attackingMonsterNow{categoryType:1,rarity:1,level:29}</t>
  </si>
  <si>
    <t>TID_BranchLineTaskConf_10012300_taskName_GL_Main</t>
  </si>
  <si>
    <t>attackingMonsterNow{categoryType:1,rarity:1,level:30}</t>
  </si>
  <si>
    <t>支线任务链普通野次数</t>
  </si>
  <si>
    <t>TID_BranchLineTaskConf_10013020_taskName_GL_Main</t>
  </si>
  <si>
    <t>TID_BranchLineTaskConf_10701_taskName_CN_Main</t>
  </si>
  <si>
    <t>TID_BranchLineTaskConf_10013040_taskName_GL_Main</t>
  </si>
  <si>
    <t>TID_BranchLineTaskConf_10702_taskName_CN_Main</t>
  </si>
  <si>
    <t>TID_BranchLineTaskConf_10013060_taskName_GL_Main</t>
  </si>
  <si>
    <t>TID_BranchLineTaskConf_10703_taskName_CN_Main</t>
  </si>
  <si>
    <t>TID_BranchLineTaskConf_10013080_taskName_GL_Main</t>
  </si>
  <si>
    <t>TID_BranchLineTaskConf_10013090_taskName_GL_Main</t>
  </si>
  <si>
    <t>TID_BranchLineTaskConf_10704_taskName_CN_Main</t>
  </si>
  <si>
    <t>TID_BranchLineTaskConf_10013110_taskName_GL_Main</t>
  </si>
  <si>
    <t>TID_BranchLineTaskConf_10705_taskName_CN_Main</t>
  </si>
  <si>
    <t>TID_BranchLineTaskConf_10013130_taskName_GL_Main</t>
  </si>
  <si>
    <t>TID_BranchLineTaskConf_10013140_taskName_GL_Main</t>
  </si>
  <si>
    <t>TID_BranchLineTaskConf_10706_taskName_CN_Main</t>
  </si>
  <si>
    <t>TID_BranchLineTaskConf_10013160_taskName_GL_Main</t>
  </si>
  <si>
    <t>TID_BranchLineTaskConf_10013170_taskName_GL_Main</t>
  </si>
  <si>
    <t>TID_BranchLineTaskConf_10013180_taskName_GL_Main</t>
  </si>
  <si>
    <t>TID_BranchLineTaskConf_10013190_taskName_GL_Main</t>
  </si>
  <si>
    <t>TID_BranchLineTaskConf_10708_taskName_CN_Main</t>
  </si>
  <si>
    <t>TID_BranchLineTaskConf_10013210_taskName_GL_Main</t>
  </si>
  <si>
    <t>TID_BranchLineTaskConf_10013220_taskName_GL_Main</t>
  </si>
  <si>
    <t>TID_BranchLineTaskConf_10710_taskName_CN_Main</t>
  </si>
  <si>
    <t>TID_BranchLineTaskConf_10013240_taskName_GL_Main</t>
  </si>
  <si>
    <t>TID_BranchLineTaskConf_10711_taskName_CN_Main</t>
  </si>
  <si>
    <t>TID_BranchLineTaskConf_10013260_taskName_GL_Main</t>
  </si>
  <si>
    <t>TID_BranchLineTaskConf_10712_taskName_CN_Main</t>
  </si>
  <si>
    <t>TID_BranchLineTaskConf_10013280_taskName_GL_Main</t>
  </si>
  <si>
    <t>TID_BranchLineTaskConf_10013290_taskName_GL_Main</t>
  </si>
  <si>
    <t>TID_BranchLineTaskConf_10013300_taskName_GL_Main</t>
  </si>
  <si>
    <t>TID_BranchLineTaskConf_10013310_taskName_GL_Main</t>
  </si>
  <si>
    <t>TID_BranchLineTaskConf_10013320_taskName_GL_Main</t>
  </si>
  <si>
    <t>TID_BranchLineTaskConf_10013330_taskName_GL_Main</t>
  </si>
  <si>
    <t>TID_BranchLineTaskConf_10013340_taskName_GL_Main</t>
  </si>
  <si>
    <t>TID_BranchLineTaskConf_10013350_taskName_GL_Main</t>
  </si>
  <si>
    <t>TID_BranchLineTaskConf_10013360_taskName_GL_Main</t>
  </si>
  <si>
    <t>TID_BranchLineTaskConf_10013370_taskName_GL_Main</t>
  </si>
  <si>
    <t>支线任务链英雄等级</t>
  </si>
  <si>
    <t>TID_BranchLineTaskConf_10014010_taskName_GL_Main</t>
  </si>
  <si>
    <t>任意2个英雄等级提升至</t>
  </si>
  <si>
    <t>任意英雄等级提升至15级</t>
  </si>
  <si>
    <t>heroLevel{level:@@@,count:2}</t>
  </si>
  <si>
    <t>TID_BranchLineTaskConf_10014020_taskName_GL_Main</t>
  </si>
  <si>
    <t>TID_BranchLineTaskConf_10014030_taskName_GL_Main</t>
  </si>
  <si>
    <t>TID_BranchLineTaskConf_10014040_taskName_GL_Main</t>
  </si>
  <si>
    <t>TID_BranchLineTaskConf_10014050_taskName_GL_Main</t>
  </si>
  <si>
    <t>TID_BranchLineTaskConf_10014060_taskName_GL_Main</t>
  </si>
  <si>
    <t>TID_BranchLineTaskConf_10014070_taskName_GL_Main</t>
  </si>
  <si>
    <t>TID_BranchLineTaskConf_10014080_taskName_GL_Main</t>
  </si>
  <si>
    <t>TID_BranchLineTaskConf_10014090_taskName_GL_Main</t>
  </si>
  <si>
    <t>TID_BranchLineTaskConf_10014100_taskName_GL_Main</t>
  </si>
  <si>
    <t>TID_BranchLineTaskConf_10014110_taskName_GL_Main</t>
  </si>
  <si>
    <t>TID_BranchLineTaskConf_10014120_taskName_GL_Main</t>
  </si>
  <si>
    <t>TID_BranchLineTaskConf_10014130_taskName_GL_Main</t>
  </si>
  <si>
    <t>TID_BranchLineTaskConf_20113007_taskName_GL_Main</t>
  </si>
  <si>
    <t>任意3个英雄等级提升至</t>
  </si>
  <si>
    <t>heroLevel{level:@@@,count:3}</t>
  </si>
  <si>
    <t>TID_BranchLineTaskConf_20113008_taskName_GL_Main</t>
  </si>
  <si>
    <t>TID_BranchLineTaskConf_20113009_taskName_GL_Main</t>
  </si>
  <si>
    <t>TID_BranchLineTaskConf_20113010_taskName_GL_Main</t>
  </si>
  <si>
    <t>TID_BranchLineTaskConf_20113011_taskName_GL_Main</t>
  </si>
  <si>
    <t>TID_BranchLineTaskConf_20113012_taskName_GL_Main</t>
  </si>
  <si>
    <t>支线任务链打田</t>
  </si>
  <si>
    <t>TID_BranchLineTaskConf_10015010_taskName_GL_Main</t>
  </si>
  <si>
    <t>城外攻占</t>
  </si>
  <si>
    <t>级或更高级资源点</t>
  </si>
  <si>
    <t>resourceFieldStateSatisfied{type:0,level:1,state:100}</t>
  </si>
  <si>
    <t>跳转到1级【任意】资源点攻占按钮</t>
  </si>
  <si>
    <t>TID_BranchLineTaskConf_10015020_taskName_GL_Main</t>
  </si>
  <si>
    <t>resourceFieldStateSatisfied{type:0,level:2,state:100}</t>
  </si>
  <si>
    <t>跳转到2级【任意】资源点攻占按钮</t>
  </si>
  <si>
    <t>TID_BranchLineTaskConf_10015030_taskName_GL_Main</t>
  </si>
  <si>
    <t>resourceFieldStateSatisfied{type:0,level:3,state:100}</t>
  </si>
  <si>
    <t>跳转到3级【任意】资源点攻占按钮</t>
  </si>
  <si>
    <t>TID_BranchLineTaskConf_10015040_taskName_GL_Main</t>
  </si>
  <si>
    <t>resourceFieldStateSatisfied{type:0,level:4,state:100}</t>
  </si>
  <si>
    <t>跳转到4级【任意】资源点攻占按钮</t>
  </si>
  <si>
    <t>TID_BranchLineTaskConf_10015050_taskName_GL_Main</t>
  </si>
  <si>
    <t>resourceFieldStateSatisfied{type:0,level:5,state:100}</t>
  </si>
  <si>
    <t>跳转到5级【任意】资源点攻占按钮</t>
  </si>
  <si>
    <t>TID_BranchLineTaskConf_10015060_taskName_GL_Main</t>
  </si>
  <si>
    <t>resourceFieldStateSatisfied{type:0,level:6,state:100}</t>
  </si>
  <si>
    <t>跳转到6级【任意】资源点攻占按钮</t>
  </si>
  <si>
    <t>支线任务链村民采集</t>
  </si>
  <si>
    <t>TID_BranchLineTaskConf_10016010_taskName_GL_Main</t>
  </si>
  <si>
    <t>TID_BranchLineTaskConf_10016020_taskName_GL_Main</t>
  </si>
  <si>
    <t>TID_BranchLineTaskConf_10016030_taskName_GL_Main</t>
  </si>
  <si>
    <t>TID_BranchLineTaskConf_10016040_taskName_GL_Main</t>
  </si>
  <si>
    <t>TID_BranchLineTaskConf_10016050_taskName_GL_Main</t>
  </si>
  <si>
    <t>TID_BranchLineTaskConf_10016060_taskName_GL_Main</t>
  </si>
  <si>
    <t>TID_BranchLineTaskConf_10016070_taskName_GL_Main</t>
  </si>
  <si>
    <t>TID_BranchLineTaskConf_10016080_taskName_GL_Main</t>
  </si>
  <si>
    <t>TID_BranchLineTaskConf_10016090_taskName_GL_Main</t>
  </si>
  <si>
    <t>TID_BranchLineTaskConf_10016100_taskName_GL_Main</t>
  </si>
  <si>
    <t>TID_BranchLineTaskConf_10016110_taskName_GL_Main</t>
  </si>
  <si>
    <t>TID_BranchLineTaskConf_10016120_taskName_GL_Main</t>
  </si>
  <si>
    <t>TID_BranchLineTaskConf_10016130_taskName_GL_Main</t>
  </si>
  <si>
    <t>TID_BranchLineTaskConf_10016140_taskName_GL_Main</t>
  </si>
  <si>
    <t>TID_BranchLineTaskConf_10016150_taskName_GL_Main</t>
  </si>
  <si>
    <t>TID_BranchLineTaskConf_10016160_taskName_GL_Main</t>
  </si>
  <si>
    <t>TID_BranchLineTaskConf_10016170_taskName_GL_Main</t>
  </si>
  <si>
    <t>TID_BranchLineTaskConf_10016180_taskName_GL_Main</t>
  </si>
  <si>
    <t>TID_BranchLineTaskConf_10016190_taskName_GL_Main</t>
  </si>
  <si>
    <t>TID_BranchLineTaskConf_10016200_taskName_GL_Main</t>
  </si>
  <si>
    <t>TID_BranchLineTaskConf_10016210_taskName_GL_Main</t>
  </si>
  <si>
    <t>TID_BranchLineTaskConf_10016220_taskName_GL_Main</t>
  </si>
  <si>
    <t>TID_BranchLineTaskConf_10016230_taskName_GL_Main</t>
  </si>
  <si>
    <t>TID_BranchLineTaskConf_10016240_taskName_GL_Main</t>
  </si>
  <si>
    <t>TID_BranchLineTaskConf_10016250_taskName_GL_Main</t>
  </si>
  <si>
    <t>TID_BranchLineTaskConf_10016260_taskName_GL_Main</t>
  </si>
  <si>
    <t>TID_BranchLineTaskConf_10016270_taskName_GL_Main</t>
  </si>
  <si>
    <t>支线任务链科技</t>
  </si>
  <si>
    <t>TID_BranchLineTaskConf_20115001_taskName_GL_Main</t>
  </si>
  <si>
    <t>次科技研究</t>
  </si>
  <si>
    <t>研究科技解锁高级剑士</t>
  </si>
  <si>
    <t>statisticReach{type:"PET_PlayerTechResearchEvent",value:@@@}</t>
  </si>
  <si>
    <t>TID_BranchLineTaskConf_20115002_taskName_GL_Main</t>
  </si>
  <si>
    <t>TID_BranchLineTaskConf_20115003_taskName_GL_Main</t>
  </si>
  <si>
    <t>TID_BranchLineTaskConf_20115004_taskName_GL_Main</t>
  </si>
  <si>
    <t>TID_BranchLineTaskConf_20115005_taskName_GL_Main</t>
  </si>
  <si>
    <t>TID_BranchLineTaskConf_20115006_taskName_GL_Main</t>
  </si>
  <si>
    <t>TID_BranchLineTaskConf_20115007_taskName_GL_Main</t>
  </si>
  <si>
    <t>TID_BranchLineTaskConf_20115008_taskName_GL_Main</t>
  </si>
  <si>
    <t>TID_BranchLineTaskConf_20115009_taskName_GL_Main</t>
  </si>
  <si>
    <t>TID_BranchLineTaskConf_20115010_taskName_GL_Main</t>
  </si>
  <si>
    <t>TID_BranchLineTaskConf_20115011_taskName_GL_Main</t>
  </si>
  <si>
    <t>TID_BranchLineTaskConf_20115012_taskName_GL_Main</t>
  </si>
  <si>
    <t>TID_BranchLineTaskConf_20115013_taskName_GL_Main</t>
  </si>
  <si>
    <t>TID_BranchLineTaskConf_20115014_taskName_GL_Main</t>
  </si>
  <si>
    <t>TID_BranchLineTaskConf_20115015_taskName_GL_Main</t>
  </si>
  <si>
    <t>TID_BranchLineTaskConf_20115016_taskName_GL_Main</t>
  </si>
  <si>
    <t>TID_BranchLineTaskConf_20115017_taskName_GL_Main</t>
  </si>
  <si>
    <t>TID_BranchLineTaskConf_20115018_taskName_GL_Main</t>
  </si>
  <si>
    <t>TID_BranchLineTaskConf_20115019_taskName_GL_Main</t>
  </si>
  <si>
    <t>TID_BranchLineTaskConf_20115020_taskName_GL_Main</t>
  </si>
  <si>
    <t>TID_BranchLineTaskConf_20115021_taskName_GL_Main</t>
  </si>
  <si>
    <t>TID_BranchLineTaskConf_20115022_taskName_GL_Main</t>
  </si>
  <si>
    <t>TID_BranchLineTaskConf_20115023_taskName_GL_Main</t>
  </si>
  <si>
    <t>TID_BranchLineTaskConf_20115024_taskName_GL_Main</t>
  </si>
  <si>
    <t>支线任务链固有技能</t>
  </si>
  <si>
    <t>TID_BranchLineTaskConf_20120002_taskName_GL_Main</t>
  </si>
  <si>
    <t>任意英雄固有技能升级至3级</t>
  </si>
  <si>
    <t>直接打开【英雄界面】</t>
  </si>
  <si>
    <t>TID_BranchLineTaskConf_20120004_taskName_GL_Main</t>
  </si>
  <si>
    <t>TID_BranchLineTaskConf_20120005_taskName_GL_Main</t>
  </si>
  <si>
    <t>TID_BranchLineTaskConf_11010112_taskName_GL_Main</t>
  </si>
  <si>
    <t>TID_BranchLineTaskConf_20120007_taskName_GL_Main</t>
  </si>
  <si>
    <t>任意2个英雄固有技能升级至</t>
  </si>
  <si>
    <t>satisfyInherentSkillLvHeroCnt{level:@@@,cnt:2}</t>
  </si>
  <si>
    <t>TID_BranchLineTaskConf_11301_taskName_CN_Main</t>
  </si>
  <si>
    <t>TID_BranchLineTaskConf_11302_taskName_CN_Main</t>
  </si>
  <si>
    <t>TID_BranchLineTaskConf_11303_taskName_CN_Main</t>
  </si>
  <si>
    <t>TID_BranchLineTaskConf_11304_taskName_CN_Main</t>
  </si>
  <si>
    <t>TID_BranchLineTaskConf_11305_taskName_CN_Main</t>
  </si>
  <si>
    <t>TID_BranchLineTaskConf_20120013_taskName_GL_Main</t>
  </si>
  <si>
    <t>任意3个英雄固有技能升级至</t>
  </si>
  <si>
    <t>satisfyInherentSkillLvHeroCnt{level:@@@,cnt:3}</t>
  </si>
  <si>
    <t>TID_BranchLineTaskConf_20120014_taskName_GL_Main</t>
  </si>
  <si>
    <t>TID_BranchLineTaskConf_20120015_taskName_GL_Main</t>
  </si>
  <si>
    <t>TID_BranchLineTaskConf_20120016_taskName_GL_Main</t>
  </si>
  <si>
    <t>TID_BranchLineTaskConf_20120017_taskName_GL_Main</t>
  </si>
  <si>
    <t>TID_BranchLineTaskConf_20120018_taskName_GL_Main</t>
  </si>
  <si>
    <t>TID_BranchLineTaskConf_20120019_taskName_GL_Main</t>
  </si>
  <si>
    <t>任意4个英雄固有技能升级至</t>
  </si>
  <si>
    <t>satisfyInherentSkillLvHeroCnt{level:@@@,cnt:4}</t>
  </si>
  <si>
    <t>TID_BranchLineTaskConf_11401_taskName_CN_Main</t>
  </si>
  <si>
    <t>TID_BranchLineTaskConf_11402_taskName_CN_Main</t>
  </si>
  <si>
    <t>TID_BranchLineTaskConf_11403_taskName_CN_Main</t>
  </si>
  <si>
    <t>TID_BranchLineTaskConf_11404_taskName_CN_Main</t>
  </si>
  <si>
    <t>TID_BranchLineTaskConf_11405_taskName_CN_Main</t>
  </si>
  <si>
    <t>TID_BranchLineTaskConf_20120025_taskName_GL_Main</t>
  </si>
  <si>
    <t>任意6个英雄固有技能升级至</t>
  </si>
  <si>
    <t>satisfyInherentSkillLvHeroCnt{level:@@@,cnt:6}</t>
  </si>
  <si>
    <t>TID_BranchLineTaskConf_11501_taskName_CN_Main</t>
  </si>
  <si>
    <t>TID_BranchLineTaskConf_11502_taskName_CN_Main</t>
  </si>
  <si>
    <t>TID_BranchLineTaskConf_11503_taskName_CN_Main</t>
  </si>
  <si>
    <t>TID_BranchLineTaskConf_11504_taskName_CN_Main</t>
  </si>
  <si>
    <t>TID_BranchLineTaskConf_11505_taskName_CN_Main</t>
  </si>
  <si>
    <t>TID_BranchLineTaskConf_20120031_taskName_GL_Main</t>
  </si>
  <si>
    <t>任意9个英雄固有技能升级至</t>
  </si>
  <si>
    <t>satisfyInherentSkillLvHeroCnt{level:@@@,cnt:9}</t>
  </si>
  <si>
    <t>TID_BranchLineTaskConf_20120032_taskName_GL_Main</t>
  </si>
  <si>
    <t>TID_BranchLineTaskConf_20120033_taskName_GL_Main</t>
  </si>
  <si>
    <t>TID_BranchLineTaskConf_20120034_taskName_GL_Main</t>
  </si>
  <si>
    <t>TID_BranchLineTaskConf_20120035_taskName_GL_Main</t>
  </si>
  <si>
    <t>TID_BranchLineTaskConf_20120036_taskName_GL_Main</t>
  </si>
  <si>
    <t>TID_BranchLineTaskConf_20120037_taskName_GL_Main</t>
  </si>
  <si>
    <t>任意12个英雄固有技能升级至</t>
  </si>
  <si>
    <t>satisfyInherentSkillLvHeroCnt{level:@@@,cnt:12}</t>
  </si>
  <si>
    <t>TID_BranchLineTaskConf_20120038_taskName_GL_Main</t>
  </si>
  <si>
    <t>TID_BranchLineTaskConf_20120039_taskName_GL_Main</t>
  </si>
  <si>
    <t>TID_BranchLineTaskConf_20120040_taskName_GL_Main</t>
  </si>
  <si>
    <t>TID_BranchLineTaskConf_20120041_taskName_GL_Main</t>
  </si>
  <si>
    <t>TID_BranchLineTaskConf_20120042_taskName_GL_Main</t>
  </si>
  <si>
    <t>支线任务链帝国军演</t>
  </si>
  <si>
    <t>TID_BranchLineTaskConf_10710104_taskName_GL_Main</t>
  </si>
  <si>
    <t>帝国军演通关第</t>
  </si>
  <si>
    <t>层</t>
  </si>
  <si>
    <t>帝国军演通关第1层</t>
  </si>
  <si>
    <t>直接打开【帝国军演界面】</t>
  </si>
  <si>
    <t>TID_BranchLineTaskConf_20121002_taskName_GL_Main</t>
  </si>
  <si>
    <t>TID_BranchLineTaskConf_20121003_taskName_GL_Main</t>
  </si>
  <si>
    <t>TID_BranchLineTaskConf_20121004_taskName_GL_Main</t>
  </si>
  <si>
    <t>TID_BranchLineTaskConf_20121005_taskName_GL_Main</t>
  </si>
  <si>
    <t xml:space="preserve"> </t>
  </si>
  <si>
    <t>TID_BranchLineTaskConf_20121006_taskName_GL_Main</t>
  </si>
  <si>
    <t>TID_BranchLineTaskConf_20121007_taskName_GL_Main</t>
  </si>
  <si>
    <t>TID_BranchLineTaskConf_20121008_taskName_GL_Main</t>
  </si>
  <si>
    <t>TID_BranchLineTaskConf_20121009_taskName_GL_Main</t>
  </si>
  <si>
    <t>TID_BranchLineTaskConf_20121010_taskName_GL_Main</t>
  </si>
  <si>
    <t>TID_BranchLineTaskConf_20121012_taskName_GL_Main</t>
  </si>
  <si>
    <t>TID_BranchLineTaskConf_20121014_taskName_GL_Main</t>
  </si>
  <si>
    <t>TID_BranchLineTaskConf_20121016_taskName_GL_Main</t>
  </si>
  <si>
    <t>TID_BranchLineTaskConf_20121018_taskName_GL_Main</t>
  </si>
  <si>
    <t>TID_BranchLineTaskConf_20121020_taskName_GL_Main</t>
  </si>
  <si>
    <t>TID_BranchLineTaskConf_20121022_taskName_GL_Main</t>
  </si>
  <si>
    <t>TID_BranchLineTaskConf_20121025_taskName_GL_Main</t>
  </si>
  <si>
    <t>TID_BranchLineTaskConf_20121030_taskName_GL_Main</t>
  </si>
  <si>
    <t>TID_BranchLineTaskConf_20121035_taskName_GL_Main</t>
  </si>
  <si>
    <t>TID_BranchLineTaskConf_20121040_taskName_GL_Main</t>
  </si>
  <si>
    <t>TID_BranchLineTaskConf_20121045_taskName_GL_Main</t>
  </si>
  <si>
    <t>TID_BranchLineTaskConf_20121050_taskName_GL_Main</t>
  </si>
  <si>
    <t>支线任务链边缘建筑</t>
  </si>
  <si>
    <t>升级城镇中心至7级</t>
  </si>
  <si>
    <t>buildingLevelUpNow{buildingType:215,buildingWantLevel:20}</t>
  </si>
  <si>
    <t>buildingLevelUpNow{buildingType:226,buildingWantLevel:20}</t>
  </si>
  <si>
    <t>TID_BranchLineTaskConf_20123003_taskName_GL_Main</t>
  </si>
  <si>
    <t>升级2个防卫塔至</t>
  </si>
  <si>
    <t>buildingLevelUp{buildingType:227,buildingLevel:@@@}</t>
  </si>
  <si>
    <t>buildingLevelUpNow{buildingType:227,buildingWantLevel:20}</t>
  </si>
  <si>
    <t>跳转到防卫塔【升级】菜单按钮</t>
  </si>
  <si>
    <t>TID_BranchLineTaskConf_226_2_taskName_GL_Main</t>
  </si>
  <si>
    <t>TID_BranchLineTaskConf_20123006_taskName_GL_Main</t>
  </si>
  <si>
    <t>TID_BranchLineTaskConf_20123009_taskName_GL_Main</t>
  </si>
  <si>
    <t>TID_BranchLineTaskConf_226_4_taskName_GL_Main</t>
  </si>
  <si>
    <t>TID_BranchLineTaskConf_20123012_taskName_GL_Main</t>
  </si>
  <si>
    <t>TID_BranchLineTaskConf_230_4_taskName_GL_Main</t>
  </si>
  <si>
    <t>buildingLevelUpNow{buildingType:230,buildingWantLevel:20}</t>
  </si>
  <si>
    <t>TID_BranchLineTaskConf_10026190_taskName_GL_Main</t>
  </si>
  <si>
    <t>buildingLevelUpNow{buildingType:231,buildingWantLevel:20}</t>
  </si>
  <si>
    <t>TID_BranchLineTaskConf_226_5_taskName_GL_Main</t>
  </si>
  <si>
    <t>TID_BranchLineTaskConf_20123016_taskName_GL_Main</t>
  </si>
  <si>
    <t>TID_BranchLineTaskConf_230_5_taskName_GL_Main</t>
  </si>
  <si>
    <t>TID_BranchLineTaskConf_10026250_taskName_GL_Main</t>
  </si>
  <si>
    <t>TID_BranchLineTaskConf_226_6_taskName_GL_Main</t>
  </si>
  <si>
    <t>TID_BranchLineTaskConf_20123020_taskName_GL_Main</t>
  </si>
  <si>
    <t>TID_BranchLineTaskConf_230_6_taskName_GL_Main</t>
  </si>
  <si>
    <t>TID_BranchLineTaskConf_10026320_taskName_GL_Main</t>
  </si>
  <si>
    <t>TID_BranchLineTaskConf_226_7_taskName_GL_Main</t>
  </si>
  <si>
    <t>TID_BranchLineTaskConf_20123025_taskName_GL_Main</t>
  </si>
  <si>
    <t>TID_BranchLineTaskConf_230_7_taskName_GL_Main</t>
  </si>
  <si>
    <t>TID_BranchLineTaskConf_229_2_taskName_GL_Main</t>
  </si>
  <si>
    <t>TID_BranchLineTaskConf_10026390_taskName_GL_Main</t>
  </si>
  <si>
    <t>TID_BranchLineTaskConf_226_8_taskName_GL_Main</t>
  </si>
  <si>
    <t>TID_BranchLineTaskConf_20123030_taskName_GL_Main</t>
  </si>
  <si>
    <t>TID_BranchLineTaskConf_230_8_taskName_GL_Main</t>
  </si>
  <si>
    <t>TID_BranchLineTaskConf_229_3_taskName_GL_Main</t>
  </si>
  <si>
    <t>TID_BranchLineTaskConf_10026460_taskName_GL_Main</t>
  </si>
  <si>
    <t>TID_BranchLineTaskConf_226_9_taskName_GL_Main</t>
  </si>
  <si>
    <t>TID_BranchLineTaskConf_20123035_taskName_GL_Main</t>
  </si>
  <si>
    <t>TID_BranchLineTaskConf_229_4_taskName_GL_Main</t>
  </si>
  <si>
    <t>TID_BranchLineTaskConf_10026530_taskName_GL_Main</t>
  </si>
  <si>
    <t>TID_BranchLineTaskConf_226_10_taskName_GL_Main</t>
  </si>
  <si>
    <t>TID_BranchLineTaskConf_20123040_taskName_GL_Main</t>
  </si>
  <si>
    <t>TID_BranchLineTaskConf_230_10_taskName_GL_Main</t>
  </si>
  <si>
    <t>TID_BranchLineTaskConf_229_5_taskName_GL_Main</t>
  </si>
  <si>
    <t>TID_BranchLineTaskConf_10026600_taskName_GL_Main</t>
  </si>
  <si>
    <t>TID_BranchLineTaskConf_226_11_taskName_GL_Main</t>
  </si>
  <si>
    <t>TID_BranchLineTaskConf_20123045_taskName_GL_Main</t>
  </si>
  <si>
    <t>TID_BranchLineTaskConf_230_11_taskName_GL_Main</t>
  </si>
  <si>
    <t>TID_BranchLineTaskConf_229_6_taskName_GL_Main</t>
  </si>
  <si>
    <t>TID_BranchLineTaskConf_10026670_taskName_GL_Main</t>
  </si>
  <si>
    <t>TID_BranchLineTaskConf_226_12_taskName_GL_Main</t>
  </si>
  <si>
    <t>TID_BranchLineTaskConf_20123050_taskName_GL_Main</t>
  </si>
  <si>
    <t>TID_BranchLineTaskConf_230_12_taskName_GL_Main</t>
  </si>
  <si>
    <t>TID_BranchLineTaskConf_229_7_taskName_GL_Main</t>
  </si>
  <si>
    <t>TID_BranchLineTaskConf_231_6_taskName_GL_Main</t>
  </si>
  <si>
    <t>TID_BranchLineTaskConf_226_13_taskName_GL_Main</t>
  </si>
  <si>
    <t>TID_BranchLineTaskConf_20123055_taskName_GL_Main</t>
  </si>
  <si>
    <t>TID_BranchLineTaskConf_230_13_taskName_GL_Main</t>
  </si>
  <si>
    <t>TID_BranchLineTaskConf_229_8_taskName_GL_Main</t>
  </si>
  <si>
    <t>TID_BranchLineTaskConf_231_7_taskName_GL_Main</t>
  </si>
  <si>
    <t>TID_BranchLineTaskConf_226_14_taskName_GL_Main</t>
  </si>
  <si>
    <t>TID_BranchLineTaskConf_20123060_taskName_GL_Main</t>
  </si>
  <si>
    <t>TID_BranchLineTaskConf_229_9_taskName_GL_Main</t>
  </si>
  <si>
    <t>TID_BranchLineTaskConf_231_8_taskName_GL_Main</t>
  </si>
  <si>
    <t>TID_BranchLineTaskConf_226_15_taskName_GL_Main</t>
  </si>
  <si>
    <t>TID_BranchLineTaskConf_20123065_taskName_GL_Main</t>
  </si>
  <si>
    <t>TID_BranchLineTaskConf_230_15_taskName_GL_Main</t>
  </si>
  <si>
    <t>TID_BranchLineTaskConf_229_10_taskName_GL_Main</t>
  </si>
  <si>
    <t>TID_BranchLineTaskConf_231_9_taskName_GL_Main</t>
  </si>
  <si>
    <t>TID_BranchLineTaskConf_226_16_taskName_GL_Main</t>
  </si>
  <si>
    <t>TID_BranchLineTaskConf_20123070_taskName_GL_Main</t>
  </si>
  <si>
    <t>TID_BranchLineTaskConf_230_16_taskName_GL_Main</t>
  </si>
  <si>
    <t>TID_BranchLineTaskConf_229_11_taskName_GL_Main</t>
  </si>
  <si>
    <t>TID_BranchLineTaskConf_231_10_taskName_GL_Main</t>
  </si>
  <si>
    <t>TID_BranchLineTaskConf_226_17_taskName_GL_Main</t>
  </si>
  <si>
    <t>TID_BranchLineTaskConf_20123075_taskName_GL_Main</t>
  </si>
  <si>
    <t>TID_BranchLineTaskConf_230_17_taskName_GL_Main</t>
  </si>
  <si>
    <t>TID_BranchLineTaskConf_229_12_taskName_GL_Main</t>
  </si>
  <si>
    <t>TID_BranchLineTaskConf_231_11_taskName_GL_Main</t>
  </si>
  <si>
    <t>TID_BranchLineTaskConf_226_18_taskName_GL_Main</t>
  </si>
  <si>
    <t>TID_BranchLineTaskConf_20123080_taskName_GL_Main</t>
  </si>
  <si>
    <t>TID_BranchLineTaskConf_230_18_taskName_GL_Main</t>
  </si>
  <si>
    <t>TID_BranchLineTaskConf_229_13_taskName_GL_Main</t>
  </si>
  <si>
    <t>TID_BranchLineTaskConf_231_12_taskName_GL_Main</t>
  </si>
  <si>
    <t>TID_BranchLineTaskConf_226_19_taskName_GL_Main</t>
  </si>
  <si>
    <t>TID_BranchLineTaskConf_20123085_taskName_GL_Main</t>
  </si>
  <si>
    <t>TID_BranchLineTaskConf_229_14_taskName_GL_Main</t>
  </si>
  <si>
    <t>TID_BranchLineTaskConf_231_13_taskName_GL_Main</t>
  </si>
  <si>
    <t>TID_BranchLineTaskConf_226_20_taskName_GL_Main</t>
  </si>
  <si>
    <t>TID_BranchLineTaskConf_20123090_taskName_GL_Main</t>
  </si>
  <si>
    <t>TID_BranchLineTaskConf_230_20_taskName_GL_Main</t>
  </si>
  <si>
    <t>TID_BranchLineTaskConf_229_15_taskName_GL_Main</t>
  </si>
  <si>
    <t>TID_BranchLineTaskConf_231_14_taskName_GL_Main</t>
  </si>
  <si>
    <t>TID_BranchLineTaskConf_20123095_taskName_GL_Main</t>
  </si>
  <si>
    <t>TID_BranchLineTaskConf_230_21_taskName_GL_Main</t>
  </si>
  <si>
    <t>TID_BranchLineTaskConf_229_16_taskName_GL_Main</t>
  </si>
  <si>
    <t>TID_BranchLineTaskConf_231_15_taskName_GL_Main</t>
  </si>
  <si>
    <t>TID_BranchLineTaskConf_226_22_taskName_GL_Main</t>
  </si>
  <si>
    <t>TID_BranchLineTaskConf_20123100_taskName_GL_Main</t>
  </si>
  <si>
    <t>TID_BranchLineTaskConf_230_22_taskName_GL_Main</t>
  </si>
  <si>
    <t>TID_BranchLineTaskConf_229_17_taskName_GL_Main</t>
  </si>
  <si>
    <t>TID_BranchLineTaskConf_231_16_taskName_GL_Main</t>
  </si>
  <si>
    <t>TID_BranchLineTaskConf_226_23_taskName_GL_Main</t>
  </si>
  <si>
    <t>TID_BranchLineTaskConf_20123105_taskName_GL_Main</t>
  </si>
  <si>
    <t>TID_BranchLineTaskConf_230_23_taskName_GL_Main</t>
  </si>
  <si>
    <t>TID_BranchLineTaskConf_229_18_taskName_GL_Main</t>
  </si>
  <si>
    <t>TID_BranchLineTaskConf_231_17_taskName_GL_Main</t>
  </si>
  <si>
    <t>TID_BranchLineTaskConf_226_24_taskName_GL_Main</t>
  </si>
  <si>
    <t>TID_BranchLineTaskConf_20123110_taskName_GL_Main</t>
  </si>
  <si>
    <t>TID_BranchLineTaskConf_229_19_taskName_GL_Main</t>
  </si>
  <si>
    <t>TID_BranchLineTaskConf_231_18_taskName_GL_Main</t>
  </si>
  <si>
    <t>TID_BranchLineTaskConf_226_25_taskName_GL_Main</t>
  </si>
  <si>
    <t>TID_BranchLineTaskConf_20123115_taskName_GL_Main</t>
  </si>
  <si>
    <t>TID_BranchLineTaskConf_230_25_taskName_GL_Main</t>
  </si>
  <si>
    <t>TID_BranchLineTaskConf_229_20_taskName_GL_Main</t>
  </si>
  <si>
    <t>TID_BranchLineTaskConf_231_19_taskName_GL_Main</t>
  </si>
  <si>
    <t>TID_BranchLineTaskConf_215_27_taskName_GL_Main</t>
  </si>
  <si>
    <t>TID_BranchLineTaskConf_226_26_taskName_GL_Main</t>
  </si>
  <si>
    <t>TID_BranchLineTaskConf_20123120_taskName_GL_Main</t>
  </si>
  <si>
    <t>TID_BranchLineTaskConf_230_26_taskName_GL_Main</t>
  </si>
  <si>
    <t>TID_BranchLineTaskConf_229_21_taskName_GL_Main</t>
  </si>
  <si>
    <t>升级剑士营至4级</t>
  </si>
  <si>
    <t>convert(ResTask.proto, table_BranchLineChapterConf, BranchLineChapterConf.pbin)</t>
  </si>
  <si>
    <t>章节ID</t>
  </si>
  <si>
    <t>章节任务ID</t>
  </si>
  <si>
    <t>奖励ID</t>
  </si>
  <si>
    <t>子任务ID</t>
  </si>
  <si>
    <t>章节标题</t>
  </si>
  <si>
    <t>章节描述</t>
  </si>
  <si>
    <t>章节转场视频</t>
  </si>
  <si>
    <t>视频时长</t>
  </si>
  <si>
    <t>章节转场bgmBank</t>
  </si>
  <si>
    <t>章节转场bgm事件名</t>
  </si>
  <si>
    <t>对话</t>
  </si>
  <si>
    <t>timeline</t>
  </si>
  <si>
    <t>过场顺序</t>
  </si>
  <si>
    <t>chapterId</t>
  </si>
  <si>
    <t>taskId</t>
  </si>
  <si>
    <t>rewardId</t>
  </si>
  <si>
    <t>subTaskId</t>
  </si>
  <si>
    <t>taskDescr</t>
  </si>
  <si>
    <t>chapterVideo</t>
  </si>
  <si>
    <t>videoDuration</t>
  </si>
  <si>
    <t>chapterBgmBank</t>
  </si>
  <si>
    <t>chapterBgmName</t>
  </si>
  <si>
    <t>chapterDialog</t>
  </si>
  <si>
    <t>chapterTimeline</t>
  </si>
  <si>
    <t>chapterSequence[;]</t>
  </si>
  <si>
    <t>TID_Chapter_100001_title</t>
  </si>
  <si>
    <t>TID_Chapter_100001_desc</t>
  </si>
  <si>
    <t>charpter0_cutscene</t>
  </si>
  <si>
    <t>BGM_ChapterTitle</t>
  </si>
  <si>
    <t>Play_bgm_chapter01_Chaptertitle</t>
  </si>
  <si>
    <t>assets/bundleresources/timelineprefabs/p_oversea_newbie_story37.prefab</t>
  </si>
  <si>
    <t>1;2;3</t>
  </si>
  <si>
    <t>TID_Chapter_100002_title</t>
  </si>
  <si>
    <t>TID_Chapter_100002_desc</t>
  </si>
  <si>
    <t>1;2</t>
  </si>
  <si>
    <t>TID_Chapter_100003_title</t>
  </si>
  <si>
    <t>TID_Chapter_100003_desc</t>
  </si>
  <si>
    <t>TID_Chapter_100004_title</t>
  </si>
  <si>
    <t>TID_Chapter_100004_desc</t>
  </si>
  <si>
    <t>TID_Chapter_100005_title</t>
  </si>
  <si>
    <t>TID_Chapter_100005_desc</t>
  </si>
  <si>
    <t>TID_Chapter_100006_title</t>
  </si>
  <si>
    <t>TID_Chapter_100006_desc</t>
  </si>
  <si>
    <t>TID_Chapter_100007_title</t>
  </si>
  <si>
    <t>TID_Chapter_100007_desc</t>
  </si>
  <si>
    <t>TID_Chapter_100008_title</t>
  </si>
  <si>
    <t>TID_Chapter_100008_desc</t>
  </si>
  <si>
    <t>TID_Chapter_100009_title</t>
  </si>
  <si>
    <t>TID_Chapter_100009_desc</t>
  </si>
  <si>
    <t>TID_Chapter_100010_title</t>
  </si>
  <si>
    <t>TID_Chapter_100010_desc</t>
  </si>
  <si>
    <t>TID_Chapter_100011_title</t>
  </si>
  <si>
    <t>TID_Chapter_100011_desc</t>
  </si>
  <si>
    <t>TID_Chapter_100012_title</t>
  </si>
  <si>
    <t>TID_Chapter_100012_desc</t>
  </si>
  <si>
    <t>TID_Chapter_100013_title</t>
  </si>
  <si>
    <t>TID_Chapter_100013_desc</t>
  </si>
  <si>
    <t>TID_Chapter_100014_title</t>
  </si>
  <si>
    <t>TID_Chapter_100014_desc</t>
  </si>
  <si>
    <t>convert(ResTask.proto, table_LineTaskListConf, BranchLineTaskListConf.pbin)</t>
  </si>
  <si>
    <t>是否是海外主线任务链</t>
  </si>
  <si>
    <t>初始化任务链需要完成的章节任务ID</t>
  </si>
  <si>
    <t>taskList[;]</t>
  </si>
  <si>
    <t>isImportantTask</t>
  </si>
  <si>
    <t>initChapterId</t>
  </si>
  <si>
    <t>建造2个金矿场</t>
  </si>
  <si>
    <t>升级2个金矿场至10级</t>
  </si>
  <si>
    <t>升级2个伐木场至10级</t>
  </si>
  <si>
    <t>升级2个石矿场至10级</t>
  </si>
  <si>
    <t>升级2个磨坊至10级</t>
  </si>
  <si>
    <t>升级居民房舍至10级</t>
  </si>
  <si>
    <t>升级治疗房舍至10级</t>
  </si>
  <si>
    <t>升级任意1个兵营至10级</t>
  </si>
  <si>
    <t>清剿4级或更高级【普通】蛮族</t>
  </si>
  <si>
    <t>任意英雄等级提升至20级</t>
  </si>
  <si>
    <t>任意英雄固有技能升级至10级</t>
  </si>
  <si>
    <t>任意英雄进行1次天赋升级</t>
  </si>
  <si>
    <t>升级城墙至10级</t>
  </si>
  <si>
    <t>升级城镇中心至11级</t>
  </si>
  <si>
    <t>进入活动中心1次</t>
  </si>
  <si>
    <t>升级2个伐木场至11级</t>
  </si>
  <si>
    <t>升级2个石矿场至11级</t>
  </si>
  <si>
    <t>采集任意资源点累计获取200000资源</t>
  </si>
  <si>
    <t>升级2个金矿场至11级</t>
  </si>
  <si>
    <t>升级2个磨坊至11级</t>
  </si>
  <si>
    <t>升级仓库至11级</t>
  </si>
  <si>
    <t>升级市集至11级</t>
  </si>
  <si>
    <t>升级居民房舍至11级</t>
  </si>
  <si>
    <t>升级治疗房舍至11级</t>
  </si>
  <si>
    <t>升级城墙至11级</t>
  </si>
  <si>
    <t>升级瞭望塔至7级</t>
  </si>
  <si>
    <t>升级城镇中心至12级</t>
  </si>
  <si>
    <t>一个编队上阵2名英雄</t>
  </si>
  <si>
    <t>建造1个战争大厅</t>
  </si>
  <si>
    <t>升级战争大厅至10级</t>
  </si>
  <si>
    <t>升级2个伐木场至12级</t>
  </si>
  <si>
    <t>升级枪兵营至12级</t>
  </si>
  <si>
    <t>清剿任意等级【普通】蛮族3次</t>
  </si>
  <si>
    <t>升级2个石矿场至12级</t>
  </si>
  <si>
    <t>升级2个金矿场至12级</t>
  </si>
  <si>
    <t>升级2个磨坊至12级</t>
  </si>
  <si>
    <t>升级居民房舍至12级</t>
  </si>
  <si>
    <t>升级治疗房舍至12级</t>
  </si>
  <si>
    <t>升级城墙至12级</t>
  </si>
  <si>
    <t>升级学院至12级</t>
  </si>
  <si>
    <t>解锁英雄编队1</t>
  </si>
  <si>
    <t>升级城镇中心至13级</t>
  </si>
  <si>
    <t>升级3个伐木场至13级</t>
  </si>
  <si>
    <t>升级2个石矿场至13级</t>
  </si>
  <si>
    <t>升级2个金矿场至13级</t>
  </si>
  <si>
    <t>清剿5级或更高级【普通】蛮族</t>
  </si>
  <si>
    <t>升级3个磨坊至13级</t>
  </si>
  <si>
    <t>升级居民房舍至13级</t>
  </si>
  <si>
    <t>升级治疗房舍至13级</t>
  </si>
  <si>
    <t>升级大使馆至13级</t>
  </si>
  <si>
    <t>升级城墙至13级</t>
  </si>
  <si>
    <t>升级城镇中心至14级</t>
  </si>
  <si>
    <t>升级3个伐木场至14级</t>
  </si>
  <si>
    <t>升级3个石矿场至14级</t>
  </si>
  <si>
    <t>升级3个金矿场至14级</t>
  </si>
  <si>
    <t>升级3个磨坊至14级</t>
  </si>
  <si>
    <t>升级居民房舍至14级</t>
  </si>
  <si>
    <t>升级治疗房舍至14级</t>
  </si>
  <si>
    <t>采集任意资源点累计获取300000资源</t>
  </si>
  <si>
    <t>升级学院至14级</t>
  </si>
  <si>
    <t>升级城墙至14级</t>
  </si>
  <si>
    <t>升级城镇中心至15级</t>
  </si>
  <si>
    <t>升级至帝王时代</t>
  </si>
  <si>
    <t>升级3个伐木场至15级</t>
  </si>
  <si>
    <t>升级3个石矿场至15级</t>
  </si>
  <si>
    <t>升级3个金矿场至15级</t>
  </si>
  <si>
    <t>升级3个磨坊至15级</t>
  </si>
  <si>
    <t>升级居民房舍至15级</t>
  </si>
  <si>
    <t>升级治疗房舍至15级</t>
  </si>
  <si>
    <t>升级城墙至15级</t>
  </si>
  <si>
    <t>升级城镇中心至16级</t>
  </si>
  <si>
    <t>升级4个伐木场至16级</t>
  </si>
  <si>
    <t>升级3个石矿场至16级</t>
  </si>
  <si>
    <t>升级3个金矿场至16级</t>
  </si>
  <si>
    <t>升级4个磨坊至16级</t>
  </si>
  <si>
    <t>升级仓库至16级</t>
  </si>
  <si>
    <t>升级市集至16级</t>
  </si>
  <si>
    <t>升级居民房舍至16级</t>
  </si>
  <si>
    <t>升级治疗房舍至16级</t>
  </si>
  <si>
    <t>升级城墙至16级</t>
  </si>
  <si>
    <t>升级学院至16级</t>
  </si>
  <si>
    <t>解锁英雄编队2</t>
  </si>
  <si>
    <t>升级城镇中心至17级</t>
  </si>
  <si>
    <t>一个编队上阵3名英雄</t>
  </si>
  <si>
    <t>升级4个伐木场至17级</t>
  </si>
  <si>
    <t>升级4个石矿场至17级</t>
  </si>
  <si>
    <t>升级4个金矿场至17级</t>
  </si>
  <si>
    <t>升级4个磨坊至17级</t>
  </si>
  <si>
    <t>升级居民房舍至17级</t>
  </si>
  <si>
    <t>升级治疗房舍至17级</t>
  </si>
  <si>
    <t>升级马厩至17级</t>
  </si>
  <si>
    <t>升级城墙至17级</t>
  </si>
  <si>
    <t>升级城镇中心至18级</t>
  </si>
  <si>
    <t>升级4个伐木场至18级</t>
  </si>
  <si>
    <t>升级4个石矿场至18级</t>
  </si>
  <si>
    <t>升级4个金矿场至18级</t>
  </si>
  <si>
    <t>升级4个磨坊至18级</t>
  </si>
  <si>
    <t>升级居民房舍至18级</t>
  </si>
  <si>
    <t>升级治疗房舍至18级</t>
  </si>
  <si>
    <t>升级大使馆至18级</t>
  </si>
  <si>
    <t>升级城墙至18级</t>
  </si>
  <si>
    <t>升级城镇中心至19级</t>
  </si>
  <si>
    <t>升级4个伐木场至19级</t>
  </si>
  <si>
    <t>升级4个石矿场至19级</t>
  </si>
  <si>
    <t>升级4个金矿场至19级</t>
  </si>
  <si>
    <t>升级4个磨坊至19级</t>
  </si>
  <si>
    <t>升级居民房舍至19级</t>
  </si>
  <si>
    <t>升级学院至19级</t>
  </si>
  <si>
    <t>升级治疗房舍至19级</t>
  </si>
  <si>
    <t>升级城墙至19级</t>
  </si>
  <si>
    <t>升级城镇中心至20级</t>
  </si>
  <si>
    <t>升级4个伐木场至20级</t>
  </si>
  <si>
    <t>升级4个石矿场至20级</t>
  </si>
  <si>
    <t>升级4个金矿场至20级</t>
  </si>
  <si>
    <t>升级4个磨坊至20级</t>
  </si>
  <si>
    <t>升级居民房舍至20级</t>
  </si>
  <si>
    <t>升级治疗房舍至20级</t>
  </si>
  <si>
    <t>升级城墙至20级</t>
  </si>
  <si>
    <t>升级城镇中心至21级</t>
  </si>
  <si>
    <t>升级4个伐木场至21级</t>
  </si>
  <si>
    <t>升级4个石矿场至21级</t>
  </si>
  <si>
    <t>升级4个金矿场至21级</t>
  </si>
  <si>
    <t>升级4个磨坊至21级</t>
  </si>
  <si>
    <t>升级仓库至21级</t>
  </si>
  <si>
    <t>升级市集至21级</t>
  </si>
  <si>
    <t>升级居民房舍至21级</t>
  </si>
  <si>
    <t>升级治疗房舍至21级</t>
  </si>
  <si>
    <t>升级城墙至21级</t>
  </si>
  <si>
    <t>升级4个伐木场至22级</t>
  </si>
  <si>
    <t>升级4个石矿场至22级</t>
  </si>
  <si>
    <t>升级4个金矿场至22级</t>
  </si>
  <si>
    <t>升级4个磨坊至22级</t>
  </si>
  <si>
    <t>升级居民房舍至22级</t>
  </si>
  <si>
    <t>升级治疗房舍至22级</t>
  </si>
  <si>
    <t>升级射箭场至22级</t>
  </si>
  <si>
    <t>升级城墙至22级</t>
  </si>
  <si>
    <t>升级城镇中心至22级</t>
  </si>
  <si>
    <t>升级3个伐木场至23级</t>
  </si>
  <si>
    <t>升级4个石矿场至23级</t>
  </si>
  <si>
    <t>升级4个金矿场至23级</t>
  </si>
  <si>
    <t>升级4个磨坊至23级</t>
  </si>
  <si>
    <t>升级居民房舍至23级</t>
  </si>
  <si>
    <t>升级治疗房舍至23级</t>
  </si>
  <si>
    <t>升级大使馆至23级</t>
  </si>
  <si>
    <t>升级城墙至23级</t>
  </si>
  <si>
    <t>升级城镇中心至23级</t>
  </si>
  <si>
    <t>升级4个伐木场至24级</t>
  </si>
  <si>
    <t>升级4个石矿场至24级</t>
  </si>
  <si>
    <t>升级4个金矿场至24级</t>
  </si>
  <si>
    <t>升级4个磨坊至24级</t>
  </si>
  <si>
    <t>升级居民房舍至24级</t>
  </si>
  <si>
    <t>升级学院至24级</t>
  </si>
  <si>
    <t>升级治疗房舍至24级</t>
  </si>
  <si>
    <t>升级城墙至24级</t>
  </si>
  <si>
    <t>升级城镇中心至24级</t>
  </si>
  <si>
    <t>升级3个伐木场至25级</t>
  </si>
  <si>
    <t>升级4个石矿场至25级</t>
  </si>
  <si>
    <t>升级4个金矿场至25级</t>
  </si>
  <si>
    <t>升级4个磨坊至25级</t>
  </si>
  <si>
    <t>升级居民房舍至25级</t>
  </si>
  <si>
    <t>升级治疗房舍至25级</t>
  </si>
  <si>
    <t>升级瞭望塔至25级</t>
  </si>
  <si>
    <t>升级城墙至25级</t>
  </si>
  <si>
    <t>升级城镇中心至25级</t>
  </si>
  <si>
    <t>升级4个伐木场至26级</t>
  </si>
  <si>
    <t>升级4个石矿场至26级</t>
  </si>
  <si>
    <t>升级4个金矿场至26级</t>
  </si>
  <si>
    <t>升级4个磨坊至26级</t>
  </si>
  <si>
    <t>升级仓库至26级</t>
  </si>
  <si>
    <t>升级市集至26级</t>
  </si>
  <si>
    <t>升级居民房舍至26级</t>
  </si>
  <si>
    <t>升级治疗房舍至26级</t>
  </si>
  <si>
    <t>升级城墙至26级</t>
  </si>
  <si>
    <t>升级城镇中心至26级</t>
  </si>
  <si>
    <t>升级4个伐木场至27级</t>
  </si>
  <si>
    <t>升级4个石矿场至27级</t>
  </si>
  <si>
    <t>升级4个金矿场至27级</t>
  </si>
  <si>
    <t>升级4个磨坊至27级</t>
  </si>
  <si>
    <t>升级居民房舍至27级</t>
  </si>
  <si>
    <t>升级治疗房舍至27级</t>
  </si>
  <si>
    <t>升级城墙至27级</t>
  </si>
  <si>
    <t>升级城镇中心至27级</t>
  </si>
  <si>
    <t>升级4个伐木场至28级</t>
  </si>
  <si>
    <t>升级4个石矿场至28级</t>
  </si>
  <si>
    <t>升级4个金矿场至28级</t>
  </si>
  <si>
    <t>升级4个磨坊至28级</t>
  </si>
  <si>
    <t>升级居民房舍至28级</t>
  </si>
  <si>
    <t>升级治疗房舍至28级</t>
  </si>
  <si>
    <t>升级大使馆至28级</t>
  </si>
  <si>
    <t>升级城墙至28级</t>
  </si>
  <si>
    <t>升级城镇中心至29级</t>
  </si>
  <si>
    <t>升级4个伐木场至29级</t>
  </si>
  <si>
    <t>升级4个石矿场至29级</t>
  </si>
  <si>
    <t>升级4个金矿场至29级</t>
  </si>
  <si>
    <t>升级4个磨坊至29级</t>
  </si>
  <si>
    <t>升级居民房舍至29级</t>
  </si>
  <si>
    <t>升级学院至29级</t>
  </si>
  <si>
    <t>升级治疗房舍至29级</t>
  </si>
  <si>
    <t>升级城墙至29级</t>
  </si>
  <si>
    <t>升级城镇中心至30级</t>
  </si>
  <si>
    <t>在联盟频道发言1次</t>
  </si>
  <si>
    <t>领取联盟礼物5次</t>
  </si>
  <si>
    <t>联盟帮助盟友建筑加速10次</t>
  </si>
  <si>
    <t>联盟内领取领地奖励1次</t>
  </si>
  <si>
    <t>联盟宝库内兑换奖励1次</t>
  </si>
  <si>
    <t>使用任意迁城方式迁至联盟领地1次</t>
  </si>
  <si>
    <t>添加任意好友1个</t>
  </si>
  <si>
    <t>通过城池增益开启免战声明1次</t>
  </si>
  <si>
    <t>参与集结进攻1次</t>
  </si>
  <si>
    <t>参与蛮族集结活动1次</t>
  </si>
  <si>
    <t>进入草丛1次</t>
  </si>
  <si>
    <t>教学加群有礼</t>
  </si>
  <si>
    <t>完成1次至高竞技场</t>
  </si>
  <si>
    <t>累计训练任意士兵1000名</t>
  </si>
  <si>
    <t>累计训练任意士兵2000名</t>
  </si>
  <si>
    <t>累计训练任意士兵3000名</t>
  </si>
  <si>
    <t>累计训练任意士兵4500名</t>
  </si>
  <si>
    <t>累计训练任意士兵6000名</t>
  </si>
  <si>
    <t>累计训练任意士兵8000名</t>
  </si>
  <si>
    <t>累计训练任意士兵10000名</t>
  </si>
  <si>
    <t>累计训练任意士兵20000名</t>
  </si>
  <si>
    <t>累计训练任意士兵30000名</t>
  </si>
  <si>
    <t>累计训练任意士兵40000名</t>
  </si>
  <si>
    <t>累计训练任意士兵50000名</t>
  </si>
  <si>
    <t>累计训练任意士兵60000名</t>
  </si>
  <si>
    <t>累计训练任意士兵80000名</t>
  </si>
  <si>
    <t>累计训练任意士兵100000名</t>
  </si>
  <si>
    <t>累计训练任意士兵200000名</t>
  </si>
  <si>
    <t>累计训练任意士兵300000名</t>
  </si>
  <si>
    <t>累计训练任意士兵400000名</t>
  </si>
  <si>
    <t>累计训练任意士兵500000名</t>
  </si>
  <si>
    <t>累计训练任意士兵600000名</t>
  </si>
  <si>
    <t>累计训练任意士兵800000名</t>
  </si>
  <si>
    <t>累计训练任意士兵1000000名</t>
  </si>
  <si>
    <t>累计训练任意士兵2000000名</t>
  </si>
  <si>
    <t>累计训练任意士兵3000000名</t>
  </si>
  <si>
    <t>累计训练任意士兵4000000名</t>
  </si>
  <si>
    <t>累计训练任意士兵5000000名</t>
  </si>
  <si>
    <t>累计治疗任意士兵1000名</t>
  </si>
  <si>
    <t>累计治疗任意士兵2000名</t>
  </si>
  <si>
    <t>累计治疗任意士兵3000名</t>
  </si>
  <si>
    <t>累计治疗任意士兵4500名</t>
  </si>
  <si>
    <t>累计治疗任意士兵6000名</t>
  </si>
  <si>
    <t>累计治疗任意士兵8000名</t>
  </si>
  <si>
    <t>累计治疗任意士兵10000名</t>
  </si>
  <si>
    <t>累计治疗任意士兵20000名</t>
  </si>
  <si>
    <t>累计治疗任意士兵30000名</t>
  </si>
  <si>
    <t>累计治疗任意士兵40000名</t>
  </si>
  <si>
    <t>累计治疗任意士兵50000名</t>
  </si>
  <si>
    <t>清剿1级或更高级【普通】蛮族</t>
  </si>
  <si>
    <t>清剿2级或更高级【普通】蛮族</t>
  </si>
  <si>
    <t>清剿3级或更高级【普通】蛮族</t>
  </si>
  <si>
    <t>清剿6级或更高级【普通】蛮族</t>
  </si>
  <si>
    <t>清剿7级或更高级【普通】蛮族</t>
  </si>
  <si>
    <t>清剿8级或更高级【普通】蛮族</t>
  </si>
  <si>
    <t>清剿9级或更高级【普通】蛮族</t>
  </si>
  <si>
    <t>清剿10级或更高级【普通】蛮族</t>
  </si>
  <si>
    <t>清剿11级或更高级【普通】蛮族</t>
  </si>
  <si>
    <t>清剿12级或更高级【普通】蛮族</t>
  </si>
  <si>
    <t>清剿13级或更高级【普通】蛮族</t>
  </si>
  <si>
    <t>清剿14级或更高级【普通】蛮族</t>
  </si>
  <si>
    <t>清剿15级或更高级【普通】蛮族</t>
  </si>
  <si>
    <t>清剿16级或更高级【普通】蛮族</t>
  </si>
  <si>
    <t>清剿17级或更高级【普通】蛮族</t>
  </si>
  <si>
    <t>清剿18级或更高级【普通】蛮族</t>
  </si>
  <si>
    <t>清剿19级或更高级【普通】蛮族</t>
  </si>
  <si>
    <t>清剿20级或更高级【普通】蛮族</t>
  </si>
  <si>
    <t>清剿21级或更高级【普通】蛮族</t>
  </si>
  <si>
    <t>清剿22级或更高级【普通】蛮族</t>
  </si>
  <si>
    <t>清剿23级或更高级【普通】蛮族</t>
  </si>
  <si>
    <t>清剿24级或更高级【普通】蛮族</t>
  </si>
  <si>
    <t>清剿25级或更高级【普通】蛮族</t>
  </si>
  <si>
    <t>清剿26级或更高级【普通】蛮族</t>
  </si>
  <si>
    <t>清剿27级或更高级【普通】蛮族</t>
  </si>
  <si>
    <t>清剿28级或更高级【普通】蛮族</t>
  </si>
  <si>
    <t>清剿29级或更高级【普通】蛮族</t>
  </si>
  <si>
    <t>清剿30级或更高级【普通】蛮族</t>
  </si>
  <si>
    <t>城外清剿任意等级【普通】蛮族3次</t>
  </si>
  <si>
    <t>城外清剿任意等级【普通】蛮族5次</t>
  </si>
  <si>
    <t>城外清剿任意等级【普通】蛮族10次</t>
  </si>
  <si>
    <t>城外清剿任意等级【普通】蛮族15次</t>
  </si>
  <si>
    <t>城外清剿任意等级【普通】蛮族20次</t>
  </si>
  <si>
    <t>城外清剿任意等级【普通】蛮族25次</t>
  </si>
  <si>
    <t>城外清剿任意等级【普通】蛮族30次</t>
  </si>
  <si>
    <t>城外清剿任意等级【普通】蛮族35次</t>
  </si>
  <si>
    <t>城外清剿任意等级【普通】蛮族40次</t>
  </si>
  <si>
    <t>城外清剿任意等级【普通】蛮族50次</t>
  </si>
  <si>
    <t>城外清剿任意等级【普通】蛮族60次</t>
  </si>
  <si>
    <t>城外清剿任意等级【普通】蛮族70次</t>
  </si>
  <si>
    <t>城外清剿任意等级【普通】蛮族80次</t>
  </si>
  <si>
    <t>城外清剿任意等级【普通】蛮族90次</t>
  </si>
  <si>
    <t>城外清剿任意等级【普通】蛮族100次</t>
  </si>
  <si>
    <t>城外清剿任意等级【普通】蛮族120次</t>
  </si>
  <si>
    <t>城外清剿任意等级【普通】蛮族140次</t>
  </si>
  <si>
    <t>城外清剿任意等级【普通】蛮族160次</t>
  </si>
  <si>
    <t>城外清剿任意等级【普通】蛮族180次</t>
  </si>
  <si>
    <t>城外清剿任意等级【普通】蛮族200次</t>
  </si>
  <si>
    <t>城外清剿任意等级【普通】蛮族230次</t>
  </si>
  <si>
    <t>城外清剿任意等级【普通】蛮族260次</t>
  </si>
  <si>
    <t>城外清剿任意等级【普通】蛮族300次</t>
  </si>
  <si>
    <t>城外清剿任意等级【普通】蛮族350次</t>
  </si>
  <si>
    <t>城外清剿任意等级【普通】蛮族400次</t>
  </si>
  <si>
    <t>城外清剿任意等级【普通】蛮族450次</t>
  </si>
  <si>
    <t>城外清剿任意等级【普通】蛮族500次</t>
  </si>
  <si>
    <t>城外清剿任意等级【普通】蛮族550次</t>
  </si>
  <si>
    <t>城外清剿任意等级【普通】蛮族600次</t>
  </si>
  <si>
    <t>城外清剿任意等级【普通】蛮族650次</t>
  </si>
  <si>
    <t>城外清剿任意等级【普通】蛮族700次</t>
  </si>
  <si>
    <t>城外清剿任意等级【普通】蛮族750次</t>
  </si>
  <si>
    <t>城外清剿任意等级【普通】蛮族800次</t>
  </si>
  <si>
    <t>城外清剿任意等级【普通】蛮族850次</t>
  </si>
  <si>
    <t>城外清剿任意等级【普通】蛮族900次</t>
  </si>
  <si>
    <t>城外清剿任意等级【普通】蛮族950次</t>
  </si>
  <si>
    <t>城外清剿任意等级【普通】蛮族1000次</t>
  </si>
  <si>
    <t>任意2个英雄等级提升至5级</t>
  </si>
  <si>
    <t>任意2个英雄等级提升至6级</t>
  </si>
  <si>
    <t>任意2个英雄等级提升至7级</t>
  </si>
  <si>
    <t>任意2个英雄等级提升至8级</t>
  </si>
  <si>
    <t>任意2个英雄等级提升至9级</t>
  </si>
  <si>
    <t>任意2个英雄等级提升至10级</t>
  </si>
  <si>
    <t>任意2个英雄等级提升至12级</t>
  </si>
  <si>
    <t>任意2个英雄等级提升至14级</t>
  </si>
  <si>
    <t>任意2个英雄等级提升至16级</t>
  </si>
  <si>
    <t>任意2个英雄等级提升至18级</t>
  </si>
  <si>
    <t>任意2个英雄等级提升至20级</t>
  </si>
  <si>
    <t>任意2个英雄等级提升至22级</t>
  </si>
  <si>
    <t>任意2个英雄等级提升至25级</t>
  </si>
  <si>
    <t>任意3个英雄等级提升至20级</t>
  </si>
  <si>
    <t>任意3个英雄等级提升至25级</t>
  </si>
  <si>
    <t>任意3个英雄等级提升至30级</t>
  </si>
  <si>
    <t>任意3个英雄等级提升至35级</t>
  </si>
  <si>
    <t>任意3个英雄等级提升至40级</t>
  </si>
  <si>
    <t>任意3个英雄等级提升至45级</t>
  </si>
  <si>
    <t>城外攻占1级或更高级资源点</t>
  </si>
  <si>
    <t>城外攻占2级或更高级资源点</t>
  </si>
  <si>
    <t>城外攻占3级或更高级资源点</t>
  </si>
  <si>
    <t>城外攻占4级或更高级资源点</t>
  </si>
  <si>
    <t>城外攻占5级或更高级资源点</t>
  </si>
  <si>
    <t>城外攻占6级或更高级资源点</t>
  </si>
  <si>
    <t>采集任意资源点累计获取50000资源</t>
  </si>
  <si>
    <t>采集任意资源点累计获取100000资源</t>
  </si>
  <si>
    <t>采集任意资源点累计获取150000资源</t>
  </si>
  <si>
    <t>采集任意资源点累计获取400000资源</t>
  </si>
  <si>
    <t>采集任意资源点累计获取600000资源</t>
  </si>
  <si>
    <t>采集任意资源点累计获取800000资源</t>
  </si>
  <si>
    <t>采集任意资源点累计获取1000000资源</t>
  </si>
  <si>
    <t>采集任意资源点累计获取1200000资源</t>
  </si>
  <si>
    <t>采集任意资源点累计获取1500000资源</t>
  </si>
  <si>
    <t>采集任意资源点累计获取2000000资源</t>
  </si>
  <si>
    <t>采集任意资源点累计获取3000000资源</t>
  </si>
  <si>
    <t>采集任意资源点累计获取4000000资源</t>
  </si>
  <si>
    <t>采集任意资源点累计获取5000000资源</t>
  </si>
  <si>
    <t>采集任意资源点累计获取6000000资源</t>
  </si>
  <si>
    <t>采集任意资源点累计获取8000000资源</t>
  </si>
  <si>
    <t>采集任意资源点累计获取10000000资源</t>
  </si>
  <si>
    <t>采集任意资源点累计获取12000000资源</t>
  </si>
  <si>
    <t>采集任意资源点累计获取15000000资源</t>
  </si>
  <si>
    <t>采集任意资源点累计获取20000000资源</t>
  </si>
  <si>
    <t>采集任意资源点累计获取30000000资源</t>
  </si>
  <si>
    <t>采集任意资源点累计获取40000000资源</t>
  </si>
  <si>
    <t>采集任意资源点累计获取50000000资源</t>
  </si>
  <si>
    <t>采集任意资源点累计获取60000000资源</t>
  </si>
  <si>
    <t>采集任意资源点累计获取80000000资源</t>
  </si>
  <si>
    <t>采集任意资源点累计获取100000000资源</t>
  </si>
  <si>
    <t>完成1次科技研究</t>
  </si>
  <si>
    <t>完成2次科技研究</t>
  </si>
  <si>
    <t>完成3次科技研究</t>
  </si>
  <si>
    <t>完成4次科技研究</t>
  </si>
  <si>
    <t>完成5次科技研究</t>
  </si>
  <si>
    <t>完成7次科技研究</t>
  </si>
  <si>
    <t>完成10次科技研究</t>
  </si>
  <si>
    <t>完成15次科技研究</t>
  </si>
  <si>
    <t>完成20次科技研究</t>
  </si>
  <si>
    <t>完成25次科技研究</t>
  </si>
  <si>
    <t>完成30次科技研究</t>
  </si>
  <si>
    <t>完成35次科技研究</t>
  </si>
  <si>
    <t>完成40次科技研究</t>
  </si>
  <si>
    <t>完成45次科技研究</t>
  </si>
  <si>
    <t>完成50次科技研究</t>
  </si>
  <si>
    <t>完成55次科技研究</t>
  </si>
  <si>
    <t>完成60次科技研究</t>
  </si>
  <si>
    <t>完成65次科技研究</t>
  </si>
  <si>
    <t>完成70次科技研究</t>
  </si>
  <si>
    <t>完成75次科技研究</t>
  </si>
  <si>
    <t>完成80次科技研究</t>
  </si>
  <si>
    <t>完成85次科技研究</t>
  </si>
  <si>
    <t>完成95次科技研究</t>
  </si>
  <si>
    <t>完成100次科技研究</t>
  </si>
  <si>
    <t>任意英雄固有技能升级至5级</t>
  </si>
  <si>
    <t>任意英雄固有技能升级至15级</t>
  </si>
  <si>
    <t>任意英雄固有技能升级至20级</t>
  </si>
  <si>
    <t>任意英雄固有技能升级至30级</t>
  </si>
  <si>
    <t>任意2个英雄固有技能升级至15级</t>
  </si>
  <si>
    <t>任意2个英雄固有技能升级至20级</t>
  </si>
  <si>
    <t>任意2个英雄固有技能升级至25级</t>
  </si>
  <si>
    <t>任意2个英雄固有技能升级至30级</t>
  </si>
  <si>
    <t>任意2个英雄固有技能升级至35级</t>
  </si>
  <si>
    <t>任意2个英雄固有技能升级至40级</t>
  </si>
  <si>
    <t>任意3个英雄固有技能升级至15级</t>
  </si>
  <si>
    <t>任意3个英雄固有技能升级至20级</t>
  </si>
  <si>
    <t>任意3个英雄固有技能升级至25级</t>
  </si>
  <si>
    <t>任意3个英雄固有技能升级至30级</t>
  </si>
  <si>
    <t>任意3个英雄固有技能升级至35级</t>
  </si>
  <si>
    <t>任意3个英雄固有技能升级至40级</t>
  </si>
  <si>
    <t>任意4个英雄固有技能升级至15级</t>
  </si>
  <si>
    <t>任意4个英雄固有技能升级至20级</t>
  </si>
  <si>
    <t>任意4个英雄固有技能升级至25级</t>
  </si>
  <si>
    <t>任意4个英雄固有技能升级至30级</t>
  </si>
  <si>
    <t>任意4个英雄固有技能升级至35级</t>
  </si>
  <si>
    <t>任意4个英雄固有技能升级至40级</t>
  </si>
  <si>
    <t>任意6个英雄固有技能升级至15级</t>
  </si>
  <si>
    <t>任意6个英雄固有技能升级至20级</t>
  </si>
  <si>
    <t>任意6个英雄固有技能升级至25级</t>
  </si>
  <si>
    <t>任意6个英雄固有技能升级至30级</t>
  </si>
  <si>
    <t>任意6个英雄固有技能升级至35级</t>
  </si>
  <si>
    <t>任意6个英雄固有技能升级至40级</t>
  </si>
  <si>
    <t>任意9个英雄固有技能升级至15级</t>
  </si>
  <si>
    <t>任意9个英雄固有技能升级至20级</t>
  </si>
  <si>
    <t>任意9个英雄固有技能升级至25级</t>
  </si>
  <si>
    <t>任意9个英雄固有技能升级至30级</t>
  </si>
  <si>
    <t>任意9个英雄固有技能升级至35级</t>
  </si>
  <si>
    <t>任意9个英雄固有技能升级至40级</t>
  </si>
  <si>
    <t>任意12个英雄固有技能升级至15级</t>
  </si>
  <si>
    <t>任意12个英雄固有技能升级至20级</t>
  </si>
  <si>
    <t>任意12个英雄固有技能升级至25级</t>
  </si>
  <si>
    <t>任意12个英雄固有技能升级至30级</t>
  </si>
  <si>
    <t>任意12个英雄固有技能升级至35级</t>
  </si>
  <si>
    <t>任意12个英雄固有技能升级至40级</t>
  </si>
  <si>
    <t>帝国军演通关第2层</t>
  </si>
  <si>
    <t>帝国军演通关第3层</t>
  </si>
  <si>
    <t>帝国军演通关第4层</t>
  </si>
  <si>
    <t>帝国军演通关第5层</t>
  </si>
  <si>
    <t>帝国军演通关第6层</t>
  </si>
  <si>
    <t>帝国军演通关第7层</t>
  </si>
  <si>
    <t>帝国军演通关第8层</t>
  </si>
  <si>
    <t>帝国军演通关第9层</t>
  </si>
  <si>
    <t>帝国军演通关第10层</t>
  </si>
  <si>
    <t>帝国军演通关第12层</t>
  </si>
  <si>
    <t>帝国军演通关第14层</t>
  </si>
  <si>
    <t>帝国军演通关第16层</t>
  </si>
  <si>
    <t>帝国军演通关第18层</t>
  </si>
  <si>
    <t>帝国军演通关第20层</t>
  </si>
  <si>
    <t>帝国军演通关第22层</t>
  </si>
  <si>
    <t>帝国军演通关第25层</t>
  </si>
  <si>
    <t>帝国军演通关第30层</t>
  </si>
  <si>
    <t>帝国军演通关第35层</t>
  </si>
  <si>
    <t>帝国军演通关第40层</t>
  </si>
  <si>
    <t>帝国军演通关第45层</t>
  </si>
  <si>
    <t>帝国军演通关第50层</t>
  </si>
  <si>
    <t>升级城墙至5级</t>
  </si>
  <si>
    <t>升级瞭望塔至5级</t>
  </si>
  <si>
    <t>升级2个防卫塔至5级</t>
  </si>
  <si>
    <t>升级城墙至6级</t>
  </si>
  <si>
    <t>升级瞭望塔至6级</t>
  </si>
  <si>
    <t>升级2个防卫塔至6级</t>
  </si>
  <si>
    <t>升级城墙至7级</t>
  </si>
  <si>
    <t>升级2个防卫塔至7级</t>
  </si>
  <si>
    <t>升级城墙至8级</t>
  </si>
  <si>
    <t>升级瞭望塔至8级</t>
  </si>
  <si>
    <t>升级2个防卫塔至8级</t>
  </si>
  <si>
    <t>升级大使馆至8级</t>
  </si>
  <si>
    <t>升级市集至9级</t>
  </si>
  <si>
    <t>升级城墙至9级</t>
  </si>
  <si>
    <t>升级瞭望塔至9级</t>
  </si>
  <si>
    <t>升级2个防卫塔至9级</t>
  </si>
  <si>
    <t>升级大使馆至9级</t>
  </si>
  <si>
    <t>升级市集至10级</t>
  </si>
  <si>
    <t>升级瞭望塔至10级</t>
  </si>
  <si>
    <t>升级2个防卫塔至10级</t>
  </si>
  <si>
    <t>升级大使馆至10级</t>
  </si>
  <si>
    <t>升级瞭望塔至11级</t>
  </si>
  <si>
    <t>升级2个防卫塔至11级</t>
  </si>
  <si>
    <t>升级大使馆至11级</t>
  </si>
  <si>
    <t>升级战争大厅至11级</t>
  </si>
  <si>
    <t>升级市集至12级</t>
  </si>
  <si>
    <t>升级瞭望塔至12级</t>
  </si>
  <si>
    <t>升级2个防卫塔至12级</t>
  </si>
  <si>
    <t>升级大使馆至12级</t>
  </si>
  <si>
    <t>升级战争大厅至12级</t>
  </si>
  <si>
    <t>升级市集至13级</t>
  </si>
  <si>
    <t>升级瞭望塔至13级</t>
  </si>
  <si>
    <t>升级2个防卫塔至13级</t>
  </si>
  <si>
    <t>升级战争大厅至13级</t>
  </si>
  <si>
    <t>升级市集至14级</t>
  </si>
  <si>
    <t>升级瞭望塔至14级</t>
  </si>
  <si>
    <t>升级2个防卫塔至14级</t>
  </si>
  <si>
    <t>升级大使馆至14级</t>
  </si>
  <si>
    <t>升级战争大厅至14级</t>
  </si>
  <si>
    <t>升级市集至15级</t>
  </si>
  <si>
    <t>升级瞭望塔至15级</t>
  </si>
  <si>
    <t>升级2个防卫塔至15级</t>
  </si>
  <si>
    <t>升级大使馆至15级</t>
  </si>
  <si>
    <t>升级战争大厅至15级</t>
  </si>
  <si>
    <t>升级瞭望塔至16级</t>
  </si>
  <si>
    <t>升级2个防卫塔至16级</t>
  </si>
  <si>
    <t>升级大使馆至16级</t>
  </si>
  <si>
    <t>升级战争大厅至16级</t>
  </si>
  <si>
    <t>升级市集至17级</t>
  </si>
  <si>
    <t>升级瞭望塔至17级</t>
  </si>
  <si>
    <t>升级2个防卫塔至17级</t>
  </si>
  <si>
    <t>升级大使馆至17级</t>
  </si>
  <si>
    <t>升级战争大厅至17级</t>
  </si>
  <si>
    <t>升级市集至18级</t>
  </si>
  <si>
    <t>升级瞭望塔至18级</t>
  </si>
  <si>
    <t>升级2个防卫塔至18级</t>
  </si>
  <si>
    <t>升级战争大厅至18级</t>
  </si>
  <si>
    <t>升级市集至19级</t>
  </si>
  <si>
    <t>升级瞭望塔至19级</t>
  </si>
  <si>
    <t>升级2个防卫塔至19级</t>
  </si>
  <si>
    <t>升级大使馆至19级</t>
  </si>
  <si>
    <t>升级战争大厅至19级</t>
  </si>
  <si>
    <t>升级市集至20级</t>
  </si>
  <si>
    <t>升级瞭望塔至20级</t>
  </si>
  <si>
    <t>升级2个防卫塔至20级</t>
  </si>
  <si>
    <t>升级大使馆至20级</t>
  </si>
  <si>
    <t>升级战争大厅至20级</t>
  </si>
  <si>
    <t>升级瞭望塔至21级</t>
  </si>
  <si>
    <t>升级2个防卫塔至21级</t>
  </si>
  <si>
    <t>升级大使馆至21级</t>
  </si>
  <si>
    <t>升级战争大厅至21级</t>
  </si>
  <si>
    <t>升级市集至22级</t>
  </si>
  <si>
    <t>升级瞭望塔至22级</t>
  </si>
  <si>
    <t>升级2个防卫塔至22级</t>
  </si>
  <si>
    <t>升级大使馆至22级</t>
  </si>
  <si>
    <t>升级战争大厅至22级</t>
  </si>
  <si>
    <t>升级市集至23级</t>
  </si>
  <si>
    <t>升级瞭望塔至23级</t>
  </si>
  <si>
    <t>升级2个防卫塔至23级</t>
  </si>
  <si>
    <t>升级战争大厅至23级</t>
  </si>
  <si>
    <t>升级市集至24级</t>
  </si>
  <si>
    <t>升级瞭望塔至24级</t>
  </si>
  <si>
    <t>升级2个防卫塔至24级</t>
  </si>
  <si>
    <t>升级大使馆至24级</t>
  </si>
  <si>
    <t>升级战争大厅至24级</t>
  </si>
  <si>
    <t>升级市集至25级</t>
  </si>
  <si>
    <t>升级2个防卫塔至25级</t>
  </si>
  <si>
    <t>升级大使馆至25级</t>
  </si>
  <si>
    <t>升级战争大厅至25级</t>
  </si>
  <si>
    <t>升级瞭望塔至26级</t>
  </si>
  <si>
    <t>升级2个防卫塔至26级</t>
  </si>
  <si>
    <t>升级大使馆至26级</t>
  </si>
  <si>
    <t>升级战争大厅至26级</t>
  </si>
  <si>
    <t>升级市集至27级</t>
  </si>
  <si>
    <t>升级瞭望塔至27级</t>
  </si>
  <si>
    <t>升级2个防卫塔至27级</t>
  </si>
  <si>
    <t>升级大使馆至27级</t>
  </si>
  <si>
    <t>升级战争大厅至27级</t>
  </si>
  <si>
    <t>升级市集至28级</t>
  </si>
  <si>
    <t>升级瞭望塔至28级</t>
  </si>
  <si>
    <t>升级2个防卫塔至28级</t>
  </si>
  <si>
    <t>升级战争大厅至28级</t>
  </si>
  <si>
    <t>升级市集至29级</t>
  </si>
  <si>
    <t>升级瞭望塔至29级</t>
  </si>
  <si>
    <t>升级2个防卫塔至29级</t>
  </si>
  <si>
    <t>升级大使馆至29级</t>
  </si>
  <si>
    <t>升级战争大厅至29级</t>
  </si>
  <si>
    <t>升级市集至30级</t>
  </si>
  <si>
    <t>升级城墙至30级</t>
  </si>
  <si>
    <t>升级瞭望塔至30级</t>
  </si>
  <si>
    <t>升级2个防卫塔至30级</t>
  </si>
  <si>
    <t>升级大使馆至30级</t>
  </si>
  <si>
    <t>升级战争大厅至30级</t>
  </si>
  <si>
    <t>convert(ResTask.proto, table_LineTaskConf, HideBranchLineTaskConf.pbin)</t>
  </si>
  <si>
    <t>任务id</t>
  </si>
  <si>
    <t>触发条件组与或关系</t>
  </si>
  <si>
    <t>触发条件组</t>
  </si>
  <si>
    <t>完成条件组与或关系</t>
  </si>
  <si>
    <t>convert(ResTask.proto, table_LineTaskListConf, HideBranchLineTaskListConf.pbin)</t>
  </si>
  <si>
    <t>任务链</t>
  </si>
  <si>
    <t>convertTrans(ResTask.proto, table_LineTaskMiscConf, LineTaskMiscConf.pbin)</t>
  </si>
  <si>
    <t>字段</t>
  </si>
  <si>
    <t>值</t>
  </si>
  <si>
    <t>配置项</t>
  </si>
  <si>
    <t>前置主线剧情任务id</t>
  </si>
  <si>
    <t>preMainTaskId</t>
  </si>
  <si>
    <t>自动领奖上限【测试环境生效】（0没有上限，&gt;0代表最多多少个支线+隐藏支线处于未领奖状态，多于自动领奖）</t>
  </si>
  <si>
    <t>autoRewardLimit</t>
  </si>
  <si>
    <t>convert(ResTask.proto, table_LineTaskConf, MainLineTaskConf.pbin)</t>
  </si>
  <si>
    <t>jumpTo</t>
  </si>
  <si>
    <t>convert(ResTask.proto, table_LineTaskListConf, MainLineTaskListConf.pbin)</t>
  </si>
  <si>
    <t>taskList</t>
  </si>
  <si>
    <t>旧Key</t>
  </si>
  <si>
    <t>新Key</t>
  </si>
  <si>
    <t>文本</t>
  </si>
  <si>
    <t>BranchLineTaskConf_10410101_taskName_GL_Main</t>
  </si>
  <si>
    <t>TID_BranchLineTaskConf_10410101_taskName_GL_Main</t>
  </si>
  <si>
    <t>选择任意1个文明</t>
  </si>
  <si>
    <t>BranchLineTaskConf_10401020_taskName_GL_Main</t>
  </si>
  <si>
    <t>TID_BranchLineTaskConf_10401020_taskName_GL_Main</t>
  </si>
  <si>
    <t>BranchLineTaskConf_10401030_taskName_GL_Main</t>
  </si>
  <si>
    <t>训练1级剑士700名</t>
  </si>
  <si>
    <t>BranchLineTaskConf_10410104_taskName_GL_Main</t>
  </si>
  <si>
    <t>TID_BranchLineTaskConf_10410104_taskName_GL_Main</t>
  </si>
  <si>
    <t>使用训练加速20分钟</t>
  </si>
  <si>
    <t>BranchLineTaskConf_10401050_taskName_GL_Main</t>
  </si>
  <si>
    <t>[启程之光]累计招募10次</t>
  </si>
  <si>
    <t>BranchLineTaskConf_10410105_taskName_GL_Main</t>
  </si>
  <si>
    <t>BranchLineTaskConf_10410106_taskName_GL_Main</t>
  </si>
  <si>
    <t>TID_BranchLineTaskConf_10410106_taskName_GL_Main</t>
  </si>
  <si>
    <t>编组1支上阵2个英雄的部队</t>
  </si>
  <si>
    <t>BranchLineTaskConf_10410107_taskName_GL_Main</t>
  </si>
  <si>
    <t>TID_BranchLineTaskConf_10410107_taskName_GL_Main</t>
  </si>
  <si>
    <t>城外搜索任意类型蛮族1次</t>
  </si>
  <si>
    <t>BranchLineTaskConf_10410108_taskName_GL_Main</t>
  </si>
  <si>
    <t>TID_BranchLineTaskConf_10410108_taskName_GL_Main</t>
  </si>
  <si>
    <t>城外清剿1级蛮族1次</t>
  </si>
  <si>
    <t>BranchLineTaskConf_10410110_taskName_GL_Main</t>
  </si>
  <si>
    <t>TID_BranchLineTaskConf_10410110_taskName_GL_Main</t>
  </si>
  <si>
    <t>城外清剿2级蛮族1次</t>
  </si>
  <si>
    <t>BranchLineTaskConf_10401100_taskName_GL_Main</t>
  </si>
  <si>
    <t>TID_BranchLineTaskConf_10401100_taskName_GL_Main</t>
  </si>
  <si>
    <t>激活任意一个1000要求的发展方略</t>
  </si>
  <si>
    <t>BranchLineTaskConf_10410111_taskName_GL_Main</t>
  </si>
  <si>
    <t>建造2个石矿场</t>
  </si>
  <si>
    <t>BranchLineTaskConf_10401120_taskName_GL_Main</t>
  </si>
  <si>
    <t>TID_BranchLineTaskConf_10401120_taskName_GL_Main</t>
  </si>
  <si>
    <t>升级石矿场至4级</t>
  </si>
  <si>
    <t>BranchLineTaskConf_10401140_taskName_GL_Main_481167935127</t>
  </si>
  <si>
    <t>TID_BranchLineTaskConf_10401140_taskName_GL_Main_481167935127</t>
  </si>
  <si>
    <t>升级伐木场至4级</t>
  </si>
  <si>
    <t>BranchLineTaskConf_10401130_taskName_GL_Main</t>
  </si>
  <si>
    <t>TID_BranchLineTaskConf_10401130_taskName_GL_Main</t>
  </si>
  <si>
    <t>升级磨坊至4级</t>
  </si>
  <si>
    <t>BranchLineTaskConf_10410115_taskName_GL_Main</t>
  </si>
  <si>
    <t>TID_BranchLineTaskConf_10410115_taskName_GL_Main</t>
  </si>
  <si>
    <t>升级居民房舍至4级</t>
  </si>
  <si>
    <t>BranchLineTaskConf_10401160_taskName_GL_Main</t>
  </si>
  <si>
    <t>TID_BranchLineTaskConf_10401160_taskName_GL_Main</t>
  </si>
  <si>
    <t>训练村民9名</t>
  </si>
  <si>
    <t>BranchLineTaskConf_10410117_taskName_GL_Main</t>
  </si>
  <si>
    <t>TID_BranchLineTaskConf_10410117_taskName_GL_Main</t>
  </si>
  <si>
    <t>通过生产调配增加木材产量</t>
  </si>
  <si>
    <t>BranchLineTaskConf_10410118_taskName_GL_Main</t>
  </si>
  <si>
    <t>攻占1个1级或更高级的资源点</t>
  </si>
  <si>
    <t>BranchLineTaskConf_10410119_taskName_GL_Main</t>
  </si>
  <si>
    <t>TID_BranchLineTaskConf_10410119_taskName_GL_Main</t>
  </si>
  <si>
    <t>派遣村民采集1个资源点</t>
  </si>
  <si>
    <t>BranchLineTaskConf_10401210_taskName_GL_Main</t>
  </si>
  <si>
    <t>TID_BranchLineTaskConf_10401210_taskName_GL_Main</t>
  </si>
  <si>
    <t>升级建筑提升繁荣度至735点</t>
  </si>
  <si>
    <t>BranchLineTaskConf_10410121_taskName_GL_Main</t>
  </si>
  <si>
    <t>升级城镇中心至5级</t>
  </si>
  <si>
    <t>BranchLineTaskConf_10410122_taskName_GL_Main</t>
  </si>
  <si>
    <t>BranchLineTaskConf_10501020_taskName_GL_Main</t>
  </si>
  <si>
    <t>TID_BranchLineTaskConf_10501020_taskName_GL_Main</t>
  </si>
  <si>
    <t>升级伐木场至5级</t>
  </si>
  <si>
    <t>BranchLineTaskConf_10501030_taskName_GL_Main</t>
  </si>
  <si>
    <t>TID_BranchLineTaskConf_10501030_taskName_GL_Main</t>
  </si>
  <si>
    <t>升级石矿场至5级</t>
  </si>
  <si>
    <t>BranchLineTaskConf_10501010_taskName_GL_Main</t>
  </si>
  <si>
    <t>TID_BranchLineTaskConf_10501010_taskName_GL_Main</t>
  </si>
  <si>
    <t>升级磨坊至5级</t>
  </si>
  <si>
    <t>BranchLineTaskConf_10510104_taskName_GL_Main</t>
  </si>
  <si>
    <t>升级居民房舍至5级</t>
  </si>
  <si>
    <t>BranchLineTaskConf_10510105_taskName_GL_Main</t>
  </si>
  <si>
    <t>TID_BranchLineTaskConf_10510105_taskName_GL_Main</t>
  </si>
  <si>
    <t>升级治疗房舍至5级</t>
  </si>
  <si>
    <t>BranchLineTaskConf_10510106_taskName_GL_Main</t>
  </si>
  <si>
    <t>BranchLineTaskConf_10510107_taskName_GL_Main</t>
  </si>
  <si>
    <t>TID_BranchLineTaskConf_10510107_taskName_GL_Main</t>
  </si>
  <si>
    <t>建造1个马厩</t>
  </si>
  <si>
    <t>BranchLineTaskConf_10501080_taskName_GL_Main</t>
  </si>
  <si>
    <t>TID_BranchLineTaskConf_10501080_taskName_GL_Main</t>
  </si>
  <si>
    <t>建造1个枪兵营</t>
  </si>
  <si>
    <t>BranchLineTaskConf_10510109_taskName_GL_Main</t>
  </si>
  <si>
    <t>TID_BranchLineTaskConf_10510109_taskName_GL_Main</t>
  </si>
  <si>
    <t>升级任意1个兵营至5级</t>
  </si>
  <si>
    <t>BranchLineTaskConf_10510110_taskName_GL_Main</t>
  </si>
  <si>
    <t>TID_BranchLineTaskConf_10510110_taskName_GL_Main</t>
  </si>
  <si>
    <t>修复城堡</t>
  </si>
  <si>
    <t>BranchLineTaskConf_10501110_taskName_GL_Main</t>
  </si>
  <si>
    <t>研究[全兵种训练速度1]科技至1级</t>
  </si>
  <si>
    <t>BranchLineTaskConf_10510112_taskName_GL_Main</t>
  </si>
  <si>
    <t>TID_BranchLineTaskConf_10510112_taskName_GL_Main</t>
  </si>
  <si>
    <t>[精锐招募]消耗铜币累计招募50次</t>
  </si>
  <si>
    <t>BranchLineTaskConf_10510113_taskName_GL_Main</t>
  </si>
  <si>
    <t>TID_BranchLineTaskConf_10510113_taskName_GL_Main</t>
  </si>
  <si>
    <t>分解任意英雄或技能勋章获得500技能点</t>
  </si>
  <si>
    <t>BranchLineTaskConf_10510114_taskName_GL_Main</t>
  </si>
  <si>
    <t>任意英雄固有技能等级提升至3级</t>
  </si>
  <si>
    <t>BranchLineTaskConf_10510115_taskName_GL_Main</t>
  </si>
  <si>
    <t>TID_BranchLineTaskConf_10510115_taskName_GL_Main</t>
  </si>
  <si>
    <t>城外清剿3级蛮族1次</t>
  </si>
  <si>
    <t>BranchLineTaskConf_10510116_taskName_GL_Main</t>
  </si>
  <si>
    <t>TID_BranchLineTaskConf_10510116_taskName_GL_Main</t>
  </si>
  <si>
    <t>任意英雄等级提升至5级</t>
  </si>
  <si>
    <t>BranchLineTaskConf_10501170_taskName_GL_Main</t>
  </si>
  <si>
    <t>TID_BranchLineTaskConf_10501170_taskName_GL_Main</t>
  </si>
  <si>
    <t>升级建筑提升繁荣度至1800点</t>
  </si>
  <si>
    <t>BranchLineTaskConf_10510118_taskName_GL_Main</t>
  </si>
  <si>
    <t>BranchLineTaskConf_10610101_taskName_GL_Main</t>
  </si>
  <si>
    <t>TID_BranchLineTaskConf_10610101_taskName_GL_Main</t>
  </si>
  <si>
    <t>修复纪念碑</t>
  </si>
  <si>
    <t>BranchLineTaskConf_10601020_taskName_GL_Main_889104293705</t>
  </si>
  <si>
    <t>TID_BranchLineTaskConf_10601020_taskName_GL_Main_889104293705</t>
  </si>
  <si>
    <t>升级伐木场至6级</t>
  </si>
  <si>
    <t>BranchLineTaskConf_10601030_taskName_GL_Main_775422349782</t>
  </si>
  <si>
    <t>TID_BranchLineTaskConf_10601030_taskName_GL_Main_775422349782</t>
  </si>
  <si>
    <t>升级石矿场至6级</t>
  </si>
  <si>
    <t>BranchLineTaskConf_10601040_taskName_GL_Main_390880712450</t>
  </si>
  <si>
    <t>TID_BranchLineTaskConf_10601040_taskName_GL_Main_390880712450</t>
  </si>
  <si>
    <t>升级磨坊至6级</t>
  </si>
  <si>
    <t>BranchLineTaskConf_10601050_taskName_GL_Main</t>
  </si>
  <si>
    <t>TID_BranchLineTaskConf_10601050_taskName_GL_Main</t>
  </si>
  <si>
    <t>升级居民房舍至6级</t>
  </si>
  <si>
    <t>BranchLineTaskConf_10610107_taskName_GL_Main</t>
  </si>
  <si>
    <t>TID_BranchLineTaskConf_10610107_taskName_GL_Main</t>
  </si>
  <si>
    <t>升级治疗房舍至6级</t>
  </si>
  <si>
    <t>BranchLineTaskConf_10610108_taskName_GL_Main</t>
  </si>
  <si>
    <t>TID_BranchLineTaskConf_10610108_taskName_GL_Main</t>
  </si>
  <si>
    <t>升级任意1个兵营至6级</t>
  </si>
  <si>
    <t>BranchLineTaskConf_10601080_taskName_GL_Main</t>
  </si>
  <si>
    <t>BranchLineTaskConf_10610109_taskName_GL_Main</t>
  </si>
  <si>
    <t>TID_BranchLineTaskConf_10610109_taskName_GL_Main</t>
  </si>
  <si>
    <t>任意英雄等级提升至10级</t>
  </si>
  <si>
    <t>BranchLineTaskConf_10610110_taskName_GL_Main</t>
  </si>
  <si>
    <t>TID_BranchLineTaskConf_10610110_taskName_GL_Main</t>
  </si>
  <si>
    <t>任意英雄替换任意1个新技能</t>
  </si>
  <si>
    <t>BranchLineTaskConf_10610111_taskName_GL_Main</t>
  </si>
  <si>
    <t>TID_BranchLineTaskConf_10610111_taskName_GL_Main</t>
  </si>
  <si>
    <t>任意一个10级英雄完成1次属性加点</t>
  </si>
  <si>
    <t>BranchLineTaskConf_10601110_taskName_GL_Main</t>
  </si>
  <si>
    <t>TID_BranchLineTaskConf_10601110_taskName_GL_Main</t>
  </si>
  <si>
    <t>升级建筑提升繁荣度至3480点</t>
  </si>
  <si>
    <t>BranchLineTaskConf_10610113_taskName_GL_Main</t>
  </si>
  <si>
    <t>BranchLineTaskConf_10710101_taskName_GL_Main</t>
  </si>
  <si>
    <t>TID_BranchLineTaskConf_10710101_taskName_GL_Main</t>
  </si>
  <si>
    <t>建造1个码头</t>
  </si>
  <si>
    <t>BranchLineTaskConf_10710102_taskName_GL_Main</t>
  </si>
  <si>
    <t>在码头进行捕鱼1次</t>
  </si>
  <si>
    <t>BranchLineTaskConf_10710103_taskName_GL_Main</t>
  </si>
  <si>
    <t>TID_BranchLineTaskConf_10710103_taskName_GL_Main</t>
  </si>
  <si>
    <t>在码头开启1次捕鱼积分宝藏</t>
  </si>
  <si>
    <t>BranchLineTaskConf_10710104_taskName_GL_Main</t>
  </si>
  <si>
    <t>BranchLineTaskConf_10701050_taskName_GL_Main</t>
  </si>
  <si>
    <t>TID_BranchLineTaskConf_10701050_taskName_GL_Main</t>
  </si>
  <si>
    <t>升级伐木场至7级</t>
  </si>
  <si>
    <t>BranchLineTaskConf_10701060_taskName_GL_Main</t>
  </si>
  <si>
    <t>TID_BranchLineTaskConf_10701060_taskName_GL_Main</t>
  </si>
  <si>
    <t>升级石矿场至7级</t>
  </si>
  <si>
    <t>BranchLineTaskConf_10701070_taskName_GL_Main</t>
  </si>
  <si>
    <t>TID_BranchLineTaskConf_10701070_taskName_GL_Main</t>
  </si>
  <si>
    <t>升级磨坊至7级</t>
  </si>
  <si>
    <t>BranchLineTaskConf_10701080_taskName_GL_Main</t>
  </si>
  <si>
    <t>TID_BranchLineTaskConf_10701080_taskName_GL_Main</t>
  </si>
  <si>
    <t>升级居民房舍至7级</t>
  </si>
  <si>
    <t>BranchLineTaskConf_10710109_taskName_GL_Main</t>
  </si>
  <si>
    <t>TID_BranchLineTaskConf_10710109_taskName_GL_Main</t>
  </si>
  <si>
    <t>升级治疗房舍至7级</t>
  </si>
  <si>
    <t>BranchLineTaskConf_10710110_taskName_GL_Main</t>
  </si>
  <si>
    <t>TID_BranchLineTaskConf_10710110_taskName_GL_Main</t>
  </si>
  <si>
    <t>升级任意1个兵营至7级</t>
  </si>
  <si>
    <t>BranchLineTaskConf_10701110_taskName_GL_Main</t>
  </si>
  <si>
    <t>TID_BranchLineTaskConf_10701110_taskName_GL_Main</t>
  </si>
  <si>
    <t>升级建筑提升繁荣度至6600点</t>
  </si>
  <si>
    <t>BranchLineTaskConf_10710112_taskName_GL_Main</t>
  </si>
  <si>
    <t>升级城镇中心至8级</t>
  </si>
  <si>
    <t>BranchLineTaskConf_10710113_taskName_GL_Main</t>
  </si>
  <si>
    <t>TID_BranchLineTaskConf_10710113_taskName_GL_Main</t>
  </si>
  <si>
    <t>在城镇中心消耗帝国币进行1次征税</t>
  </si>
  <si>
    <t>BranchLineTaskConf_10710114_taskName_GL_Main</t>
  </si>
  <si>
    <t>TID_BranchLineTaskConf_10710114_taskName_GL_Main</t>
  </si>
  <si>
    <t>点将台消耗铜币累计精锐招募500次</t>
  </si>
  <si>
    <t>BranchLineTaskConf_10710115_taskName_GL_Main</t>
  </si>
  <si>
    <t>TID_BranchLineTaskConf_10710115_taskName_GL_Main</t>
  </si>
  <si>
    <t>分解任意英雄或技能勋章获得5000技能点</t>
  </si>
  <si>
    <t>BranchLineTaskConf_10810101_taskName_GL_Main</t>
  </si>
  <si>
    <t>建造1个大使馆</t>
  </si>
  <si>
    <t>BranchLineTaskConf_10810102_taskName_GL_Main</t>
  </si>
  <si>
    <t>TID_BranchLineTaskConf_10810102_taskName_GL_Main</t>
  </si>
  <si>
    <t>升级大使馆至5级</t>
  </si>
  <si>
    <t>BranchLineTaskConf_10801030_taskName_GL_Main</t>
  </si>
  <si>
    <t>TID_BranchLineTaskConf_10801030_taskName_GL_Main</t>
  </si>
  <si>
    <t>升级伐木场至8级</t>
  </si>
  <si>
    <t>BranchLineTaskConf_10801040_taskName_GL_Main</t>
  </si>
  <si>
    <t>TID_BranchLineTaskConf_10801040_taskName_GL_Main</t>
  </si>
  <si>
    <t>升级石矿场至8级</t>
  </si>
  <si>
    <t>BranchLineTaskConf_10801050_taskName_GL_Main</t>
  </si>
  <si>
    <t>TID_BranchLineTaskConf_10801050_taskName_GL_Main</t>
  </si>
  <si>
    <t>升级磨坊至8级</t>
  </si>
  <si>
    <t>BranchLineTaskConf_10801060_taskName_GL_Main</t>
  </si>
  <si>
    <t>TID_BranchLineTaskConf_10801060_taskName_GL_Main</t>
  </si>
  <si>
    <t>升级居民房舍至8级</t>
  </si>
  <si>
    <t>BranchLineTaskConf_10810107_taskName_GL_Main</t>
  </si>
  <si>
    <t>TID_BranchLineTaskConf_10810107_taskName_GL_Main</t>
  </si>
  <si>
    <t>升级治疗房舍至8级</t>
  </si>
  <si>
    <t>BranchLineTaskConf_10810108_taskName_GL_Main</t>
  </si>
  <si>
    <t>TID_BranchLineTaskConf_10810108_taskName_GL_Main</t>
  </si>
  <si>
    <t>升级任意1个兵营至8级</t>
  </si>
  <si>
    <t>BranchLineTaskConf_10810109_taskName_GL_Main</t>
  </si>
  <si>
    <t>TID_BranchLineTaskConf_10810109_taskName_GL_Main</t>
  </si>
  <si>
    <t>升级校场至8级(解锁第3支部队)</t>
  </si>
  <si>
    <t>BranchLineTaskConf_10801100_taskName_GL_Main</t>
  </si>
  <si>
    <t>TID_BranchLineTaskConf_10801100_taskName_GL_Main</t>
  </si>
  <si>
    <t>升级建筑提升繁荣度至14000点</t>
  </si>
  <si>
    <t>BranchLineTaskConf_10810111_taskName_GL_Main</t>
  </si>
  <si>
    <t>升级城镇中心至9级</t>
  </si>
  <si>
    <t>BranchLineTaskConf_10910101_taskName_GL_Main</t>
  </si>
  <si>
    <t>建造1个市集</t>
  </si>
  <si>
    <t>BranchLineTaskConf_10910102_taskName_GL_Main</t>
  </si>
  <si>
    <t>TID_BranchLineTaskConf_10910102_taskName_GL_Main</t>
  </si>
  <si>
    <t>在市集进行资源兑换1次</t>
  </si>
  <si>
    <t>BranchLineTaskConf_10901030_taskName_GL_Main_956276152670</t>
  </si>
  <si>
    <t>TID_BranchLineTaskConf_10901030_taskName_GL_Main_956276152670</t>
  </si>
  <si>
    <t>升级市集至6级</t>
  </si>
  <si>
    <t>BranchLineTaskConf_10901030_taskName_GL_Main</t>
  </si>
  <si>
    <t>TID_BranchLineTaskConf_10901030_taskName_GL_Main</t>
  </si>
  <si>
    <t>升级伐木场至9级</t>
  </si>
  <si>
    <t>BranchLineTaskConf_10901040_taskName_GL_Main</t>
  </si>
  <si>
    <t>TID_BranchLineTaskConf_10901040_taskName_GL_Main</t>
  </si>
  <si>
    <t>升级石矿场至9级</t>
  </si>
  <si>
    <t>BranchLineTaskConf_10901050_taskName_GL_Main</t>
  </si>
  <si>
    <t>TID_BranchLineTaskConf_10901050_taskName_GL_Main</t>
  </si>
  <si>
    <t>升级磨坊至9级</t>
  </si>
  <si>
    <t>BranchLineTaskConf_10901060_taskName_GL_Main</t>
  </si>
  <si>
    <t>TID_BranchLineTaskConf_10901060_taskName_GL_Main</t>
  </si>
  <si>
    <t>升级居民房舍至9级</t>
  </si>
  <si>
    <t>BranchLineTaskConf_10910107_taskName_GL_Main</t>
  </si>
  <si>
    <t>TID_BranchLineTaskConf_10910107_taskName_GL_Main</t>
  </si>
  <si>
    <t>升级治疗房舍至9级</t>
  </si>
  <si>
    <t>BranchLineTaskConf_10910108_taskName_GL_Main</t>
  </si>
  <si>
    <t>TID_BranchLineTaskConf_10910108_taskName_GL_Main</t>
  </si>
  <si>
    <t>升级任意1个兵营至9级</t>
  </si>
  <si>
    <t>BranchLineTaskConf_10910109_taskName_GL_Main</t>
  </si>
  <si>
    <t>TID_BranchLineTaskConf_10910109_taskName_GL_Main</t>
  </si>
  <si>
    <t>升级校场至9级</t>
  </si>
  <si>
    <t>BranchLineTaskConf_10910110_taskName_GL_Main</t>
  </si>
  <si>
    <t>TID_BranchLineTaskConf_10910110_taskName_GL_Main</t>
  </si>
  <si>
    <t>BranchLineTaskConf_10910111_taskName_GL_Main</t>
  </si>
  <si>
    <t>TID_BranchLineTaskConf_10910111_taskName_GL_Main</t>
  </si>
  <si>
    <t>城墙驻守委任上阵2名英雄</t>
  </si>
  <si>
    <t>BranchLineTaskConf_10901130_taskName_GL_Main_1071638032587</t>
  </si>
  <si>
    <t>TID_BranchLineTaskConf_10901130_taskName_GL_Main_1071638032587</t>
  </si>
  <si>
    <t>升级建筑提升繁荣度至24000点</t>
  </si>
  <si>
    <t>BranchLineTaskConf_10910113_taskName_GL_Main</t>
  </si>
  <si>
    <t>BranchLineTaskConf_10910114_taskName_GL_Main</t>
  </si>
  <si>
    <t>升级至城堡时代</t>
  </si>
  <si>
    <t>BranchLineTaskConf_11010101_taskName_GL_Main</t>
  </si>
  <si>
    <t>TID_BranchLineTaskConf_11010101_taskName_GL_Main</t>
  </si>
  <si>
    <t>编组1支上阵3个英雄的部队</t>
  </si>
  <si>
    <t>BranchLineTaskConf_11010102_taskName_GL_Main</t>
  </si>
  <si>
    <t>BranchLineTaskConf_11001030_taskName_GL_Main</t>
  </si>
  <si>
    <t>TID_BranchLineTaskConf_11001030_taskName_GL_Main</t>
  </si>
  <si>
    <t>BranchLineTaskConf_11010105_taskName_GL_Main</t>
  </si>
  <si>
    <t>TID_BranchLineTaskConf_11010105_taskName_GL_Main</t>
  </si>
  <si>
    <t>BranchLineTaskConf_11010106_taskName_GL_Main</t>
  </si>
  <si>
    <t>TID_BranchLineTaskConf_11010106_taskName_GL_Main</t>
  </si>
  <si>
    <t>BranchLineTaskConf_11010104_taskName_GL_Main</t>
  </si>
  <si>
    <t>TID_BranchLineTaskConf_11010104_taskName_GL_Main</t>
  </si>
  <si>
    <t>BranchLineTaskConf_11010107_taskName_GL_Main</t>
  </si>
  <si>
    <t>升级2个居民房舍至10级</t>
  </si>
  <si>
    <t>BranchLineTaskConf_11010108_taskName_GL_Main</t>
  </si>
  <si>
    <t>TID_BranchLineTaskConf_11010108_taskName_GL_Main</t>
  </si>
  <si>
    <t>BranchLineTaskConf_11010109_taskName_GL_Main</t>
  </si>
  <si>
    <t>TID_BranchLineTaskConf_11010109_taskName_GL_Main</t>
  </si>
  <si>
    <t>升级校场至10级</t>
  </si>
  <si>
    <t>BranchLineTaskConf_11010110_taskName_GL_Main</t>
  </si>
  <si>
    <t>BranchLineTaskConf_11010111_taskName_GL_Main</t>
  </si>
  <si>
    <t>BranchLineTaskConf_11010112_taskName_GL_Main</t>
  </si>
  <si>
    <t>任意英雄固有技能等级提升至10级</t>
  </si>
  <si>
    <t>BranchLineTaskConf_11010113_taskName_GL_Main</t>
  </si>
  <si>
    <t>TID_BranchLineTaskConf_11010113_taskName_GL_Main</t>
  </si>
  <si>
    <t>任意英雄解锁第2个天赋</t>
  </si>
  <si>
    <t>BranchLineTaskConf_11010114_taskName_GL_Main</t>
  </si>
  <si>
    <t>TID_BranchLineTaskConf_11010114_taskName_GL_Main</t>
  </si>
  <si>
    <t>任意英雄替换任意2个技能</t>
  </si>
  <si>
    <t>BranchLineTaskConf_11210111_taskName_GL_Main</t>
  </si>
  <si>
    <t>TID_BranchLineTaskConf_11210111_taskName_GL_Main</t>
  </si>
  <si>
    <t>升级建筑提升繁荣度至45000点</t>
  </si>
  <si>
    <t>BranchLineTaskConf_11010116_taskName_GL_Main</t>
  </si>
  <si>
    <t>BranchLineTaskConf_11110102_taskName_GL_Main</t>
  </si>
  <si>
    <t>TID_BranchLineTaskConf_11110102_taskName_GL_Main</t>
  </si>
  <si>
    <t>BranchLineTaskConf_11110103_taskName_GL_Main</t>
  </si>
  <si>
    <t>TID_BranchLineTaskConf_11110103_taskName_GL_Main</t>
  </si>
  <si>
    <t>BranchLineTaskConf_11110104_taskName_GL_Main</t>
  </si>
  <si>
    <t>TID_BranchLineTaskConf_11110104_taskName_GL_Main</t>
  </si>
  <si>
    <t>BranchLineTaskConf_11110101_taskName_GL_Main</t>
  </si>
  <si>
    <t>TID_BranchLineTaskConf_11110101_taskName_GL_Main</t>
  </si>
  <si>
    <t>BranchLineTaskConf_11110105_taskName_GL_Main</t>
  </si>
  <si>
    <t>TID_BranchLineTaskConf_11110105_taskName_GL_Main</t>
  </si>
  <si>
    <t>升级3个居民房舍至11级</t>
  </si>
  <si>
    <t>BranchLineTaskConf_11110106_taskName_GL_Main</t>
  </si>
  <si>
    <t>TID_BranchLineTaskConf_11110106_taskName_GL_Main</t>
  </si>
  <si>
    <t>BranchLineTaskConf_11110107_taskName_GL_Main</t>
  </si>
  <si>
    <t>TID_BranchLineTaskConf_11110107_taskName_GL_Main</t>
  </si>
  <si>
    <t>升级校场至11级</t>
  </si>
  <si>
    <t>BranchLineTaskConf_11110108_taskName_GL_Main</t>
  </si>
  <si>
    <t>TID_BranchLineTaskConf_11110108_taskName_GL_Main</t>
  </si>
  <si>
    <t>升级任意2个兵营至8级</t>
  </si>
  <si>
    <t>BranchLineTaskConf_11110109_taskName_GL_Main</t>
  </si>
  <si>
    <t>TID_BranchLineTaskConf_11110109_taskName_GL_Main</t>
  </si>
  <si>
    <t>城墙驻守委任上阵3名英雄</t>
  </si>
  <si>
    <t>BranchLineTaskConf_11110110_taskName_GL_Main</t>
  </si>
  <si>
    <t>TID_BranchLineTaskConf_11110110_taskName_GL_Main</t>
  </si>
  <si>
    <t>BranchLineTaskConf_11110111_taskName_GL_Main</t>
  </si>
  <si>
    <t>TID_BranchLineTaskConf_11110111_taskName_GL_Main</t>
  </si>
  <si>
    <t>BranchLineTaskConf_11101120_taskName_GL_Main</t>
  </si>
  <si>
    <t>TID_BranchLineTaskConf_11101120_taskName_GL_Main</t>
  </si>
  <si>
    <t>升级建筑提升繁荣度至81000点</t>
  </si>
  <si>
    <t>BranchLineTaskConf_11110113_taskName_GL_Main</t>
  </si>
  <si>
    <t>BranchLineTaskConf_11210101_taskName_GL_Main</t>
  </si>
  <si>
    <t>BranchLineTaskConf_11210102_taskName_GL_Main</t>
  </si>
  <si>
    <t>TID_BranchLineTaskConf_11210102_taskName_GL_Main</t>
  </si>
  <si>
    <t>BranchLineTaskConf_11210104_taskName_GL_Main</t>
  </si>
  <si>
    <t>TID_BranchLineTaskConf_11210104_taskName_GL_Main</t>
  </si>
  <si>
    <t>BranchLineTaskConf_11210105_taskName_GL_Main</t>
  </si>
  <si>
    <t>TID_BranchLineTaskConf_11210105_taskName_GL_Main</t>
  </si>
  <si>
    <t>BranchLineTaskConf_11210106_taskName_GL_Main</t>
  </si>
  <si>
    <t>TID_BranchLineTaskConf_11210106_taskName_GL_Main</t>
  </si>
  <si>
    <t>BranchLineTaskConf_11210103_taskName_GL_Main</t>
  </si>
  <si>
    <t>TID_BranchLineTaskConf_11210103_taskName_GL_Main</t>
  </si>
  <si>
    <t>BranchLineTaskConf_11210107_taskName_GL_Main</t>
  </si>
  <si>
    <t>TID_BranchLineTaskConf_11210107_taskName_GL_Main</t>
  </si>
  <si>
    <t>升级3个居民房舍至12级</t>
  </si>
  <si>
    <t>BranchLineTaskConf_11210108_taskName_GL_Main</t>
  </si>
  <si>
    <t>TID_BranchLineTaskConf_11210108_taskName_GL_Main</t>
  </si>
  <si>
    <t>BranchLineTaskConf_11210109_taskName_GL_Main</t>
  </si>
  <si>
    <t>TID_BranchLineTaskConf_11210109_taskName_GL_Main</t>
  </si>
  <si>
    <t>升级校场至12级</t>
  </si>
  <si>
    <t>BranchLineTaskConf_11210110_taskName_GL_Main</t>
  </si>
  <si>
    <t>TID_BranchLineTaskConf_11210110_taskName_GL_Main</t>
  </si>
  <si>
    <t>升级任意2个兵营至10级</t>
  </si>
  <si>
    <t>BranchLineTaskConf_11201110_taskName_GL_Main</t>
  </si>
  <si>
    <t>TID_BranchLineTaskConf_11201110_taskName_GL_Main</t>
  </si>
  <si>
    <t>升级建筑提升繁荣度至120000点</t>
  </si>
  <si>
    <t>BranchLineTaskConf_11210112_taskName_GL_Main</t>
  </si>
  <si>
    <t>BranchLineTaskConf_11310102_taskName_GL_Main</t>
  </si>
  <si>
    <t>TID_BranchLineTaskConf_11310102_taskName_GL_Main</t>
  </si>
  <si>
    <t>BranchLineTaskConf_11310103_taskName_GL_Main</t>
  </si>
  <si>
    <t>TID_BranchLineTaskConf_11310103_taskName_GL_Main</t>
  </si>
  <si>
    <t>BranchLineTaskConf_11310104_taskName_GL_Main</t>
  </si>
  <si>
    <t>TID_BranchLineTaskConf_11310104_taskName_GL_Main</t>
  </si>
  <si>
    <t>BranchLineTaskConf_11310101_taskName_GL_Main</t>
  </si>
  <si>
    <t>TID_BranchLineTaskConf_11310101_taskName_GL_Main</t>
  </si>
  <si>
    <t>BranchLineTaskConf_11310105_taskName_GL_Main</t>
  </si>
  <si>
    <t>TID_BranchLineTaskConf_11310105_taskName_GL_Main</t>
  </si>
  <si>
    <t>升级3个居民房舍至13级</t>
  </si>
  <si>
    <t>BranchLineTaskConf_11310106_taskName_GL_Main</t>
  </si>
  <si>
    <t>TID_BranchLineTaskConf_11310106_taskName_GL_Main</t>
  </si>
  <si>
    <t>BranchLineTaskConf_11310107_taskName_GL_Main</t>
  </si>
  <si>
    <t>TID_BranchLineTaskConf_11310107_taskName_GL_Main</t>
  </si>
  <si>
    <t>升级校场至13级</t>
  </si>
  <si>
    <t>BranchLineTaskConf_11310108_taskName_GL_Main</t>
  </si>
  <si>
    <t>TID_BranchLineTaskConf_11310108_taskName_GL_Main</t>
  </si>
  <si>
    <t>升级任意2个兵营至12级</t>
  </si>
  <si>
    <t>BranchLineTaskConf_11301090_taskName_GL_Main</t>
  </si>
  <si>
    <t>TID_BranchLineTaskConf_11301090_taskName_GL_Main</t>
  </si>
  <si>
    <t>升级建筑提升繁荣度至190000点</t>
  </si>
  <si>
    <t>BranchLineTaskConf_11310110_taskName_GL_Main</t>
  </si>
  <si>
    <t>BranchLineTaskConf_11410102_taskName_GL_Main</t>
  </si>
  <si>
    <t>TID_BranchLineTaskConf_11410102_taskName_GL_Main</t>
  </si>
  <si>
    <t>BranchLineTaskConf_11410103_taskName_GL_Main</t>
  </si>
  <si>
    <t>TID_BranchLineTaskConf_11410103_taskName_GL_Main</t>
  </si>
  <si>
    <t>BranchLineTaskConf_11410104_taskName_GL_Main</t>
  </si>
  <si>
    <t>TID_BranchLineTaskConf_11410104_taskName_GL_Main</t>
  </si>
  <si>
    <t>BranchLineTaskConf_11410101_taskName_GL_Main</t>
  </si>
  <si>
    <t>TID_BranchLineTaskConf_11410101_taskName_GL_Main</t>
  </si>
  <si>
    <t>BranchLineTaskConf_11410105_taskName_GL_Main</t>
  </si>
  <si>
    <t>TID_BranchLineTaskConf_11410105_taskName_GL_Main</t>
  </si>
  <si>
    <t>升级3个居民房舍至14级</t>
  </si>
  <si>
    <t>BranchLineTaskConf_11410106_taskName_GL_Main</t>
  </si>
  <si>
    <t>TID_BranchLineTaskConf_11410106_taskName_GL_Main</t>
  </si>
  <si>
    <t>BranchLineTaskConf_11410107_taskName_GL_Main</t>
  </si>
  <si>
    <t>TID_BranchLineTaskConf_11410107_taskName_GL_Main</t>
  </si>
  <si>
    <t>升级校场至14级</t>
  </si>
  <si>
    <t>BranchLineTaskConf_11410108_taskName_GL_Main</t>
  </si>
  <si>
    <t>TID_BranchLineTaskConf_11410108_taskName_GL_Main</t>
  </si>
  <si>
    <t>升级任意2个兵营至14级</t>
  </si>
  <si>
    <t>BranchLineTaskConf_11401090_taskName_GL_Main</t>
  </si>
  <si>
    <t>TID_BranchLineTaskConf_11401090_taskName_GL_Main</t>
  </si>
  <si>
    <t>升级建筑提升繁荣度至290000点</t>
  </si>
  <si>
    <t>BranchLineTaskConf_11410110_taskName_GL_Main</t>
  </si>
  <si>
    <t>BranchLineTaskConf_11410111_taskName_GL_Main</t>
  </si>
  <si>
    <t>BranchLineTaskConf_11510102_taskName_GL_Main</t>
  </si>
  <si>
    <t>TID_BranchLineTaskConf_11510102_taskName_GL_Main</t>
  </si>
  <si>
    <t>BranchLineTaskConf_11510103_taskName_GL_Main</t>
  </si>
  <si>
    <t>TID_BranchLineTaskConf_11510103_taskName_GL_Main</t>
  </si>
  <si>
    <t>BranchLineTaskConf_11510104_taskName_GL_Main</t>
  </si>
  <si>
    <t>TID_BranchLineTaskConf_11510104_taskName_GL_Main</t>
  </si>
  <si>
    <t>BranchLineTaskConf_11510101_taskName_GL_Main</t>
  </si>
  <si>
    <t>TID_BranchLineTaskConf_11510101_taskName_GL_Main</t>
  </si>
  <si>
    <t>BranchLineTaskConf_11510105_taskName_GL_Main</t>
  </si>
  <si>
    <t>TID_BranchLineTaskConf_11510105_taskName_GL_Main</t>
  </si>
  <si>
    <t>升级4个居民房舍至15级</t>
  </si>
  <si>
    <t>BranchLineTaskConf_11510106_taskName_GL_Main</t>
  </si>
  <si>
    <t>TID_BranchLineTaskConf_11510106_taskName_GL_Main</t>
  </si>
  <si>
    <t>BranchLineTaskConf_11510107_taskName_GL_Main</t>
  </si>
  <si>
    <t>TID_BranchLineTaskConf_11510107_taskName_GL_Main</t>
  </si>
  <si>
    <t>升级校场至15级</t>
  </si>
  <si>
    <t>BranchLineTaskConf_11510108_taskName_GL_Main</t>
  </si>
  <si>
    <t>TID_BranchLineTaskConf_11510108_taskName_GL_Main</t>
  </si>
  <si>
    <t>升级任意3个兵营至15级</t>
  </si>
  <si>
    <t>BranchLineTaskConf_11501090_taskName_GL_Main</t>
  </si>
  <si>
    <t>TID_BranchLineTaskConf_11501090_taskName_GL_Main</t>
  </si>
  <si>
    <t>升级建筑提升繁荣度至480000点</t>
  </si>
  <si>
    <t>BranchLineTaskConf_11510110_taskName_GL_Main</t>
  </si>
  <si>
    <t>BranchLineTaskConf_11610102_taskName_GL_Main</t>
  </si>
  <si>
    <t>TID_BranchLineTaskConf_11610102_taskName_GL_Main</t>
  </si>
  <si>
    <t>BranchLineTaskConf_11610103_taskName_GL_Main</t>
  </si>
  <si>
    <t>TID_BranchLineTaskConf_11610103_taskName_GL_Main</t>
  </si>
  <si>
    <t>BranchLineTaskConf_11610104_taskName_GL_Main</t>
  </si>
  <si>
    <t>TID_BranchLineTaskConf_11610104_taskName_GL_Main</t>
  </si>
  <si>
    <t>BranchLineTaskConf_11610101_taskName_GL_Main</t>
  </si>
  <si>
    <t>TID_BranchLineTaskConf_11610101_taskName_GL_Main</t>
  </si>
  <si>
    <t>BranchLineTaskConf_11610105_taskName_GL_Main</t>
  </si>
  <si>
    <t>TID_BranchLineTaskConf_11610105_taskName_GL_Main</t>
  </si>
  <si>
    <t>升级4个居民房舍至16级</t>
  </si>
  <si>
    <t>BranchLineTaskConf_11610106_taskName_GL_Main</t>
  </si>
  <si>
    <t>TID_BranchLineTaskConf_11610106_taskName_GL_Main</t>
  </si>
  <si>
    <t>BranchLineTaskConf_11610107_taskName_GL_Main</t>
  </si>
  <si>
    <t>TID_BranchLineTaskConf_11610107_taskName_GL_Main</t>
  </si>
  <si>
    <t>升级校场至16级</t>
  </si>
  <si>
    <t>BranchLineTaskConf_11610108_taskName_GL_Main</t>
  </si>
  <si>
    <t>TID_BranchLineTaskConf_11610108_taskName_GL_Main</t>
  </si>
  <si>
    <t>升级任意3个兵营至16级</t>
  </si>
  <si>
    <t>BranchLineTaskConf_11601090_taskName_GL_Main</t>
  </si>
  <si>
    <t>TID_BranchLineTaskConf_11601090_taskName_GL_Main</t>
  </si>
  <si>
    <t>升级建筑提升繁荣度至660000点</t>
  </si>
  <si>
    <t>BranchLineTaskConf_11610110_taskName_GL_Main</t>
  </si>
  <si>
    <t>BranchLineTaskConf_11710102_taskName_GL_Main</t>
  </si>
  <si>
    <t>TID_BranchLineTaskConf_11710102_taskName_GL_Main</t>
  </si>
  <si>
    <t>BranchLineTaskConf_11710103_taskName_GL_Main</t>
  </si>
  <si>
    <t>TID_BranchLineTaskConf_11710103_taskName_GL_Main</t>
  </si>
  <si>
    <t>BranchLineTaskConf_11710104_taskName_GL_Main</t>
  </si>
  <si>
    <t>TID_BranchLineTaskConf_11710104_taskName_GL_Main</t>
  </si>
  <si>
    <t>BranchLineTaskConf_11710101_taskName_GL_Main</t>
  </si>
  <si>
    <t>TID_BranchLineTaskConf_11710101_taskName_GL_Main</t>
  </si>
  <si>
    <t>BranchLineTaskConf_11710105_taskName_GL_Main</t>
  </si>
  <si>
    <t>TID_BranchLineTaskConf_11710105_taskName_GL_Main</t>
  </si>
  <si>
    <t>升级4个居民房舍至17级</t>
  </si>
  <si>
    <t>BranchLineTaskConf_11710106_taskName_GL_Main</t>
  </si>
  <si>
    <t>TID_BranchLineTaskConf_11710106_taskName_GL_Main</t>
  </si>
  <si>
    <t>BranchLineTaskConf_11710107_taskName_GL_Main</t>
  </si>
  <si>
    <t>TID_BranchLineTaskConf_11710107_taskName_GL_Main</t>
  </si>
  <si>
    <t>升级校场至17级</t>
  </si>
  <si>
    <t>BranchLineTaskConf_11710108_taskName_GL_Main</t>
  </si>
  <si>
    <t>TID_BranchLineTaskConf_11710108_taskName_GL_Main</t>
  </si>
  <si>
    <t>升级任意3个兵营至17级</t>
  </si>
  <si>
    <t>BranchLineTaskConf_11701090_taskName_GL_Main</t>
  </si>
  <si>
    <t>TID_BranchLineTaskConf_11701090_taskName_GL_Main</t>
  </si>
  <si>
    <t>升级建筑提升繁荣度至890000点</t>
  </si>
  <si>
    <t>BranchLineTaskConf_11710110_taskName_GL_Main</t>
  </si>
  <si>
    <t>BranchLineTaskConf_11810102_taskName_GL_Main</t>
  </si>
  <si>
    <t>TID_BranchLineTaskConf_11810102_taskName_GL_Main</t>
  </si>
  <si>
    <t>BranchLineTaskConf_11810103_taskName_GL_Main</t>
  </si>
  <si>
    <t>TID_BranchLineTaskConf_11810103_taskName_GL_Main</t>
  </si>
  <si>
    <t>BranchLineTaskConf_11810104_taskName_GL_Main</t>
  </si>
  <si>
    <t>TID_BranchLineTaskConf_11810104_taskName_GL_Main</t>
  </si>
  <si>
    <t>BranchLineTaskConf_11810101_taskName_GL_Main</t>
  </si>
  <si>
    <t>TID_BranchLineTaskConf_11810101_taskName_GL_Main</t>
  </si>
  <si>
    <t>BranchLineTaskConf_11810105_taskName_GL_Main</t>
  </si>
  <si>
    <t>TID_BranchLineTaskConf_11810105_taskName_GL_Main</t>
  </si>
  <si>
    <t>升级4个居民房舍至18级</t>
  </si>
  <si>
    <t>BranchLineTaskConf_11810106_taskName_GL_Main</t>
  </si>
  <si>
    <t>TID_BranchLineTaskConf_11810106_taskName_GL_Main</t>
  </si>
  <si>
    <t>BranchLineTaskConf_11810107_taskName_GL_Main</t>
  </si>
  <si>
    <t>TID_BranchLineTaskConf_11810107_taskName_GL_Main</t>
  </si>
  <si>
    <t>升级校场至18级</t>
  </si>
  <si>
    <t>BranchLineTaskConf_11810108_taskName_GL_Main</t>
  </si>
  <si>
    <t>TID_BranchLineTaskConf_11810108_taskName_GL_Main</t>
  </si>
  <si>
    <t>升级任意4个兵营至18级</t>
  </si>
  <si>
    <t>BranchLineTaskConf_11801090_taskName_GL_Main</t>
  </si>
  <si>
    <t>TID_BranchLineTaskConf_11801090_taskName_GL_Main</t>
  </si>
  <si>
    <t>升级建筑提升繁荣度至1400000点</t>
  </si>
  <si>
    <t>BranchLineTaskConf_11810110_taskName_GL_Main</t>
  </si>
  <si>
    <t>BranchLineTaskConf_11910102_taskName_GL_Main</t>
  </si>
  <si>
    <t>TID_BranchLineTaskConf_11910102_taskName_GL_Main</t>
  </si>
  <si>
    <t>BranchLineTaskConf_11910103_taskName_GL_Main</t>
  </si>
  <si>
    <t>TID_BranchLineTaskConf_11910103_taskName_GL_Main</t>
  </si>
  <si>
    <t>BranchLineTaskConf_11910104_taskName_GL_Main</t>
  </si>
  <si>
    <t>TID_BranchLineTaskConf_11910104_taskName_GL_Main</t>
  </si>
  <si>
    <t>BranchLineTaskConf_11910101_taskName_GL_Main</t>
  </si>
  <si>
    <t>TID_BranchLineTaskConf_11910101_taskName_GL_Main</t>
  </si>
  <si>
    <t>BranchLineTaskConf_11910105_taskName_GL_Main</t>
  </si>
  <si>
    <t>TID_BranchLineTaskConf_11910105_taskName_GL_Main</t>
  </si>
  <si>
    <t>升级4个居民房舍至19级</t>
  </si>
  <si>
    <t>BranchLineTaskConf_11910106_taskName_GL_Main</t>
  </si>
  <si>
    <t>TID_BranchLineTaskConf_11910106_taskName_GL_Main</t>
  </si>
  <si>
    <t>BranchLineTaskConf_11910107_taskName_GL_Main</t>
  </si>
  <si>
    <t>TID_BranchLineTaskConf_11910107_taskName_GL_Main</t>
  </si>
  <si>
    <t>升级校场至19级</t>
  </si>
  <si>
    <t>BranchLineTaskConf_11910108_taskName_GL_Main</t>
  </si>
  <si>
    <t>TID_BranchLineTaskConf_11910108_taskName_GL_Main</t>
  </si>
  <si>
    <t>升级任意4个兵营至19级</t>
  </si>
  <si>
    <t>BranchLineTaskConf_11901090_taskName_GL_Main</t>
  </si>
  <si>
    <t>TID_BranchLineTaskConf_11901090_taskName_GL_Main</t>
  </si>
  <si>
    <t>升级建筑提升繁荣度至1800000点</t>
  </si>
  <si>
    <t>BranchLineTaskConf_11910110_taskName_GL_Main</t>
  </si>
  <si>
    <t>BranchLineTaskConf_12010102_taskName_GL_Main</t>
  </si>
  <si>
    <t>TID_BranchLineTaskConf_12010102_taskName_GL_Main</t>
  </si>
  <si>
    <t>BranchLineTaskConf_12010103_taskName_GL_Main</t>
  </si>
  <si>
    <t>TID_BranchLineTaskConf_12010103_taskName_GL_Main</t>
  </si>
  <si>
    <t>BranchLineTaskConf_12010104_taskName_GL_Main</t>
  </si>
  <si>
    <t>TID_BranchLineTaskConf_12010104_taskName_GL_Main</t>
  </si>
  <si>
    <t>BranchLineTaskConf_12010101_taskName_GL_Main</t>
  </si>
  <si>
    <t>TID_BranchLineTaskConf_12010101_taskName_GL_Main</t>
  </si>
  <si>
    <t>BranchLineTaskConf_12010105_taskName_GL_Main</t>
  </si>
  <si>
    <t>TID_BranchLineTaskConf_12010105_taskName_GL_Main</t>
  </si>
  <si>
    <t>升级4个居民房舍至20级</t>
  </si>
  <si>
    <t>BranchLineTaskConf_12010106_taskName_GL_Main</t>
  </si>
  <si>
    <t>TID_BranchLineTaskConf_12010106_taskName_GL_Main</t>
  </si>
  <si>
    <t>BranchLineTaskConf_12010107_taskName_GL_Main</t>
  </si>
  <si>
    <t>TID_BranchLineTaskConf_12010107_taskName_GL_Main</t>
  </si>
  <si>
    <t>升级校场至20级</t>
  </si>
  <si>
    <t>BranchLineTaskConf_12010108_taskName_GL_Main</t>
  </si>
  <si>
    <t>TID_BranchLineTaskConf_12010108_taskName_GL_Main</t>
  </si>
  <si>
    <t>升级任意4个兵营至20级</t>
  </si>
  <si>
    <t>BranchLineTaskConf_12001090_taskName_GL_Main</t>
  </si>
  <si>
    <t>TID_BranchLineTaskConf_12001090_taskName_GL_Main</t>
  </si>
  <si>
    <t>升级建筑提升繁荣度至2200000点</t>
  </si>
  <si>
    <t>BranchLineTaskConf_10101_taskName_CN_Main</t>
  </si>
  <si>
    <t>BranchLineTaskConf_10001020_taskName_GL_Main</t>
  </si>
  <si>
    <t>BranchLineTaskConf_10001030_taskName_GL_Main</t>
  </si>
  <si>
    <t>BranchLineTaskConf_10109_taskName_CN_Main</t>
  </si>
  <si>
    <t>BranchLineTaskConf_10110_taskName_CN_Main</t>
  </si>
  <si>
    <t>BranchLineTaskConf_10108_taskName_CN_Main</t>
  </si>
  <si>
    <t>BranchLineTaskConf_10610102_taskName_GL_Main</t>
  </si>
  <si>
    <t>TID_BranchLineTaskConf_10610102_taskName_GL_Main</t>
  </si>
  <si>
    <t>前往里程碑领取1次奖励</t>
  </si>
  <si>
    <t>BranchLineTaskConf_10103_taskName_CN_Main</t>
  </si>
  <si>
    <t>BranchLineTaskConf_10105_taskName_CN_Main</t>
  </si>
  <si>
    <t>BranchLineTaskConf_10001100_taskName_GL_Main</t>
  </si>
  <si>
    <t>BranchLineTaskConf_10106_taskName_CN_Main</t>
  </si>
  <si>
    <t>BranchLineTaskConf_10112_taskName_CN_Main</t>
  </si>
  <si>
    <t>BranchLineTaskConf_10001130_taskName_GL_Main</t>
  </si>
  <si>
    <t>TID_BranchLineTaskConf_10001130_taskName_GL_Main</t>
  </si>
  <si>
    <t>完成联盟荣耀第1章（占领1级村落）</t>
  </si>
  <si>
    <t>BranchLineTaskConf_10001140_taskName_GL_Main</t>
  </si>
  <si>
    <t>BranchLineTaskConf_12401_taskName_CN_Main</t>
  </si>
  <si>
    <t>BranchLineTaskConf_12402_taskName_CN_Main</t>
  </si>
  <si>
    <t>BranchLineTaskConf_12403_taskName_CN_Main</t>
  </si>
  <si>
    <t>BranchLineTaskConf_20110004_taskName_GL_Main</t>
  </si>
  <si>
    <t>BranchLineTaskConf_20110005_taskName_GL_Main</t>
  </si>
  <si>
    <t>BranchLineTaskConf_20110006_taskName_GL_Main</t>
  </si>
  <si>
    <t>BranchLineTaskConf_12406_taskName_CN_Main</t>
  </si>
  <si>
    <t>BranchLineTaskConf_12408_taskName_CN_Main</t>
  </si>
  <si>
    <t>BranchLineTaskConf_12409_taskName_CN_Main</t>
  </si>
  <si>
    <t>BranchLineTaskConf_20110010_taskName_GL_Main</t>
  </si>
  <si>
    <t>BranchLineTaskConf_12410_taskName_CN_Main</t>
  </si>
  <si>
    <t>BranchLineTaskConf_20110011_taskName_GL_Main</t>
  </si>
  <si>
    <t>BranchLineTaskConf_20110012_taskName_GL_Main</t>
  </si>
  <si>
    <t>BranchLineTaskConf_20110013_taskName_GL_Main</t>
  </si>
  <si>
    <t>BranchLineTaskConf_20110014_taskName_GL_Main</t>
  </si>
  <si>
    <t>BranchLineTaskConf_20110015_taskName_GL_Main</t>
  </si>
  <si>
    <t>BranchLineTaskConf_20110017_taskName_GL_Main</t>
  </si>
  <si>
    <t>BranchLineTaskConf_20110018_taskName_GL_Main</t>
  </si>
  <si>
    <t>BranchLineTaskConf_20110019_taskName_GL_Main</t>
  </si>
  <si>
    <t>BranchLineTaskConf_20110020_taskName_GL_Main</t>
  </si>
  <si>
    <t>BranchLineTaskConf_20110021_taskName_GL_Main</t>
  </si>
  <si>
    <t>BranchLineTaskConf_20110022_taskName_GL_Main</t>
  </si>
  <si>
    <t>BranchLineTaskConf_20110023_taskName_GL_Main</t>
  </si>
  <si>
    <t>BranchLineTaskConf_20110024_taskName_GL_Main</t>
  </si>
  <si>
    <t>BranchLineTaskConf_20110025_taskName_GL_Main</t>
  </si>
  <si>
    <t>BranchLineTaskConf_12501_taskName_CN_Main</t>
  </si>
  <si>
    <t>BranchLineTaskConf_12502_taskName_CN_Main</t>
  </si>
  <si>
    <t>BranchLineTaskConf_12503_taskName_CN_Main</t>
  </si>
  <si>
    <t>BranchLineTaskConf_20111004_taskName_GL_Main</t>
  </si>
  <si>
    <t>BranchLineTaskConf_20111005_taskName_GL_Main</t>
  </si>
  <si>
    <t>BranchLineTaskConf_20111006_taskName_GL_Main</t>
  </si>
  <si>
    <t>BranchLineTaskConf_12506_taskName_CN_Main</t>
  </si>
  <si>
    <t>BranchLineTaskConf_12508_taskName_CN_Main</t>
  </si>
  <si>
    <t>BranchLineTaskConf_12509_taskName_CN_Main</t>
  </si>
  <si>
    <t>BranchLineTaskConf_20111010_taskName_GL_Main</t>
  </si>
  <si>
    <t>BranchLineTaskConf_12510_taskName_CN_Main</t>
  </si>
  <si>
    <t>BranchLineTaskConf_10012010_taskName_GL_Main</t>
  </si>
  <si>
    <t>城外清剿1级或更高级【普通】蛮族</t>
  </si>
  <si>
    <t>BranchLineTaskConf_10012020_taskName_GL_Main</t>
  </si>
  <si>
    <t>城外清剿2级或更高级【普通】蛮族</t>
  </si>
  <si>
    <t>BranchLineTaskConf_10012030_taskName_GL_Main</t>
  </si>
  <si>
    <t>城外清剿3级或更高级【普通】蛮族</t>
  </si>
  <si>
    <t>BranchLineTaskConf_10012040_taskName_GL_Main</t>
  </si>
  <si>
    <t>城外清剿4级或更高级【普通】蛮族</t>
  </si>
  <si>
    <t>BranchLineTaskConf_10012050_taskName_GL_Main</t>
  </si>
  <si>
    <t>城外清剿5级或更高级【普通】蛮族</t>
  </si>
  <si>
    <t>BranchLineTaskConf_10012060_taskName_GL_Main</t>
  </si>
  <si>
    <t>城外清剿6级或更高级【普通】蛮族</t>
  </si>
  <si>
    <t>BranchLineTaskConf_10012070_taskName_GL_Main</t>
  </si>
  <si>
    <t>城外清剿7级或更高级【普通】蛮族</t>
  </si>
  <si>
    <t>BranchLineTaskConf_10012080_taskName_GL_Main</t>
  </si>
  <si>
    <t>城外清剿8级或更高级【普通】蛮族</t>
  </si>
  <si>
    <t>BranchLineTaskConf_10012090_taskName_GL_Main</t>
  </si>
  <si>
    <t>城外清剿9级或更高级【普通】蛮族</t>
  </si>
  <si>
    <t>BranchLineTaskConf_10012100_taskName_GL_Main</t>
  </si>
  <si>
    <t>城外清剿10级或更高级【普通】蛮族</t>
  </si>
  <si>
    <t>BranchLineTaskConf_10012110_taskName_GL_Main</t>
  </si>
  <si>
    <t>城外清剿11级或更高级【普通】蛮族</t>
  </si>
  <si>
    <t>BranchLineTaskConf_10012120_taskName_GL_Main</t>
  </si>
  <si>
    <t>城外清剿12级或更高级【普通】蛮族</t>
  </si>
  <si>
    <t>BranchLineTaskConf_10012130_taskName_GL_Main</t>
  </si>
  <si>
    <t>城外清剿13级或更高级【普通】蛮族</t>
  </si>
  <si>
    <t>BranchLineTaskConf_10012140_taskName_GL_Main</t>
  </si>
  <si>
    <t>城外清剿14级或更高级【普通】蛮族</t>
  </si>
  <si>
    <t>BranchLineTaskConf_10012150_taskName_GL_Main</t>
  </si>
  <si>
    <t>城外清剿15级或更高级【普通】蛮族</t>
  </si>
  <si>
    <t>BranchLineTaskConf_10013010_taskName_GL_Main</t>
  </si>
  <si>
    <t>BranchLineTaskConf_10013020_taskName_GL_Main</t>
  </si>
  <si>
    <t>BranchLineTaskConf_10701_taskName_CN_Main</t>
  </si>
  <si>
    <t>BranchLineTaskConf_10013040_taskName_GL_Main</t>
  </si>
  <si>
    <t>BranchLineTaskConf_10702_taskName_CN_Main</t>
  </si>
  <si>
    <t>BranchLineTaskConf_10013060_taskName_GL_Main</t>
  </si>
  <si>
    <t>BranchLineTaskConf_10703_taskName_CN_Main</t>
  </si>
  <si>
    <t>BranchLineTaskConf_10013080_taskName_GL_Main</t>
  </si>
  <si>
    <t>BranchLineTaskConf_10013090_taskName_GL_Main</t>
  </si>
  <si>
    <t>BranchLineTaskConf_10704_taskName_CN_Main</t>
  </si>
  <si>
    <t>BranchLineTaskConf_10013110_taskName_GL_Main</t>
  </si>
  <si>
    <t>BranchLineTaskConf_10705_taskName_CN_Main</t>
  </si>
  <si>
    <t>BranchLineTaskConf_10013130_taskName_GL_Main</t>
  </si>
  <si>
    <t>BranchLineTaskConf_10013140_taskName_GL_Main</t>
  </si>
  <si>
    <t>BranchLineTaskConf_10706_taskName_CN_Main</t>
  </si>
  <si>
    <t>BranchLineTaskConf_10013160_taskName_GL_Main</t>
  </si>
  <si>
    <t>BranchLineTaskConf_10013170_taskName_GL_Main</t>
  </si>
  <si>
    <t>BranchLineTaskConf_10013180_taskName_GL_Main</t>
  </si>
  <si>
    <t>BranchLineTaskConf_10013190_taskName_GL_Main</t>
  </si>
  <si>
    <t>BranchLineTaskConf_10708_taskName_CN_Main</t>
  </si>
  <si>
    <t>BranchLineTaskConf_10013210_taskName_GL_Main</t>
  </si>
  <si>
    <t>BranchLineTaskConf_10013220_taskName_GL_Main</t>
  </si>
  <si>
    <t>BranchLineTaskConf_10710_taskName_CN_Main</t>
  </si>
  <si>
    <t>BranchLineTaskConf_10013240_taskName_GL_Main</t>
  </si>
  <si>
    <t>BranchLineTaskConf_10711_taskName_CN_Main</t>
  </si>
  <si>
    <t>BranchLineTaskConf_10013260_taskName_GL_Main</t>
  </si>
  <si>
    <t>BranchLineTaskConf_10712_taskName_CN_Main</t>
  </si>
  <si>
    <t>BranchLineTaskConf_10013280_taskName_GL_Main</t>
  </si>
  <si>
    <t>BranchLineTaskConf_10013290_taskName_GL_Main</t>
  </si>
  <si>
    <t>BranchLineTaskConf_10013300_taskName_GL_Main</t>
  </si>
  <si>
    <t>BranchLineTaskConf_10013310_taskName_GL_Main</t>
  </si>
  <si>
    <t>BranchLineTaskConf_10013320_taskName_GL_Main</t>
  </si>
  <si>
    <t>BranchLineTaskConf_10013330_taskName_GL_Main</t>
  </si>
  <si>
    <t>BranchLineTaskConf_10013340_taskName_GL_Main</t>
  </si>
  <si>
    <t>BranchLineTaskConf_10013350_taskName_GL_Main</t>
  </si>
  <si>
    <t>BranchLineTaskConf_10013360_taskName_GL_Main</t>
  </si>
  <si>
    <t>BranchLineTaskConf_10013370_taskName_GL_Main</t>
  </si>
  <si>
    <t>BranchLineTaskConf_10014010_taskName_GL_Main</t>
  </si>
  <si>
    <t>BranchLineTaskConf_10014020_taskName_GL_Main</t>
  </si>
  <si>
    <t>BranchLineTaskConf_10014030_taskName_GL_Main</t>
  </si>
  <si>
    <t>BranchLineTaskConf_10014040_taskName_GL_Main</t>
  </si>
  <si>
    <t>BranchLineTaskConf_10014050_taskName_GL_Main</t>
  </si>
  <si>
    <t>BranchLineTaskConf_20113003_taskName_GL_Main</t>
  </si>
  <si>
    <t>TID_BranchLineTaskConf_20113003_taskName_GL_Main</t>
  </si>
  <si>
    <t>BranchLineTaskConf_10014070_taskName_GL_Main</t>
  </si>
  <si>
    <t>BranchLineTaskConf_10014080_taskName_GL_Main</t>
  </si>
  <si>
    <t>BranchLineTaskConf_10014090_taskName_GL_Main</t>
  </si>
  <si>
    <t>BranchLineTaskConf_10014100_taskName_GL_Main</t>
  </si>
  <si>
    <t>BranchLineTaskConf_20113005_taskName_GL_Main</t>
  </si>
  <si>
    <t>TID_BranchLineTaskConf_20113005_taskName_GL_Main</t>
  </si>
  <si>
    <t>BranchLineTaskConf_10014120_taskName_GL_Main</t>
  </si>
  <si>
    <t>BranchLineTaskConf_10014130_taskName_GL_Main</t>
  </si>
  <si>
    <t>BranchLineTaskConf_20113007_taskName_GL_Main</t>
  </si>
  <si>
    <t>BranchLineTaskConf_20113008_taskName_GL_Main</t>
  </si>
  <si>
    <t>BranchLineTaskConf_20113009_taskName_GL_Main</t>
  </si>
  <si>
    <t>BranchLineTaskConf_20113010_taskName_GL_Main</t>
  </si>
  <si>
    <t>BranchLineTaskConf_20113011_taskName_GL_Main</t>
  </si>
  <si>
    <t>BranchLineTaskConf_20113012_taskName_GL_Main</t>
  </si>
  <si>
    <t>BranchLineTaskConf_10015010_taskName_GL_Main</t>
  </si>
  <si>
    <t>BranchLineTaskConf_10015020_taskName_GL_Main</t>
  </si>
  <si>
    <t>BranchLineTaskConf_10015030_taskName_GL_Main</t>
  </si>
  <si>
    <t>BranchLineTaskConf_10015040_taskName_GL_Main</t>
  </si>
  <si>
    <t>BranchLineTaskConf_10015050_taskName_GL_Main</t>
  </si>
  <si>
    <t>BranchLineTaskConf_10015060_taskName_GL_Main</t>
  </si>
  <si>
    <t>BranchLineTaskConf_10015070_taskName_GL_Main</t>
  </si>
  <si>
    <t>TID_BranchLineTaskConf_10015070_taskName_GL_Main</t>
  </si>
  <si>
    <t>城外攻占7级或更高级资源点</t>
  </si>
  <si>
    <t>BranchLineTaskConf_10015080_taskName_GL_Main</t>
  </si>
  <si>
    <t>TID_BranchLineTaskConf_10015080_taskName_GL_Main</t>
  </si>
  <si>
    <t>城外攻占8级或更高级资源点</t>
  </si>
  <si>
    <t>BranchLineTaskConf_10015090_taskName_GL_Main</t>
  </si>
  <si>
    <t>TID_BranchLineTaskConf_10015090_taskName_GL_Main</t>
  </si>
  <si>
    <t>城外攻占9级或更高级资源点</t>
  </si>
  <si>
    <t>BranchLineTaskConf_10015100_taskName_GL_Main</t>
  </si>
  <si>
    <t>TID_BranchLineTaskConf_10015100_taskName_GL_Main</t>
  </si>
  <si>
    <t>城外攻占10级或更高级资源点</t>
  </si>
  <si>
    <t>BranchLineTaskConf_10015110_taskName_GL_Main</t>
  </si>
  <si>
    <t>TID_BranchLineTaskConf_10015110_taskName_GL_Main</t>
  </si>
  <si>
    <t>城外攻占11级或更高级资源点</t>
  </si>
  <si>
    <t>BranchLineTaskConf_10015120_taskName_GL_Main</t>
  </si>
  <si>
    <t>TID_BranchLineTaskConf_10015120_taskName_GL_Main</t>
  </si>
  <si>
    <t>城外攻占12级或更高级资源点</t>
  </si>
  <si>
    <t>BranchLineTaskConf_10015130_taskName_GL_Main</t>
  </si>
  <si>
    <t>TID_BranchLineTaskConf_10015130_taskName_GL_Main</t>
  </si>
  <si>
    <t>城外攻占13级或更高级资源点</t>
  </si>
  <si>
    <t>BranchLineTaskConf_10015140_taskName_GL_Main</t>
  </si>
  <si>
    <t>TID_BranchLineTaskConf_10015140_taskName_GL_Main</t>
  </si>
  <si>
    <t>城外攻占14级或更高级资源点</t>
  </si>
  <si>
    <t>BranchLineTaskConf_10015150_taskName_GL_Main</t>
  </si>
  <si>
    <t>TID_BranchLineTaskConf_10015150_taskName_GL_Main</t>
  </si>
  <si>
    <t>城外攻占15级或更高级资源点</t>
  </si>
  <si>
    <t>BranchLineTaskConf_20114001_taskName_GL_Main</t>
  </si>
  <si>
    <t>TID_BranchLineTaskConf_20114001_taskName_GL_Main</t>
  </si>
  <si>
    <t>BranchLineTaskConf_20114002_taskName_GL_Main</t>
  </si>
  <si>
    <t>TID_BranchLineTaskConf_20114002_taskName_GL_Main</t>
  </si>
  <si>
    <t>BranchLineTaskConf_20114003_taskName_GL_Main</t>
  </si>
  <si>
    <t>TID_BranchLineTaskConf_20114003_taskName_GL_Main</t>
  </si>
  <si>
    <t>BranchLineTaskConf_20114004_taskName_GL_Main</t>
  </si>
  <si>
    <t>TID_BranchLineTaskConf_20114004_taskName_GL_Main</t>
  </si>
  <si>
    <t>BranchLineTaskConf_20114005_taskName_GL_Main</t>
  </si>
  <si>
    <t>TID_BranchLineTaskConf_20114005_taskName_GL_Main</t>
  </si>
  <si>
    <t>BranchLineTaskConf_20114006_taskName_GL_Main</t>
  </si>
  <si>
    <t>TID_BranchLineTaskConf_20114006_taskName_GL_Main</t>
  </si>
  <si>
    <t>BranchLineTaskConf_20114007_taskName_GL_Main</t>
  </si>
  <si>
    <t>TID_BranchLineTaskConf_20114007_taskName_GL_Main</t>
  </si>
  <si>
    <t>BranchLineTaskConf_20114008_taskName_GL_Main</t>
  </si>
  <si>
    <t>TID_BranchLineTaskConf_20114008_taskName_GL_Main</t>
  </si>
  <si>
    <t>BranchLineTaskConf_20114009_taskName_GL_Main</t>
  </si>
  <si>
    <t>TID_BranchLineTaskConf_20114009_taskName_GL_Main</t>
  </si>
  <si>
    <t>BranchLineTaskConf_20114010_taskName_GL_Main</t>
  </si>
  <si>
    <t>TID_BranchLineTaskConf_20114010_taskName_GL_Main</t>
  </si>
  <si>
    <t>BranchLineTaskConf_20114011_taskName_GL_Main</t>
  </si>
  <si>
    <t>TID_BranchLineTaskConf_20114011_taskName_GL_Main</t>
  </si>
  <si>
    <t>BranchLineTaskConf_20114012_taskName_GL_Main</t>
  </si>
  <si>
    <t>TID_BranchLineTaskConf_20114012_taskName_GL_Main</t>
  </si>
  <si>
    <t>BranchLineTaskConf_20114013_taskName_GL_Main</t>
  </si>
  <si>
    <t>TID_BranchLineTaskConf_20114013_taskName_GL_Main</t>
  </si>
  <si>
    <t>BranchLineTaskConf_20114014_taskName_GL_Main</t>
  </si>
  <si>
    <t>TID_BranchLineTaskConf_20114014_taskName_GL_Main</t>
  </si>
  <si>
    <t>BranchLineTaskConf_20114015_taskName_GL_Main</t>
  </si>
  <si>
    <t>TID_BranchLineTaskConf_20114015_taskName_GL_Main</t>
  </si>
  <si>
    <t>BranchLineTaskConf_20114016_taskName_GL_Main</t>
  </si>
  <si>
    <t>TID_BranchLineTaskConf_20114016_taskName_GL_Main</t>
  </si>
  <si>
    <t>BranchLineTaskConf_20114017_taskName_GL_Main</t>
  </si>
  <si>
    <t>TID_BranchLineTaskConf_20114017_taskName_GL_Main</t>
  </si>
  <si>
    <t>BranchLineTaskConf_20114018_taskName_GL_Main</t>
  </si>
  <si>
    <t>TID_BranchLineTaskConf_20114018_taskName_GL_Main</t>
  </si>
  <si>
    <t>BranchLineTaskConf_20114019_taskName_GL_Main</t>
  </si>
  <si>
    <t>TID_BranchLineTaskConf_20114019_taskName_GL_Main</t>
  </si>
  <si>
    <t>BranchLineTaskConf_20114020_taskName_GL_Main</t>
  </si>
  <si>
    <t>TID_BranchLineTaskConf_20114020_taskName_GL_Main</t>
  </si>
  <si>
    <t>BranchLineTaskConf_20114021_taskName_GL_Main</t>
  </si>
  <si>
    <t>TID_BranchLineTaskConf_20114021_taskName_GL_Main</t>
  </si>
  <si>
    <t>BranchLineTaskConf_20114022_taskName_GL_Main</t>
  </si>
  <si>
    <t>TID_BranchLineTaskConf_20114022_taskName_GL_Main</t>
  </si>
  <si>
    <t>BranchLineTaskConf_20114023_taskName_GL_Main</t>
  </si>
  <si>
    <t>TID_BranchLineTaskConf_20114023_taskName_GL_Main</t>
  </si>
  <si>
    <t>BranchLineTaskConf_20114024_taskName_GL_Main</t>
  </si>
  <si>
    <t>TID_BranchLineTaskConf_20114024_taskName_GL_Main</t>
  </si>
  <si>
    <t>BranchLineTaskConf_20114025_taskName_GL_Main</t>
  </si>
  <si>
    <t>TID_BranchLineTaskConf_20114025_taskName_GL_Main</t>
  </si>
  <si>
    <t>BranchLineTaskConf_20114026_taskName_GL_Main</t>
  </si>
  <si>
    <t>TID_BranchLineTaskConf_20114026_taskName_GL_Main</t>
  </si>
  <si>
    <t>BranchLineTaskConf_20114027_taskName_GL_Main</t>
  </si>
  <si>
    <t>TID_BranchLineTaskConf_20114027_taskName_GL_Main</t>
  </si>
  <si>
    <t>BranchLineTaskConf_20115001_taskName_GL_Main</t>
  </si>
  <si>
    <t>BranchLineTaskConf_20115002_taskName_GL_Main</t>
  </si>
  <si>
    <t>BranchLineTaskConf_20115003_taskName_GL_Main</t>
  </si>
  <si>
    <t>BranchLineTaskConf_20115004_taskName_GL_Main</t>
  </si>
  <si>
    <t>BranchLineTaskConf_20115005_taskName_GL_Main</t>
  </si>
  <si>
    <t>BranchLineTaskConf_20115006_taskName_GL_Main</t>
  </si>
  <si>
    <t>BranchLineTaskConf_20115007_taskName_GL_Main</t>
  </si>
  <si>
    <t>BranchLineTaskConf_20115008_taskName_GL_Main</t>
  </si>
  <si>
    <t>BranchLineTaskConf_20115009_taskName_GL_Main</t>
  </si>
  <si>
    <t>BranchLineTaskConf_20115010_taskName_GL_Main</t>
  </si>
  <si>
    <t>BranchLineTaskConf_20115011_taskName_GL_Main</t>
  </si>
  <si>
    <t>BranchLineTaskConf_20115012_taskName_GL_Main</t>
  </si>
  <si>
    <t>BranchLineTaskConf_20115013_taskName_GL_Main</t>
  </si>
  <si>
    <t>BranchLineTaskConf_20115014_taskName_GL_Main</t>
  </si>
  <si>
    <t>BranchLineTaskConf_20115015_taskName_GL_Main</t>
  </si>
  <si>
    <t>BranchLineTaskConf_20115016_taskName_GL_Main</t>
  </si>
  <si>
    <t>BranchLineTaskConf_20115017_taskName_GL_Main</t>
  </si>
  <si>
    <t>BranchLineTaskConf_20115018_taskName_GL_Main</t>
  </si>
  <si>
    <t>BranchLineTaskConf_20115019_taskName_GL_Main</t>
  </si>
  <si>
    <t>BranchLineTaskConf_20115020_taskName_GL_Main</t>
  </si>
  <si>
    <t>BranchLineTaskConf_20115021_taskName_GL_Main</t>
  </si>
  <si>
    <t>BranchLineTaskConf_20115022_taskName_GL_Main</t>
  </si>
  <si>
    <t>BranchLineTaskConf_20115023_taskName_GL_Main</t>
  </si>
  <si>
    <t>BranchLineTaskConf_20115024_taskName_GL_Main</t>
  </si>
  <si>
    <t>BranchLineTaskConf_20118001_taskName_GL_Main</t>
  </si>
  <si>
    <t>TID_BranchLineTaskConf_20118001_taskName_GL_Main</t>
  </si>
  <si>
    <t>消耗铜币累计招募100次</t>
  </si>
  <si>
    <t>BranchLineTaskConf_20118002_taskName_GL_Main</t>
  </si>
  <si>
    <t>TID_BranchLineTaskConf_20118002_taskName_GL_Main</t>
  </si>
  <si>
    <t>消耗铜币累计招募200次</t>
  </si>
  <si>
    <t>BranchLineTaskConf_20118003_taskName_GL_Main</t>
  </si>
  <si>
    <t>TID_BranchLineTaskConf_20118003_taskName_GL_Main</t>
  </si>
  <si>
    <t>消耗铜币累计招募300次</t>
  </si>
  <si>
    <t>BranchLineTaskConf_20118004_taskName_GL_Main</t>
  </si>
  <si>
    <t>TID_BranchLineTaskConf_20118004_taskName_GL_Main</t>
  </si>
  <si>
    <t>消耗铜币累计招募450次</t>
  </si>
  <si>
    <t>BranchLineTaskConf_20118005_taskName_GL_Main</t>
  </si>
  <si>
    <t>TID_BranchLineTaskConf_20118005_taskName_GL_Main</t>
  </si>
  <si>
    <t>消耗铜币累计招募600次</t>
  </si>
  <si>
    <t>BranchLineTaskConf_20118006_taskName_GL_Main</t>
  </si>
  <si>
    <t>TID_BranchLineTaskConf_20118006_taskName_GL_Main</t>
  </si>
  <si>
    <t>消耗铜币累计招募800次</t>
  </si>
  <si>
    <t>BranchLineTaskConf_20118007_taskName_GL_Main</t>
  </si>
  <si>
    <t>TID_BranchLineTaskConf_20118007_taskName_GL_Main</t>
  </si>
  <si>
    <t>消耗铜币累计招募1000次</t>
  </si>
  <si>
    <t>BranchLineTaskConf_20119001_taskName_GL_Main</t>
  </si>
  <si>
    <t>TID_BranchLineTaskConf_20119001_taskName_GL_Main</t>
  </si>
  <si>
    <t>分解英雄或技能勋章获得1000技能点</t>
  </si>
  <si>
    <t>BranchLineTaskConf_20119002_taskName_GL_Main</t>
  </si>
  <si>
    <t>TID_BranchLineTaskConf_20119002_taskName_GL_Main</t>
  </si>
  <si>
    <t>分解英雄或技能勋章获得2000技能点</t>
  </si>
  <si>
    <t>BranchLineTaskConf_20119003_taskName_GL_Main</t>
  </si>
  <si>
    <t>TID_BranchLineTaskConf_20119003_taskName_GL_Main</t>
  </si>
  <si>
    <t>分解英雄或技能勋章获得3000技能点</t>
  </si>
  <si>
    <t>BranchLineTaskConf_20119004_taskName_GL_Main</t>
  </si>
  <si>
    <t>TID_BranchLineTaskConf_20119004_taskName_GL_Main</t>
  </si>
  <si>
    <t>分解英雄或技能勋章获得4500技能点</t>
  </si>
  <si>
    <t>BranchLineTaskConf_20119005_taskName_GL_Main</t>
  </si>
  <si>
    <t>TID_BranchLineTaskConf_20119005_taskName_GL_Main</t>
  </si>
  <si>
    <t>分解英雄或技能勋章获得6000技能点</t>
  </si>
  <si>
    <t>BranchLineTaskConf_20119006_taskName_GL_Main</t>
  </si>
  <si>
    <t>TID_BranchLineTaskConf_20119006_taskName_GL_Main</t>
  </si>
  <si>
    <t>分解英雄或技能勋章获得8000技能点</t>
  </si>
  <si>
    <t>BranchLineTaskConf_20119007_taskName_GL_Main</t>
  </si>
  <si>
    <t>TID_BranchLineTaskConf_20119007_taskName_GL_Main</t>
  </si>
  <si>
    <t>分解英雄或技能勋章获得10000技能点</t>
  </si>
  <si>
    <t>BranchLineTaskConf_20120002_taskName_GL_Main</t>
  </si>
  <si>
    <t>任意英雄固有技能等级提升至5级</t>
  </si>
  <si>
    <t>BranchLineTaskConf_20120003_taskName_GL_Main</t>
  </si>
  <si>
    <t>任意英雄固有技能等级提升至7级</t>
  </si>
  <si>
    <t>BranchLineTaskConf_20120004_taskName_GL_Main</t>
  </si>
  <si>
    <t>任意英雄固有技能等级提升至8级</t>
  </si>
  <si>
    <t>BranchLineTaskConf_20120005_taskName_GL_Main</t>
  </si>
  <si>
    <t>任意英雄固有技能等级提升至9级</t>
  </si>
  <si>
    <t>BranchLineTaskConf_20120007_taskName_GL_Main</t>
  </si>
  <si>
    <t>任意2个英雄固有技能等级提升至3级</t>
  </si>
  <si>
    <t>BranchLineTaskConf_11301_taskName_CN_Main</t>
  </si>
  <si>
    <t>任意2个英雄固有技能等级提升至5级</t>
  </si>
  <si>
    <t>BranchLineTaskConf_11302_taskName_CN_Main</t>
  </si>
  <si>
    <t>任意2个英雄固有技能等级提升至7级</t>
  </si>
  <si>
    <t>BranchLineTaskConf_11303_taskName_CN_Main</t>
  </si>
  <si>
    <t>任意2个英雄固有技能等级提升至8级</t>
  </si>
  <si>
    <t>BranchLineTaskConf_11304_taskName_CN_Main</t>
  </si>
  <si>
    <t>任意2个英雄固有技能等级提升至9级</t>
  </si>
  <si>
    <t>BranchLineTaskConf_11305_taskName_CN_Main</t>
  </si>
  <si>
    <t>任意2个英雄固有技能等级提升至10级</t>
  </si>
  <si>
    <t>BranchLineTaskConf_20120013_taskName_GL_Main</t>
  </si>
  <si>
    <t>任意3个英雄固有技能等级提升至3级</t>
  </si>
  <si>
    <t>BranchLineTaskConf_20120014_taskName_GL_Main</t>
  </si>
  <si>
    <t>任意3个英雄固有技能等级提升至5级</t>
  </si>
  <si>
    <t>BranchLineTaskConf_20120015_taskName_GL_Main</t>
  </si>
  <si>
    <t>任意3个英雄固有技能等级提升至7级</t>
  </si>
  <si>
    <t>BranchLineTaskConf_20120016_taskName_GL_Main</t>
  </si>
  <si>
    <t>任意3个英雄固有技能等级提升至8级</t>
  </si>
  <si>
    <t>BranchLineTaskConf_20120017_taskName_GL_Main</t>
  </si>
  <si>
    <t>任意3个英雄固有技能等级提升至9级</t>
  </si>
  <si>
    <t>BranchLineTaskConf_20120018_taskName_GL_Main</t>
  </si>
  <si>
    <t>任意3个英雄固有技能等级提升至10级</t>
  </si>
  <si>
    <t>BranchLineTaskConf_20120019_taskName_GL_Main</t>
  </si>
  <si>
    <t>任意4个英雄固有技能等级提升至3级</t>
  </si>
  <si>
    <t>BranchLineTaskConf_11401_taskName_CN_Main</t>
  </si>
  <si>
    <t>任意4个英雄固有技能等级提升至5级</t>
  </si>
  <si>
    <t>BranchLineTaskConf_11402_taskName_CN_Main</t>
  </si>
  <si>
    <t>任意4个英雄固有技能等级提升至7级</t>
  </si>
  <si>
    <t>BranchLineTaskConf_11403_taskName_CN_Main</t>
  </si>
  <si>
    <t>任意4个英雄固有技能等级提升至8级</t>
  </si>
  <si>
    <t>BranchLineTaskConf_11404_taskName_CN_Main</t>
  </si>
  <si>
    <t>任意4个英雄固有技能等级提升至9级</t>
  </si>
  <si>
    <t>BranchLineTaskConf_11405_taskName_CN_Main</t>
  </si>
  <si>
    <t>任意4个英雄固有技能等级提升至10级</t>
  </si>
  <si>
    <t>BranchLineTaskConf_20120025_taskName_GL_Main</t>
  </si>
  <si>
    <t>任意6个英雄固有技能等级提升至3级</t>
  </si>
  <si>
    <t>BranchLineTaskConf_11501_taskName_CN_Main</t>
  </si>
  <si>
    <t>任意6个英雄固有技能等级提升至5级</t>
  </si>
  <si>
    <t>BranchLineTaskConf_11502_taskName_CN_Main</t>
  </si>
  <si>
    <t>任意6个英雄固有技能等级提升至7级</t>
  </si>
  <si>
    <t>BranchLineTaskConf_11503_taskName_CN_Main</t>
  </si>
  <si>
    <t>任意6个英雄固有技能等级提升至8级</t>
  </si>
  <si>
    <t>BranchLineTaskConf_11504_taskName_CN_Main</t>
  </si>
  <si>
    <t>任意6个英雄固有技能等级提升至9级</t>
  </si>
  <si>
    <t>BranchLineTaskConf_11505_taskName_CN_Main</t>
  </si>
  <si>
    <t>任意6个英雄固有技能等级提升至10级</t>
  </si>
  <si>
    <t>BranchLineTaskConf_20120031_taskName_GL_Main</t>
  </si>
  <si>
    <t>任意9个英雄固有技能等级提升至3级</t>
  </si>
  <si>
    <t>BranchLineTaskConf_20120032_taskName_GL_Main</t>
  </si>
  <si>
    <t>任意9个英雄固有技能等级提升至5级</t>
  </si>
  <si>
    <t>BranchLineTaskConf_20120033_taskName_GL_Main</t>
  </si>
  <si>
    <t>任意9个英雄固有技能等级提升至7级</t>
  </si>
  <si>
    <t>BranchLineTaskConf_20120034_taskName_GL_Main</t>
  </si>
  <si>
    <t>任意9个英雄固有技能等级提升至8级</t>
  </si>
  <si>
    <t>BranchLineTaskConf_20120035_taskName_GL_Main</t>
  </si>
  <si>
    <t>任意9个英雄固有技能等级提升至9级</t>
  </si>
  <si>
    <t>BranchLineTaskConf_20120036_taskName_GL_Main</t>
  </si>
  <si>
    <t>任意9个英雄固有技能等级提升至10级</t>
  </si>
  <si>
    <t>BranchLineTaskConf_20120037_taskName_GL_Main</t>
  </si>
  <si>
    <t>任意12个英雄固有技能等级提升至3级</t>
  </si>
  <si>
    <t>BranchLineTaskConf_20120038_taskName_GL_Main</t>
  </si>
  <si>
    <t>任意12个英雄固有技能等级提升至5级</t>
  </si>
  <si>
    <t>BranchLineTaskConf_20120039_taskName_GL_Main</t>
  </si>
  <si>
    <t>任意12个英雄固有技能等级提升至7级</t>
  </si>
  <si>
    <t>BranchLineTaskConf_20120040_taskName_GL_Main</t>
  </si>
  <si>
    <t>任意12个英雄固有技能等级提升至8级</t>
  </si>
  <si>
    <t>BranchLineTaskConf_20120041_taskName_GL_Main</t>
  </si>
  <si>
    <t>任意12个英雄固有技能等级提升至9级</t>
  </si>
  <si>
    <t>BranchLineTaskConf_20120042_taskName_GL_Main</t>
  </si>
  <si>
    <t>任意12个英雄固有技能等级提升至10级</t>
  </si>
  <si>
    <t>BranchLineTaskConf_20117003_taskName_GL_Main</t>
  </si>
  <si>
    <t>TID_BranchLineTaskConf_20117003_taskName_GL_Main</t>
  </si>
  <si>
    <t>城外清剿3级或更高级【稀有】蛮族</t>
  </si>
  <si>
    <t>BranchLineTaskConf_20117004_taskName_GL_Main</t>
  </si>
  <si>
    <t>TID_BranchLineTaskConf_20117004_taskName_GL_Main</t>
  </si>
  <si>
    <t>城外清剿4级或更高级【稀有】蛮族</t>
  </si>
  <si>
    <t>BranchLineTaskConf_20117005_taskName_GL_Main</t>
  </si>
  <si>
    <t>TID_BranchLineTaskConf_20117005_taskName_GL_Main</t>
  </si>
  <si>
    <t>城外清剿5级或更高级【稀有】蛮族</t>
  </si>
  <si>
    <t>BranchLineTaskConf_10021040_taskName_GL_Main</t>
  </si>
  <si>
    <t>TID_BranchLineTaskConf_10021040_taskName_GL_Main</t>
  </si>
  <si>
    <t>城外清剿6级或更高级【稀有】蛮族</t>
  </si>
  <si>
    <t>BranchLineTaskConf_10021050_taskName_GL_Main</t>
  </si>
  <si>
    <t>TID_BranchLineTaskConf_10021050_taskName_GL_Main</t>
  </si>
  <si>
    <t>城外清剿7级或更高级【稀有】蛮族</t>
  </si>
  <si>
    <t>BranchLineTaskConf_10021060_taskName_GL_Main</t>
  </si>
  <si>
    <t>TID_BranchLineTaskConf_10021060_taskName_GL_Main</t>
  </si>
  <si>
    <t>城外清剿8级或更高级【稀有】蛮族</t>
  </si>
  <si>
    <t>BranchLineTaskConf_10021070_taskName_GL_Main</t>
  </si>
  <si>
    <t>TID_BranchLineTaskConf_10021070_taskName_GL_Main</t>
  </si>
  <si>
    <t>城外清剿9级或更高级【稀有】蛮族</t>
  </si>
  <si>
    <t>BranchLineTaskConf_10021080_taskName_GL_Main</t>
  </si>
  <si>
    <t>TID_BranchLineTaskConf_10021080_taskName_GL_Main</t>
  </si>
  <si>
    <t>城外清剿10级或更高级【稀有】蛮族</t>
  </si>
  <si>
    <t>BranchLineTaskConf_10021090_taskName_GL_Main</t>
  </si>
  <si>
    <t>TID_BranchLineTaskConf_10021090_taskName_GL_Main</t>
  </si>
  <si>
    <t>城外清剿11级或更高级【稀有】蛮族</t>
  </si>
  <si>
    <t>BranchLineTaskConf_10021100_taskName_GL_Main</t>
  </si>
  <si>
    <t>TID_BranchLineTaskConf_10021100_taskName_GL_Main</t>
  </si>
  <si>
    <t>城外清剿12级或更高级【稀有】蛮族</t>
  </si>
  <si>
    <t>BranchLineTaskConf_10021110_taskName_GL_Main</t>
  </si>
  <si>
    <t>TID_BranchLineTaskConf_10021110_taskName_GL_Main</t>
  </si>
  <si>
    <t>城外清剿13级或更高级【稀有】蛮族</t>
  </si>
  <si>
    <t>BranchLineTaskConf_10021120_taskName_GL_Main</t>
  </si>
  <si>
    <t>TID_BranchLineTaskConf_10021120_taskName_GL_Main</t>
  </si>
  <si>
    <t>城外清剿14级或更高级【稀有】蛮族</t>
  </si>
  <si>
    <t>BranchLineTaskConf_10021130_taskName_GL_Main</t>
  </si>
  <si>
    <t>TID_BranchLineTaskConf_10021130_taskName_GL_Main</t>
  </si>
  <si>
    <t>城外清剿15级或更高级【稀有】蛮族</t>
  </si>
  <si>
    <t>BranchLineTaskConf_10901_taskName_CN_Main</t>
  </si>
  <si>
    <t>TID_BranchLineTaskConf_10901_taskName_CN_Main</t>
  </si>
  <si>
    <t>城外清剿任意等级【稀有】蛮族5次</t>
  </si>
  <si>
    <t>BranchLineTaskConf_10902_taskName_CN_Main</t>
  </si>
  <si>
    <t>TID_BranchLineTaskConf_10902_taskName_CN_Main</t>
  </si>
  <si>
    <t>城外清剿任意等级【稀有】蛮族10次</t>
  </si>
  <si>
    <t>BranchLineTaskConf_10903_taskName_CN_Main</t>
  </si>
  <si>
    <t>TID_BranchLineTaskConf_10903_taskName_CN_Main</t>
  </si>
  <si>
    <t>城外清剿任意等级【稀有】蛮族15次</t>
  </si>
  <si>
    <t>BranchLineTaskConf_10904_taskName_CN_Main</t>
  </si>
  <si>
    <t>TID_BranchLineTaskConf_10904_taskName_CN_Main</t>
  </si>
  <si>
    <t>城外清剿任意等级【稀有】蛮族20次</t>
  </si>
  <si>
    <t>BranchLineTaskConf_10905_taskName_CN_Main</t>
  </si>
  <si>
    <t>TID_BranchLineTaskConf_10905_taskName_CN_Main</t>
  </si>
  <si>
    <t>城外清剿任意等级【稀有】蛮族25次</t>
  </si>
  <si>
    <t>BranchLineTaskConf_10906_taskName_CN_Main</t>
  </si>
  <si>
    <t>TID_BranchLineTaskConf_10906_taskName_CN_Main</t>
  </si>
  <si>
    <t>城外清剿任意等级【稀有】蛮族30次</t>
  </si>
  <si>
    <t>BranchLineTaskConf_10907_taskName_CN_Main</t>
  </si>
  <si>
    <t>TID_BranchLineTaskConf_10907_taskName_CN_Main</t>
  </si>
  <si>
    <t>城外清剿任意等级【稀有】蛮族35次</t>
  </si>
  <si>
    <t>BranchLineTaskConf_10022080_taskName_GL_Main</t>
  </si>
  <si>
    <t>TID_BranchLineTaskConf_10022080_taskName_GL_Main</t>
  </si>
  <si>
    <t>城外清剿任意等级【稀有】蛮族40次</t>
  </si>
  <si>
    <t>BranchLineTaskConf_10022090_taskName_GL_Main</t>
  </si>
  <si>
    <t>TID_BranchLineTaskConf_10022090_taskName_GL_Main</t>
  </si>
  <si>
    <t>城外清剿任意等级【稀有】蛮族45次</t>
  </si>
  <si>
    <t>BranchLineTaskConf_10908_taskName_CN_Main</t>
  </si>
  <si>
    <t>TID_BranchLineTaskConf_10908_taskName_CN_Main</t>
  </si>
  <si>
    <t>城外清剿任意等级【稀有】蛮族50次</t>
  </si>
  <si>
    <t>BranchLineTaskConf_10022110_taskName_GL_Main</t>
  </si>
  <si>
    <t>TID_BranchLineTaskConf_10022110_taskName_GL_Main</t>
  </si>
  <si>
    <t>城外清剿任意等级【稀有】蛮族60次</t>
  </si>
  <si>
    <t>BranchLineTaskConf_10909_taskName_CN_Main</t>
  </si>
  <si>
    <t>TID_BranchLineTaskConf_10909_taskName_CN_Main</t>
  </si>
  <si>
    <t>城外清剿任意等级【稀有】蛮族70次</t>
  </si>
  <si>
    <t>BranchLineTaskConf_10022130_taskName_GL_Main</t>
  </si>
  <si>
    <t>TID_BranchLineTaskConf_10022130_taskName_GL_Main</t>
  </si>
  <si>
    <t>城外清剿任意等级【稀有】蛮族80次</t>
  </si>
  <si>
    <t>BranchLineTaskConf_10022140_taskName_GL_Main</t>
  </si>
  <si>
    <t>TID_BranchLineTaskConf_10022140_taskName_GL_Main</t>
  </si>
  <si>
    <t>城外清剿任意等级【稀有】蛮族90次</t>
  </si>
  <si>
    <t>BranchLineTaskConf_10910_taskName_CN_Main</t>
  </si>
  <si>
    <t>TID_BranchLineTaskConf_10910_taskName_CN_Main</t>
  </si>
  <si>
    <t>城外清剿任意等级【稀有】蛮族100次</t>
  </si>
  <si>
    <t>BranchLineTaskConf_10022160_taskName_GL_Main</t>
  </si>
  <si>
    <t>TID_BranchLineTaskConf_10022160_taskName_GL_Main</t>
  </si>
  <si>
    <t>城外清剿任意等级【稀有】蛮族120次</t>
  </si>
  <si>
    <t>BranchLineTaskConf_10022170_taskName_GL_Main</t>
  </si>
  <si>
    <t>TID_BranchLineTaskConf_10022170_taskName_GL_Main</t>
  </si>
  <si>
    <t>城外清剿任意等级【稀有】蛮族140次</t>
  </si>
  <si>
    <t>BranchLineTaskConf_10022180_taskName_GL_Main</t>
  </si>
  <si>
    <t>TID_BranchLineTaskConf_10022180_taskName_GL_Main</t>
  </si>
  <si>
    <t>城外清剿任意等级【稀有】蛮族160次</t>
  </si>
  <si>
    <t>BranchLineTaskConf_10022190_taskName_GL_Main</t>
  </si>
  <si>
    <t>TID_BranchLineTaskConf_10022190_taskName_GL_Main</t>
  </si>
  <si>
    <t>城外清剿任意等级【稀有】蛮族180次</t>
  </si>
  <si>
    <t>BranchLineTaskConf_10912_taskName_CN_Main</t>
  </si>
  <si>
    <t>TID_BranchLineTaskConf_10912_taskName_CN_Main</t>
  </si>
  <si>
    <t>城外清剿任意等级【稀有】蛮族200次</t>
  </si>
  <si>
    <t>BranchLineTaskConf_10022210_taskName_GL_Main</t>
  </si>
  <si>
    <t>TID_BranchLineTaskConf_10022210_taskName_GL_Main</t>
  </si>
  <si>
    <t>城外清剿任意等级【稀有】蛮族220次</t>
  </si>
  <si>
    <t>BranchLineTaskConf_10022220_taskName_GL_Main</t>
  </si>
  <si>
    <t>TID_BranchLineTaskConf_10022220_taskName_GL_Main</t>
  </si>
  <si>
    <t>城外清剿任意等级【稀有】蛮族240次</t>
  </si>
  <si>
    <t>BranchLineTaskConf_10022230_taskName_GL_Main</t>
  </si>
  <si>
    <t>TID_BranchLineTaskConf_10022230_taskName_GL_Main</t>
  </si>
  <si>
    <t>城外清剿任意等级【稀有】蛮族260次</t>
  </si>
  <si>
    <t>BranchLineTaskConf_10022240_taskName_GL_Main</t>
  </si>
  <si>
    <t>TID_BranchLineTaskConf_10022240_taskName_GL_Main</t>
  </si>
  <si>
    <t>城外清剿任意等级【稀有】蛮族280次</t>
  </si>
  <si>
    <t>BranchLineTaskConf_10913_taskName_CN_Main</t>
  </si>
  <si>
    <t>TID_BranchLineTaskConf_10913_taskName_CN_Main</t>
  </si>
  <si>
    <t>城外清剿任意等级【稀有】蛮族300次</t>
  </si>
  <si>
    <t>BranchLineTaskConf_12601_taskName_CN_Main</t>
  </si>
  <si>
    <t>TID_BranchLineTaskConf_12601_taskName_CN_Main</t>
  </si>
  <si>
    <t>激活任意一个1000要求的技术方略</t>
  </si>
  <si>
    <t>BranchLineTaskConf_12701_taskName_CN_Main</t>
  </si>
  <si>
    <t>TID_BranchLineTaskConf_12701_taskName_CN_Main</t>
  </si>
  <si>
    <t>激活任意一个1000要求的文化方略</t>
  </si>
  <si>
    <t>BranchLineTaskConf_12602_taskName_CN_Main</t>
  </si>
  <si>
    <t>TID_BranchLineTaskConf_12602_taskName_CN_Main</t>
  </si>
  <si>
    <t>激活任意一个3000要求的技术方略</t>
  </si>
  <si>
    <t>BranchLineTaskConf_12702_taskName_CN_Main</t>
  </si>
  <si>
    <t>TID_BranchLineTaskConf_12702_taskName_CN_Main</t>
  </si>
  <si>
    <t>激活任意一个3000要求的文化方略</t>
  </si>
  <si>
    <t>BranchLineTaskConf_12603_taskName_CN_Main</t>
  </si>
  <si>
    <t>TID_BranchLineTaskConf_12603_taskName_CN_Main</t>
  </si>
  <si>
    <t>激活任意一个6000要求的技术方略</t>
  </si>
  <si>
    <t>BranchLineTaskConf_12703_taskName_CN_Main</t>
  </si>
  <si>
    <t>TID_BranchLineTaskConf_12703_taskName_CN_Main</t>
  </si>
  <si>
    <t>激活任意一个6000要求的文化方略</t>
  </si>
  <si>
    <t>BranchLineTaskConf_12604_taskName_CN_Main</t>
  </si>
  <si>
    <t>TID_BranchLineTaskConf_12604_taskName_CN_Main</t>
  </si>
  <si>
    <t>激活任意一个10000要求的技术方略</t>
  </si>
  <si>
    <t>BranchLineTaskConf_12704_taskName_CN_Main</t>
  </si>
  <si>
    <t>TID_BranchLineTaskConf_12704_taskName_CN_Main</t>
  </si>
  <si>
    <t>激活任意一个10000要求的文化方略</t>
  </si>
  <si>
    <t>BranchLineTaskConf_12605_taskName_CN_Main</t>
  </si>
  <si>
    <t>TID_BranchLineTaskConf_12605_taskName_CN_Main</t>
  </si>
  <si>
    <t>激活任意一个15000要求的技术方略</t>
  </si>
  <si>
    <t>BranchLineTaskConf_12705_taskName_CN_Main</t>
  </si>
  <si>
    <t>TID_BranchLineTaskConf_12705_taskName_CN_Main</t>
  </si>
  <si>
    <t>激活任意一个15000要求的文化方略</t>
  </si>
  <si>
    <t>BranchLineTaskConf_12606_taskName_CN_Main</t>
  </si>
  <si>
    <t>TID_BranchLineTaskConf_12606_taskName_CN_Main</t>
  </si>
  <si>
    <t>激活任意一个20000要求的技术方略</t>
  </si>
  <si>
    <t>BranchLineTaskConf_12706_taskName_CN_Main</t>
  </si>
  <si>
    <t>TID_BranchLineTaskConf_12706_taskName_CN_Main</t>
  </si>
  <si>
    <t>激活任意一个20000要求的文化方略</t>
  </si>
  <si>
    <t>BranchLineTaskConf_12607_taskName_CN_Main</t>
  </si>
  <si>
    <t>TID_BranchLineTaskConf_12607_taskName_CN_Main</t>
  </si>
  <si>
    <t>激活任意一个25000要求的技术方略</t>
  </si>
  <si>
    <t>BranchLineTaskConf_12707_taskName_CN_Main</t>
  </si>
  <si>
    <t>TID_BranchLineTaskConf_12707_taskName_CN_Main</t>
  </si>
  <si>
    <t>激活任意一个25000要求的文化方略</t>
  </si>
  <si>
    <t>BranchLineTaskConf_12608_taskName_CN_Main</t>
  </si>
  <si>
    <t>TID_BranchLineTaskConf_12608_taskName_CN_Main</t>
  </si>
  <si>
    <t>激活任意一个30000要求的技术方略</t>
  </si>
  <si>
    <t>BranchLineTaskConf_12708_taskName_CN_Main</t>
  </si>
  <si>
    <t>TID_BranchLineTaskConf_12708_taskName_CN_Main</t>
  </si>
  <si>
    <t>激活任意一个30000要求的文化方略</t>
  </si>
  <si>
    <t>BranchLineTaskConf_12609_taskName_CN_Main</t>
  </si>
  <si>
    <t>TID_BranchLineTaskConf_12609_taskName_CN_Main</t>
  </si>
  <si>
    <t>激活任意一个40000要求的技术方略</t>
  </si>
  <si>
    <t>BranchLineTaskConf_12709_taskName_CN_Main</t>
  </si>
  <si>
    <t>TID_BranchLineTaskConf_12709_taskName_CN_Main</t>
  </si>
  <si>
    <t>激活任意一个40000要求的文化方略</t>
  </si>
  <si>
    <t>BranchLineTaskConf_12610_taskName_CN_Main</t>
  </si>
  <si>
    <t>TID_BranchLineTaskConf_12610_taskName_CN_Main</t>
  </si>
  <si>
    <t>激活任意一个50000要求的技术方略</t>
  </si>
  <si>
    <t>BranchLineTaskConf_12710_taskName_CN_Main</t>
  </si>
  <si>
    <t>TID_BranchLineTaskConf_12710_taskName_CN_Main</t>
  </si>
  <si>
    <t>激活任意一个50000要求的文化方略</t>
  </si>
  <si>
    <t>BranchLineTaskConf_20121002_taskName_GL_Main</t>
  </si>
  <si>
    <t>BranchLineTaskConf_20121003_taskName_GL_Main</t>
  </si>
  <si>
    <t>BranchLineTaskConf_20121004_taskName_GL_Main</t>
  </si>
  <si>
    <t>BranchLineTaskConf_20121005_taskName_GL_Main</t>
  </si>
  <si>
    <t>BranchLineTaskConf_20121006_taskName_GL_Main</t>
  </si>
  <si>
    <t>BranchLineTaskConf_20121007_taskName_GL_Main</t>
  </si>
  <si>
    <t>BranchLineTaskConf_20121008_taskName_GL_Main</t>
  </si>
  <si>
    <t>BranchLineTaskConf_20121009_taskName_GL_Main</t>
  </si>
  <si>
    <t>BranchLineTaskConf_20121010_taskName_GL_Main</t>
  </si>
  <si>
    <t>BranchLineTaskConf_20121012_taskName_GL_Main</t>
  </si>
  <si>
    <t>BranchLineTaskConf_20121014_taskName_GL_Main</t>
  </si>
  <si>
    <t>BranchLineTaskConf_20121016_taskName_GL_Main</t>
  </si>
  <si>
    <t>BranchLineTaskConf_20121018_taskName_GL_Main</t>
  </si>
  <si>
    <t>BranchLineTaskConf_20121020_taskName_GL_Main</t>
  </si>
  <si>
    <t>BranchLineTaskConf_20121022_taskName_GL_Main</t>
  </si>
  <si>
    <t>BranchLineTaskConf_20121025_taskName_GL_Main</t>
  </si>
  <si>
    <t>BranchLineTaskConf_20121030_taskName_GL_Main</t>
  </si>
  <si>
    <t>BranchLineTaskConf_20121035_taskName_GL_Main</t>
  </si>
  <si>
    <t>BranchLineTaskConf_20121040_taskName_GL_Main</t>
  </si>
  <si>
    <t>BranchLineTaskConf_20121045_taskName_GL_Main</t>
  </si>
  <si>
    <t>BranchLineTaskConf_20121050_taskName_GL_Main</t>
  </si>
  <si>
    <t>BranchLineTaskConf_20122001_taskName_GL_Main</t>
  </si>
  <si>
    <t>TID_BranchLineTaskConf_20122001_taskName_GL_Main</t>
  </si>
  <si>
    <t>任意1个英雄天赋激活至第1层</t>
  </si>
  <si>
    <t>BranchLineTaskConf_20122002_taskName_GL_Main</t>
  </si>
  <si>
    <t>TID_BranchLineTaskConf_20122002_taskName_GL_Main</t>
  </si>
  <si>
    <t>任意1个英雄天赋激活至第2层</t>
  </si>
  <si>
    <t>BranchLineTaskConf_20122003_taskName_GL_Main</t>
  </si>
  <si>
    <t>TID_BranchLineTaskConf_20122003_taskName_GL_Main</t>
  </si>
  <si>
    <t>任意1个英雄天赋激活至第3层</t>
  </si>
  <si>
    <t>BranchLineTaskConf_20122004_taskName_GL_Main</t>
  </si>
  <si>
    <t>TID_BranchLineTaskConf_20122004_taskName_GL_Main</t>
  </si>
  <si>
    <t>任意1个英雄天赋激活至第4层</t>
  </si>
  <si>
    <t>BranchLineTaskConf_20122005_taskName_GL_Main</t>
  </si>
  <si>
    <t>TID_BranchLineTaskConf_20122005_taskName_GL_Main</t>
  </si>
  <si>
    <t>任意1个英雄天赋激活至第5层</t>
  </si>
  <si>
    <t>BranchLineTaskConf_20122006_taskName_GL_Main</t>
  </si>
  <si>
    <t>TID_BranchLineTaskConf_20122006_taskName_GL_Main</t>
  </si>
  <si>
    <t>任意1个英雄天赋激活至第6层</t>
  </si>
  <si>
    <t>BranchLineTaskConf_20122007_taskName_GL_Main</t>
  </si>
  <si>
    <t>TID_BranchLineTaskConf_20122007_taskName_GL_Main</t>
  </si>
  <si>
    <t>任意1个英雄天赋激活至第7层</t>
  </si>
  <si>
    <t>BranchLineTaskConf_20122008_taskName_GL_Main</t>
  </si>
  <si>
    <t>TID_BranchLineTaskConf_20122008_taskName_GL_Main</t>
  </si>
  <si>
    <t>任意1个英雄天赋激活至第8层</t>
  </si>
  <si>
    <t>BranchLineTaskConf_20122009_taskName_GL_Main</t>
  </si>
  <si>
    <t>TID_BranchLineTaskConf_20122009_taskName_GL_Main</t>
  </si>
  <si>
    <t>任意2个英雄天赋激活至第1层</t>
  </si>
  <si>
    <t>BranchLineTaskConf_20122010_taskName_GL_Main</t>
  </si>
  <si>
    <t>TID_BranchLineTaskConf_20122010_taskName_GL_Main</t>
  </si>
  <si>
    <t>任意2个英雄天赋激活至第2层</t>
  </si>
  <si>
    <t>BranchLineTaskConf_20122011_taskName_GL_Main</t>
  </si>
  <si>
    <t>TID_BranchLineTaskConf_20122011_taskName_GL_Main</t>
  </si>
  <si>
    <t>任意2个英雄天赋激活至第3层</t>
  </si>
  <si>
    <t>BranchLineTaskConf_20122012_taskName_GL_Main</t>
  </si>
  <si>
    <t>TID_BranchLineTaskConf_20122012_taskName_GL_Main</t>
  </si>
  <si>
    <t>任意2个英雄天赋激活至第4层</t>
  </si>
  <si>
    <t>BranchLineTaskConf_20122013_taskName_GL_Main</t>
  </si>
  <si>
    <t>TID_BranchLineTaskConf_20122013_taskName_GL_Main</t>
  </si>
  <si>
    <t>任意2个英雄天赋激活至第5层</t>
  </si>
  <si>
    <t>BranchLineTaskConf_20122014_taskName_GL_Main</t>
  </si>
  <si>
    <t>TID_BranchLineTaskConf_20122014_taskName_GL_Main</t>
  </si>
  <si>
    <t>任意2个英雄天赋激活至第6层</t>
  </si>
  <si>
    <t>BranchLineTaskConf_20122015_taskName_GL_Main</t>
  </si>
  <si>
    <t>TID_BranchLineTaskConf_20122015_taskName_GL_Main</t>
  </si>
  <si>
    <t>任意2个英雄天赋激活至第7层</t>
  </si>
  <si>
    <t>BranchLineTaskConf_20122016_taskName_GL_Main</t>
  </si>
  <si>
    <t>TID_BranchLineTaskConf_20122016_taskName_GL_Main</t>
  </si>
  <si>
    <t>任意2个英雄天赋激活至第8层</t>
  </si>
  <si>
    <t>BranchLineTaskConf_20122017_taskName_GL_Main</t>
  </si>
  <si>
    <t>TID_BranchLineTaskConf_20122017_taskName_GL_Main</t>
  </si>
  <si>
    <t>任意3个英雄天赋激活至第1层</t>
  </si>
  <si>
    <t>BranchLineTaskConf_20122018_taskName_GL_Main</t>
  </si>
  <si>
    <t>TID_BranchLineTaskConf_20122018_taskName_GL_Main</t>
  </si>
  <si>
    <t>任意3个英雄天赋激活至第2层</t>
  </si>
  <si>
    <t>BranchLineTaskConf_20122019_taskName_GL_Main</t>
  </si>
  <si>
    <t>TID_BranchLineTaskConf_20122019_taskName_GL_Main</t>
  </si>
  <si>
    <t>任意3个英雄天赋激活至第3层</t>
  </si>
  <si>
    <t>BranchLineTaskConf_20122020_taskName_GL_Main</t>
  </si>
  <si>
    <t>TID_BranchLineTaskConf_20122020_taskName_GL_Main</t>
  </si>
  <si>
    <t>任意3个英雄天赋激活至第4层</t>
  </si>
  <si>
    <t>BranchLineTaskConf_20122021_taskName_GL_Main</t>
  </si>
  <si>
    <t>TID_BranchLineTaskConf_20122021_taskName_GL_Main</t>
  </si>
  <si>
    <t>任意3个英雄天赋激活至第5层</t>
  </si>
  <si>
    <t>BranchLineTaskConf_20122022_taskName_GL_Main</t>
  </si>
  <si>
    <t>TID_BranchLineTaskConf_20122022_taskName_GL_Main</t>
  </si>
  <si>
    <t>任意3个英雄天赋激活至第6层</t>
  </si>
  <si>
    <t>BranchLineTaskConf_20122023_taskName_GL_Main</t>
  </si>
  <si>
    <t>TID_BranchLineTaskConf_20122023_taskName_GL_Main</t>
  </si>
  <si>
    <t>任意3个英雄天赋激活至第7层</t>
  </si>
  <si>
    <t>BranchLineTaskConf_20122024_taskName_GL_Main</t>
  </si>
  <si>
    <t>TID_BranchLineTaskConf_20122024_taskName_GL_Main</t>
  </si>
  <si>
    <t>任意3个英雄天赋激活至第8层</t>
  </si>
  <si>
    <t>BranchLineTaskConf_20122025_taskName_GL_Main</t>
  </si>
  <si>
    <t>TID_BranchLineTaskConf_20122025_taskName_GL_Main</t>
  </si>
  <si>
    <t>任意4个英雄天赋激活至第1层</t>
  </si>
  <si>
    <t>BranchLineTaskConf_20122026_taskName_GL_Main</t>
  </si>
  <si>
    <t>TID_BranchLineTaskConf_20122026_taskName_GL_Main</t>
  </si>
  <si>
    <t>任意4个英雄天赋激活至第2层</t>
  </si>
  <si>
    <t>BranchLineTaskConf_20122027_taskName_GL_Main</t>
  </si>
  <si>
    <t>TID_BranchLineTaskConf_20122027_taskName_GL_Main</t>
  </si>
  <si>
    <t>任意4个英雄天赋激活至第3层</t>
  </si>
  <si>
    <t>BranchLineTaskConf_20122028_taskName_GL_Main</t>
  </si>
  <si>
    <t>TID_BranchLineTaskConf_20122028_taskName_GL_Main</t>
  </si>
  <si>
    <t>任意4个英雄天赋激活至第4层</t>
  </si>
  <si>
    <t>BranchLineTaskConf_20122029_taskName_GL_Main</t>
  </si>
  <si>
    <t>TID_BranchLineTaskConf_20122029_taskName_GL_Main</t>
  </si>
  <si>
    <t>任意4个英雄天赋激活至第5层</t>
  </si>
  <si>
    <t>BranchLineTaskConf_20122030_taskName_GL_Main</t>
  </si>
  <si>
    <t>TID_BranchLineTaskConf_20122030_taskName_GL_Main</t>
  </si>
  <si>
    <t>任意4个英雄天赋激活至第6层</t>
  </si>
  <si>
    <t>BranchLineTaskConf_20122031_taskName_GL_Main</t>
  </si>
  <si>
    <t>TID_BranchLineTaskConf_20122031_taskName_GL_Main</t>
  </si>
  <si>
    <t>任意4个英雄天赋激活至第7层</t>
  </si>
  <si>
    <t>BranchLineTaskConf_20122032_taskName_GL_Main</t>
  </si>
  <si>
    <t>TID_BranchLineTaskConf_20122032_taskName_GL_Main</t>
  </si>
  <si>
    <t>任意4个英雄天赋激活至第8层</t>
  </si>
  <si>
    <t>BranchLineTaskConf_20122033_taskName_GL_Main</t>
  </si>
  <si>
    <t>TID_BranchLineTaskConf_20122033_taskName_GL_Main</t>
  </si>
  <si>
    <t>任意6个英雄天赋激活至第1层</t>
  </si>
  <si>
    <t>BranchLineTaskConf_20122034_taskName_GL_Main</t>
  </si>
  <si>
    <t>TID_BranchLineTaskConf_20122034_taskName_GL_Main</t>
  </si>
  <si>
    <t>任意6个英雄天赋激活至第2层</t>
  </si>
  <si>
    <t>BranchLineTaskConf_20122035_taskName_GL_Main</t>
  </si>
  <si>
    <t>TID_BranchLineTaskConf_20122035_taskName_GL_Main</t>
  </si>
  <si>
    <t>任意6个英雄天赋激活至第3层</t>
  </si>
  <si>
    <t>BranchLineTaskConf_20122036_taskName_GL_Main</t>
  </si>
  <si>
    <t>TID_BranchLineTaskConf_20122036_taskName_GL_Main</t>
  </si>
  <si>
    <t>任意6个英雄天赋激活至第4层</t>
  </si>
  <si>
    <t>BranchLineTaskConf_20122037_taskName_GL_Main</t>
  </si>
  <si>
    <t>TID_BranchLineTaskConf_20122037_taskName_GL_Main</t>
  </si>
  <si>
    <t>任意6个英雄天赋激活至第5层</t>
  </si>
  <si>
    <t>BranchLineTaskConf_20122038_taskName_GL_Main</t>
  </si>
  <si>
    <t>TID_BranchLineTaskConf_20122038_taskName_GL_Main</t>
  </si>
  <si>
    <t>任意6个英雄天赋激活至第6层</t>
  </si>
  <si>
    <t>BranchLineTaskConf_20122039_taskName_GL_Main</t>
  </si>
  <si>
    <t>TID_BranchLineTaskConf_20122039_taskName_GL_Main</t>
  </si>
  <si>
    <t>任意6个英雄天赋激活至第7层</t>
  </si>
  <si>
    <t>BranchLineTaskConf_20122040_taskName_GL_Main</t>
  </si>
  <si>
    <t>TID_BranchLineTaskConf_20122040_taskName_GL_Main</t>
  </si>
  <si>
    <t>任意6个英雄天赋激活至第8层</t>
  </si>
  <si>
    <t>BranchLineTaskConf_20122041_taskName_GL_Main</t>
  </si>
  <si>
    <t>TID_BranchLineTaskConf_20122041_taskName_GL_Main</t>
  </si>
  <si>
    <t>任意9个英雄天赋激活至第1层</t>
  </si>
  <si>
    <t>BranchLineTaskConf_20122042_taskName_GL_Main</t>
  </si>
  <si>
    <t>TID_BranchLineTaskConf_20122042_taskName_GL_Main</t>
  </si>
  <si>
    <t>任意9个英雄天赋激活至第2层</t>
  </si>
  <si>
    <t>BranchLineTaskConf_20122043_taskName_GL_Main</t>
  </si>
  <si>
    <t>TID_BranchLineTaskConf_20122043_taskName_GL_Main</t>
  </si>
  <si>
    <t>任意9个英雄天赋激活至第3层</t>
  </si>
  <si>
    <t>BranchLineTaskConf_20122044_taskName_GL_Main</t>
  </si>
  <si>
    <t>TID_BranchLineTaskConf_20122044_taskName_GL_Main</t>
  </si>
  <si>
    <t>任意9个英雄天赋激活至第4层</t>
  </si>
  <si>
    <t>BranchLineTaskConf_20122045_taskName_GL_Main</t>
  </si>
  <si>
    <t>TID_BranchLineTaskConf_20122045_taskName_GL_Main</t>
  </si>
  <si>
    <t>任意9个英雄天赋激活至第5层</t>
  </si>
  <si>
    <t>BranchLineTaskConf_20122046_taskName_GL_Main</t>
  </si>
  <si>
    <t>TID_BranchLineTaskConf_20122046_taskName_GL_Main</t>
  </si>
  <si>
    <t>任意9个英雄天赋激活至第6层</t>
  </si>
  <si>
    <t>BranchLineTaskConf_20122047_taskName_GL_Main</t>
  </si>
  <si>
    <t>TID_BranchLineTaskConf_20122047_taskName_GL_Main</t>
  </si>
  <si>
    <t>任意9个英雄天赋激活至第7层</t>
  </si>
  <si>
    <t>BranchLineTaskConf_20122048_taskName_GL_Main</t>
  </si>
  <si>
    <t>TID_BranchLineTaskConf_20122048_taskName_GL_Main</t>
  </si>
  <si>
    <t>任意9个英雄天赋激活至第8层</t>
  </si>
  <si>
    <t>BranchLineTaskConf_20122049_taskName_GL_Main</t>
  </si>
  <si>
    <t>TID_BranchLineTaskConf_20122049_taskName_GL_Main</t>
  </si>
  <si>
    <t>任意12个英雄天赋激活至第1层</t>
  </si>
  <si>
    <t>BranchLineTaskConf_20122050_taskName_GL_Main</t>
  </si>
  <si>
    <t>TID_BranchLineTaskConf_20122050_taskName_GL_Main</t>
  </si>
  <si>
    <t>任意12个英雄天赋激活至第2层</t>
  </si>
  <si>
    <t>BranchLineTaskConf_20122051_taskName_GL_Main</t>
  </si>
  <si>
    <t>TID_BranchLineTaskConf_20122051_taskName_GL_Main</t>
  </si>
  <si>
    <t>任意12个英雄天赋激活至第3层</t>
  </si>
  <si>
    <t>BranchLineTaskConf_20122052_taskName_GL_Main</t>
  </si>
  <si>
    <t>TID_BranchLineTaskConf_20122052_taskName_GL_Main</t>
  </si>
  <si>
    <t>任意12个英雄天赋激活至第4层</t>
  </si>
  <si>
    <t>BranchLineTaskConf_20122053_taskName_GL_Main</t>
  </si>
  <si>
    <t>TID_BranchLineTaskConf_20122053_taskName_GL_Main</t>
  </si>
  <si>
    <t>任意12个英雄天赋激活至第5层</t>
  </si>
  <si>
    <t>BranchLineTaskConf_20122054_taskName_GL_Main</t>
  </si>
  <si>
    <t>TID_BranchLineTaskConf_20122054_taskName_GL_Main</t>
  </si>
  <si>
    <t>任意12个英雄天赋激活至第6层</t>
  </si>
  <si>
    <t>BranchLineTaskConf_20122055_taskName_GL_Main</t>
  </si>
  <si>
    <t>TID_BranchLineTaskConf_20122055_taskName_GL_Main</t>
  </si>
  <si>
    <t>任意12个英雄天赋激活至第7层</t>
  </si>
  <si>
    <t>BranchLineTaskConf_20122056_taskName_GL_Main</t>
  </si>
  <si>
    <t>TID_BranchLineTaskConf_20122056_taskName_GL_Main</t>
  </si>
  <si>
    <t>任意12个英雄天赋激活至第8层</t>
  </si>
  <si>
    <t>BranchLineTaskConf_10026010_taskName_GL_Main</t>
  </si>
  <si>
    <t>TID_BranchLineTaskConf_10026010_taskName_GL_Main</t>
  </si>
  <si>
    <t>升级城堡至5级</t>
  </si>
  <si>
    <t>BranchLineTaskConf_20123002_taskName_GL_Main</t>
  </si>
  <si>
    <t>TID_BranchLineTaskConf_20123002_taskName_GL_Main</t>
  </si>
  <si>
    <t>BranchLineTaskConf_20123003_taskName_GL_Main</t>
  </si>
  <si>
    <t>BranchLineTaskConf_10026050_taskName_GL_Main</t>
  </si>
  <si>
    <t>TID_BranchLineTaskConf_10026050_taskName_GL_Main</t>
  </si>
  <si>
    <t>升级城堡至6级</t>
  </si>
  <si>
    <t>BranchLineTaskConf_20123004_taskName_GL_Main</t>
  </si>
  <si>
    <t>TID_BranchLineTaskConf_20123004_taskName_GL_Main</t>
  </si>
  <si>
    <t>BranchLineTaskConf_20123005_taskName_GL_Main</t>
  </si>
  <si>
    <t>TID_BranchLineTaskConf_20123005_taskName_GL_Main</t>
  </si>
  <si>
    <t>BranchLineTaskConf_20123006_taskName_GL_Main</t>
  </si>
  <si>
    <t>BranchLineTaskConf_10026090_taskName_GL_Main</t>
  </si>
  <si>
    <t>TID_BranchLineTaskConf_10026090_taskName_GL_Main</t>
  </si>
  <si>
    <t>升级城堡至7级</t>
  </si>
  <si>
    <t>BranchLineTaskConf_20123009_taskName_GL_Main</t>
  </si>
  <si>
    <t>BranchLineTaskConf_10026130_taskName_GL_Main</t>
  </si>
  <si>
    <t>TID_BranchLineTaskConf_10026130_taskName_GL_Main</t>
  </si>
  <si>
    <t>升级城堡至8级</t>
  </si>
  <si>
    <t>BranchLineTaskConf_20123010_taskName_GL_Main</t>
  </si>
  <si>
    <t>TID_BranchLineTaskConf_20123010_taskName_GL_Main</t>
  </si>
  <si>
    <t>BranchLineTaskConf_20123011_taskName_GL_Main</t>
  </si>
  <si>
    <t>TID_BranchLineTaskConf_20123011_taskName_GL_Main</t>
  </si>
  <si>
    <t>BranchLineTaskConf_20123012_taskName_GL_Main</t>
  </si>
  <si>
    <t>BranchLineTaskConf_20123013_taskName_GL_Main</t>
  </si>
  <si>
    <t>TID_BranchLineTaskConf_20123013_taskName_GL_Main</t>
  </si>
  <si>
    <t>BranchLineTaskConf_10026180_taskName_GL_Main</t>
  </si>
  <si>
    <t>TID_BranchLineTaskConf_10026180_taskName_GL_Main</t>
  </si>
  <si>
    <t>升级城堡至9级</t>
  </si>
  <si>
    <t>BranchLineTaskConf_10026190_taskName_GL_Main</t>
  </si>
  <si>
    <t>BranchLineTaskConf_20123014_taskName_GL_Main</t>
  </si>
  <si>
    <t>TID_BranchLineTaskConf_20123014_taskName_GL_Main</t>
  </si>
  <si>
    <t>BranchLineTaskConf_20123015_taskName_GL_Main</t>
  </si>
  <si>
    <t>TID_BranchLineTaskConf_20123015_taskName_GL_Main</t>
  </si>
  <si>
    <t>BranchLineTaskConf_20123016_taskName_GL_Main</t>
  </si>
  <si>
    <t>BranchLineTaskConf_20123017_taskName_GL_Main</t>
  </si>
  <si>
    <t>TID_BranchLineTaskConf_20123017_taskName_GL_Main</t>
  </si>
  <si>
    <t>BranchLineTaskConf_10026240_taskName_GL_Main</t>
  </si>
  <si>
    <t>TID_BranchLineTaskConf_10026240_taskName_GL_Main</t>
  </si>
  <si>
    <t>升级城堡至10级</t>
  </si>
  <si>
    <t>BranchLineTaskConf_10026250_taskName_GL_Main</t>
  </si>
  <si>
    <t>BranchLineTaskConf_20123018_taskName_GL_Main</t>
  </si>
  <si>
    <t>TID_BranchLineTaskConf_20123018_taskName_GL_Main</t>
  </si>
  <si>
    <t>BranchLineTaskConf_20123019_taskName_GL_Main</t>
  </si>
  <si>
    <t>TID_BranchLineTaskConf_20123019_taskName_GL_Main</t>
  </si>
  <si>
    <t>BranchLineTaskConf_20123020_taskName_GL_Main</t>
  </si>
  <si>
    <t>BranchLineTaskConf_20123021_taskName_GL_Main</t>
  </si>
  <si>
    <t>TID_BranchLineTaskConf_20123021_taskName_GL_Main</t>
  </si>
  <si>
    <t>BranchLineTaskConf_10026310_taskName_GL_Main</t>
  </si>
  <si>
    <t>TID_BranchLineTaskConf_10026310_taskName_GL_Main</t>
  </si>
  <si>
    <t>升级城堡至11级</t>
  </si>
  <si>
    <t>BranchLineTaskConf_10026320_taskName_GL_Main</t>
  </si>
  <si>
    <t>BranchLineTaskConf_20123023_taskName_GL_Main</t>
  </si>
  <si>
    <t>TID_BranchLineTaskConf_20123023_taskName_GL_Main</t>
  </si>
  <si>
    <t>BranchLineTaskConf_20123024_taskName_GL_Main</t>
  </si>
  <si>
    <t>TID_BranchLineTaskConf_20123024_taskName_GL_Main</t>
  </si>
  <si>
    <t>BranchLineTaskConf_20123025_taskName_GL_Main</t>
  </si>
  <si>
    <t>BranchLineTaskConf_20123026_taskName_GL_Main</t>
  </si>
  <si>
    <t>TID_BranchLineTaskConf_20123026_taskName_GL_Main</t>
  </si>
  <si>
    <t>BranchLineTaskConf_20123027_taskName_GL_Main</t>
  </si>
  <si>
    <t>TID_BranchLineTaskConf_20123027_taskName_GL_Main</t>
  </si>
  <si>
    <t>BranchLineTaskConf_10026380_taskName_GL_Main</t>
  </si>
  <si>
    <t>TID_BranchLineTaskConf_10026380_taskName_GL_Main</t>
  </si>
  <si>
    <t>升级城堡至12级</t>
  </si>
  <si>
    <t>BranchLineTaskConf_10026390_taskName_GL_Main</t>
  </si>
  <si>
    <t>BranchLineTaskConf_20123028_taskName_GL_Main</t>
  </si>
  <si>
    <t>TID_BranchLineTaskConf_20123028_taskName_GL_Main</t>
  </si>
  <si>
    <t>BranchLineTaskConf_20123029_taskName_GL_Main</t>
  </si>
  <si>
    <t>TID_BranchLineTaskConf_20123029_taskName_GL_Main</t>
  </si>
  <si>
    <t>BranchLineTaskConf_20123030_taskName_GL_Main</t>
  </si>
  <si>
    <t>BranchLineTaskConf_20123031_taskName_GL_Main</t>
  </si>
  <si>
    <t>TID_BranchLineTaskConf_20123031_taskName_GL_Main</t>
  </si>
  <si>
    <t>BranchLineTaskConf_20123032_taskName_GL_Main</t>
  </si>
  <si>
    <t>TID_BranchLineTaskConf_20123032_taskName_GL_Main</t>
  </si>
  <si>
    <t>BranchLineTaskConf_10026450_taskName_GL_Main</t>
  </si>
  <si>
    <t>TID_BranchLineTaskConf_10026450_taskName_GL_Main</t>
  </si>
  <si>
    <t>升级城堡至13级</t>
  </si>
  <si>
    <t>BranchLineTaskConf_10026460_taskName_GL_Main</t>
  </si>
  <si>
    <t>BranchLineTaskConf_20123033_taskName_GL_Main</t>
  </si>
  <si>
    <t>TID_BranchLineTaskConf_20123033_taskName_GL_Main</t>
  </si>
  <si>
    <t>BranchLineTaskConf_20123034_taskName_GL_Main</t>
  </si>
  <si>
    <t>TID_BranchLineTaskConf_20123034_taskName_GL_Main</t>
  </si>
  <si>
    <t>BranchLineTaskConf_20123035_taskName_GL_Main</t>
  </si>
  <si>
    <t>BranchLineTaskConf_20123036_taskName_GL_Main</t>
  </si>
  <si>
    <t>TID_BranchLineTaskConf_20123036_taskName_GL_Main</t>
  </si>
  <si>
    <t>BranchLineTaskConf_20123037_taskName_GL_Main</t>
  </si>
  <si>
    <t>TID_BranchLineTaskConf_20123037_taskName_GL_Main</t>
  </si>
  <si>
    <t>BranchLineTaskConf_10026520_taskName_GL_Main</t>
  </si>
  <si>
    <t>TID_BranchLineTaskConf_10026520_taskName_GL_Main</t>
  </si>
  <si>
    <t>升级城堡至14级</t>
  </si>
  <si>
    <t>BranchLineTaskConf_10026530_taskName_GL_Main</t>
  </si>
  <si>
    <t>BranchLineTaskConf_20123038_taskName_GL_Main</t>
  </si>
  <si>
    <t>TID_BranchLineTaskConf_20123038_taskName_GL_Main</t>
  </si>
  <si>
    <t>BranchLineTaskConf_20123039_taskName_GL_Main</t>
  </si>
  <si>
    <t>TID_BranchLineTaskConf_20123039_taskName_GL_Main</t>
  </si>
  <si>
    <t>BranchLineTaskConf_20123040_taskName_GL_Main</t>
  </si>
  <si>
    <t>BranchLineTaskConf_20123041_taskName_GL_Main</t>
  </si>
  <si>
    <t>TID_BranchLineTaskConf_20123041_taskName_GL_Main</t>
  </si>
  <si>
    <t>BranchLineTaskConf_20123042_taskName_GL_Main</t>
  </si>
  <si>
    <t>TID_BranchLineTaskConf_20123042_taskName_GL_Main</t>
  </si>
  <si>
    <t>BranchLineTaskConf_10026590_taskName_GL_Main</t>
  </si>
  <si>
    <t>TID_BranchLineTaskConf_10026590_taskName_GL_Main</t>
  </si>
  <si>
    <t>升级城堡至15级</t>
  </si>
  <si>
    <t>BranchLineTaskConf_10026600_taskName_GL_Main</t>
  </si>
  <si>
    <t>BranchLineTaskConf_20123043_taskName_GL_Main</t>
  </si>
  <si>
    <t>TID_BranchLineTaskConf_20123043_taskName_GL_Main</t>
  </si>
  <si>
    <t>BranchLineTaskConf_20123044_taskName_GL_Main</t>
  </si>
  <si>
    <t>TID_BranchLineTaskConf_20123044_taskName_GL_Main</t>
  </si>
  <si>
    <t>BranchLineTaskConf_20123045_taskName_GL_Main</t>
  </si>
  <si>
    <t>BranchLineTaskConf_20123046_taskName_GL_Main</t>
  </si>
  <si>
    <t>TID_BranchLineTaskConf_20123046_taskName_GL_Main</t>
  </si>
  <si>
    <t>BranchLineTaskConf_20123047_taskName_GL_Main</t>
  </si>
  <si>
    <t>TID_BranchLineTaskConf_20123047_taskName_GL_Main</t>
  </si>
  <si>
    <t>BranchLineTaskConf_10026660_taskName_GL_Main</t>
  </si>
  <si>
    <t>TID_BranchLineTaskConf_10026660_taskName_GL_Main</t>
  </si>
  <si>
    <t>升级城堡至16级</t>
  </si>
  <si>
    <t>BranchLineTaskConf_10026670_taskName_GL_Main</t>
  </si>
  <si>
    <t>BranchLineTaskConf_20123048_taskName_GL_Main</t>
  </si>
  <si>
    <t>TID_BranchLineTaskConf_20123048_taskName_GL_Main</t>
  </si>
  <si>
    <t>BranchLineTaskConf_20123049_taskName_GL_Main</t>
  </si>
  <si>
    <t>TID_BranchLineTaskConf_20123049_taskName_GL_Main</t>
  </si>
  <si>
    <t>BranchLineTaskConf_20123050_taskName_GL_Main</t>
  </si>
  <si>
    <t>BranchLineTaskConf_20123051_taskName_GL_Main</t>
  </si>
  <si>
    <t>TID_BranchLineTaskConf_20123051_taskName_GL_Main</t>
  </si>
  <si>
    <t>BranchLineTaskConf_20123052_taskName_GL_Main</t>
  </si>
  <si>
    <t>TID_BranchLineTaskConf_20123052_taskName_GL_Main</t>
  </si>
  <si>
    <t>BranchLineTaskConf_10026730_taskName_GL_Main</t>
  </si>
  <si>
    <t>TID_BranchLineTaskConf_10026730_taskName_GL_Main</t>
  </si>
  <si>
    <t>升级城堡至17级</t>
  </si>
  <si>
    <t>BranchLineTaskConf_10026740_taskName_GL_Main</t>
  </si>
  <si>
    <t>TID_BranchLineTaskConf_10026740_taskName_GL_Main</t>
  </si>
  <si>
    <t>BranchLineTaskConf_20123053_taskName_GL_Main</t>
  </si>
  <si>
    <t>TID_BranchLineTaskConf_20123053_taskName_GL_Main</t>
  </si>
  <si>
    <t>BranchLineTaskConf_20123054_taskName_GL_Main</t>
  </si>
  <si>
    <t>TID_BranchLineTaskConf_20123054_taskName_GL_Main</t>
  </si>
  <si>
    <t>BranchLineTaskConf_20123055_taskName_GL_Main</t>
  </si>
  <si>
    <t>BranchLineTaskConf_20123056_taskName_GL_Main</t>
  </si>
  <si>
    <t>TID_BranchLineTaskConf_20123056_taskName_GL_Main</t>
  </si>
  <si>
    <t>BranchLineTaskConf_20123057_taskName_GL_Main</t>
  </si>
  <si>
    <t>TID_BranchLineTaskConf_20123057_taskName_GL_Main</t>
  </si>
  <si>
    <t>BranchLineTaskConf_10026800_taskName_GL_Main</t>
  </si>
  <si>
    <t>TID_BranchLineTaskConf_10026800_taskName_GL_Main</t>
  </si>
  <si>
    <t>升级城堡至18级</t>
  </si>
  <si>
    <t>BranchLineTaskConf_10026810_taskName_GL_Main</t>
  </si>
  <si>
    <t>TID_BranchLineTaskConf_10026810_taskName_GL_Main</t>
  </si>
  <si>
    <t>BranchLineTaskConf_20123058_taskName_GL_Main</t>
  </si>
  <si>
    <t>TID_BranchLineTaskConf_20123058_taskName_GL_Main</t>
  </si>
  <si>
    <t>BranchLineTaskConf_20123059_taskName_GL_Main</t>
  </si>
  <si>
    <t>TID_BranchLineTaskConf_20123059_taskName_GL_Main</t>
  </si>
  <si>
    <t>BranchLineTaskConf_20123060_taskName_GL_Main</t>
  </si>
  <si>
    <t>BranchLineTaskConf_20123061_taskName_GL_Main</t>
  </si>
  <si>
    <t>TID_BranchLineTaskConf_20123061_taskName_GL_Main</t>
  </si>
  <si>
    <t>BranchLineTaskConf_20123062_taskName_GL_Main</t>
  </si>
  <si>
    <t>TID_BranchLineTaskConf_20123062_taskName_GL_Main</t>
  </si>
  <si>
    <t>BranchLineTaskConf_10026870_taskName_GL_Main</t>
  </si>
  <si>
    <t>TID_BranchLineTaskConf_10026870_taskName_GL_Main</t>
  </si>
  <si>
    <t>升级城堡至19级</t>
  </si>
  <si>
    <t>BranchLineTaskConf_10026880_taskName_GL_Main</t>
  </si>
  <si>
    <t>TID_BranchLineTaskConf_10026880_taskName_GL_Main</t>
  </si>
  <si>
    <t>BranchLineTaskConf_20123063_taskName_GL_Main</t>
  </si>
  <si>
    <t>TID_BranchLineTaskConf_20123063_taskName_GL_Main</t>
  </si>
  <si>
    <t>BranchLineTaskConf_20123064_taskName_GL_Main</t>
  </si>
  <si>
    <t>TID_BranchLineTaskConf_20123064_taskName_GL_Main</t>
  </si>
  <si>
    <t>BranchLineTaskConf_20123065_taskName_GL_Main</t>
  </si>
  <si>
    <t>BranchLineTaskConf_20123066_taskName_GL_Main</t>
  </si>
  <si>
    <t>TID_BranchLineTaskConf_20123066_taskName_GL_Main</t>
  </si>
  <si>
    <t>BranchLineTaskConf_20123067_taskName_GL_Main</t>
  </si>
  <si>
    <t>TID_BranchLineTaskConf_20123067_taskName_GL_Main</t>
  </si>
  <si>
    <t>BranchLineTaskConf_10026940_taskName_GL_Main</t>
  </si>
  <si>
    <t>TID_BranchLineTaskConf_10026940_taskName_GL_Main</t>
  </si>
  <si>
    <t>升级城堡至20级</t>
  </si>
  <si>
    <t>BranchLineTaskConf_10026950_taskName_GL_Main</t>
  </si>
  <si>
    <t>TID_BranchLineTaskConf_10026950_taskName_GL_Main</t>
  </si>
  <si>
    <t>BranchLineTaskConf_20123068_taskName_GL_Main</t>
  </si>
  <si>
    <t>TID_BranchLineTaskConf_20123068_taskName_GL_Main</t>
  </si>
  <si>
    <t>BranchLineTaskConf_20123069_taskName_GL_Main</t>
  </si>
  <si>
    <t>TID_BranchLineTaskConf_20123069_taskName_GL_Main</t>
  </si>
  <si>
    <t>BranchLineTaskConf_20123070_taskName_GL_Main</t>
  </si>
  <si>
    <t>BranchLineTaskConf_20123071_taskName_GL_Main</t>
  </si>
  <si>
    <t>TID_BranchLineTaskConf_20123071_taskName_GL_Main</t>
  </si>
  <si>
    <t>BranchLineTaskConf_20123072_taskName_GL_Main</t>
  </si>
  <si>
    <t>TID_BranchLineTaskConf_20123072_taskName_GL_Main</t>
  </si>
  <si>
    <t>完成</t>
    <phoneticPr fontId="16" type="noConversion"/>
  </si>
  <si>
    <t>TID_BranchLineTaskConf_10001160_01_taskName_GL_Main</t>
    <phoneticPr fontId="16" type="noConversion"/>
  </si>
  <si>
    <t>次未知探索事件</t>
    <phoneticPr fontId="16" type="noConversion"/>
  </si>
  <si>
    <t>explorationFinishCount { recordHistory:true, count: 1 }</t>
    <phoneticPr fontId="16" type="noConversion"/>
  </si>
  <si>
    <t>探照灯等级到达</t>
    <phoneticPr fontId="16" type="noConversion"/>
  </si>
  <si>
    <t>级</t>
    <phoneticPr fontId="16" type="noConversion"/>
  </si>
  <si>
    <t>TID_BranchLineTaskConf_10001170_03_taskName_GL_Main</t>
  </si>
  <si>
    <t>TID_BranchLineTaskConf_10001170_04_taskName_GL_Main</t>
  </si>
  <si>
    <t>TID_BranchLineTaskConf_10001170_05_taskName_GL_Main</t>
  </si>
  <si>
    <t>TID_BranchLineTaskConf_10001170_06_taskName_GL_Main</t>
  </si>
  <si>
    <t>TID_BranchLineTaskConf_10001170_07_taskName_GL_Main</t>
  </si>
  <si>
    <t>TID_BranchLineTaskConf_10001170_08_taskName_GL_Main</t>
  </si>
  <si>
    <t>TID_BranchLineTaskConf_10001170_09_taskName_GL_Main</t>
  </si>
  <si>
    <t>TID_BranchLineTaskConf_10001170_10_taskName_GL_Main</t>
  </si>
  <si>
    <t>TID_BranchLineTaskConf_10001170_11_taskName_GL_Main</t>
  </si>
  <si>
    <t>TID_BranchLineTaskConf_10001170_12_taskName_GL_Main</t>
  </si>
  <si>
    <t>TID_BranchLineTaskConf_10001170_13_taskName_GL_Main</t>
  </si>
  <si>
    <t>TID_BranchLineTaskConf_10001170_14_taskName_GL_Main</t>
  </si>
  <si>
    <t>TID_BranchLineTaskConf_10001170_15_taskName_GL_Main</t>
  </si>
  <si>
    <t>TID_BranchLineTaskConf_10001170_16_taskName_GL_Main</t>
  </si>
  <si>
    <t>TID_BranchLineTaskConf_10001170_17_taskName_GL_Main</t>
  </si>
  <si>
    <t>TID_BranchLineTaskConf_10001170_18_taskName_GL_Main</t>
  </si>
  <si>
    <t>TID_BranchLineTaskConf_10001170_19_taskName_GL_Main</t>
  </si>
  <si>
    <t>TID_BranchLineTaskConf_10001170_20_taskName_GL_Main</t>
  </si>
  <si>
    <t>TID_BranchLineTaskConf_10001160_02_taskName_GL_Main</t>
  </si>
  <si>
    <t>TID_BranchLineTaskConf_10001160_03_taskName_GL_Main</t>
  </si>
  <si>
    <t>TID_BranchLineTaskConf_10001160_04_taskName_GL_Main</t>
  </si>
  <si>
    <t>TID_BranchLineTaskConf_10001160_05_taskName_GL_Main</t>
  </si>
  <si>
    <t>TID_BranchLineTaskConf_10001160_06_taskName_GL_Main</t>
  </si>
  <si>
    <t>TID_BranchLineTaskConf_10001160_07_taskName_GL_Main</t>
  </si>
  <si>
    <t>TID_BranchLineTaskConf_10001160_08_taskName_GL_Main</t>
  </si>
  <si>
    <t>TID_BranchLineTaskConf_10001160_09_taskName_GL_Main</t>
  </si>
  <si>
    <t>TID_BranchLineTaskConf_10001160_10_taskName_GL_Main</t>
  </si>
  <si>
    <t>TID_BranchLineTaskConf_10001160_11_taskName_GL_Main</t>
  </si>
  <si>
    <t>TID_BranchLineTaskConf_10001160_12_taskName_GL_Main</t>
  </si>
  <si>
    <t>TID_BranchLineTaskConf_10001160_13_taskName_GL_Main</t>
  </si>
  <si>
    <t>TID_BranchLineTaskConf_10001160_14_taskName_GL_Main</t>
  </si>
  <si>
    <t>TID_BranchLineTaskConf_10001160_15_taskName_GL_Main</t>
  </si>
  <si>
    <t>TID_BranchLineTaskConf_10001160_16_taskName_GL_Main</t>
  </si>
  <si>
    <t>TID_BranchLineTaskConf_10001160_17_taskName_GL_Main</t>
  </si>
  <si>
    <t>TID_BranchLineTaskConf_10001160_18_taskName_GL_Main</t>
  </si>
  <si>
    <t>TID_BranchLineTaskConf_10001160_19_taskName_GL_Main</t>
  </si>
  <si>
    <t>TID_BranchLineTaskConf_10001160_20_taskName_GL_Main</t>
  </si>
  <si>
    <t>TID_BranchLineTaskConf_10001160_21_taskName_GL_Main</t>
  </si>
  <si>
    <t>explorationFinishCount { recordHistory:true, count: @@@ }</t>
    <phoneticPr fontId="16" type="noConversion"/>
  </si>
  <si>
    <t xml:space="preserve">explorationLevel { level: @@@ } </t>
    <phoneticPr fontId="16" type="noConversion"/>
  </si>
  <si>
    <t>taskReward{taskId:@@@}</t>
    <phoneticPr fontId="16" type="noConversion"/>
  </si>
  <si>
    <t>TID_BranchLineTaskConf_10001160_22_taskName_GL_Main</t>
  </si>
  <si>
    <t>TID_BranchLineTaskConf_10001160_23_taskName_GL_Main</t>
  </si>
  <si>
    <t>TID_BranchLineTaskConf_10001160_24_taskName_GL_Main</t>
  </si>
  <si>
    <t>TID_BranchLineTaskConf_10001160_25_taskName_GL_Main</t>
  </si>
  <si>
    <t>TID_BranchLineTaskConf_10001160_26_taskName_GL_Main</t>
  </si>
  <si>
    <t>TID_BranchLineTaskConf_10001160_27_taskName_GL_Main</t>
  </si>
  <si>
    <t>TID_BranchLineTaskConf_10001160_28_taskName_GL_Main</t>
  </si>
  <si>
    <t>TID_BranchLineTaskConf_10001160_29_taskName_GL_Main</t>
  </si>
  <si>
    <t>TID_BranchLineTaskConf_10001160_30_taskName_GL_Main</t>
  </si>
  <si>
    <t>TID_BranchLineTaskConf_10001160_31_taskName_GL_Main</t>
  </si>
  <si>
    <t>完成1次未知探索事件</t>
  </si>
  <si>
    <t>探照灯等级到达1级</t>
  </si>
  <si>
    <t>探照灯等级到达2级</t>
  </si>
  <si>
    <t>探照灯等级到达4级</t>
  </si>
  <si>
    <t>探照灯等级到达5级</t>
  </si>
  <si>
    <t>探照灯等级到达6级</t>
  </si>
  <si>
    <t>探照灯等级到达7级</t>
  </si>
  <si>
    <t>探照灯等级到达8级</t>
  </si>
  <si>
    <t>探照灯等级到达9级</t>
  </si>
  <si>
    <t>探照灯等级到达10级</t>
  </si>
  <si>
    <t>探照灯等级到达11级</t>
  </si>
  <si>
    <t>探照灯等级到达12级</t>
  </si>
  <si>
    <t>探照灯等级到达13级</t>
  </si>
  <si>
    <t>探照灯等级到达14级</t>
  </si>
  <si>
    <t>探照灯等级到达15级</t>
  </si>
  <si>
    <t>探照灯等级到达16级</t>
  </si>
  <si>
    <t>探照灯等级到达17级</t>
  </si>
  <si>
    <t>探照灯等级到达18级</t>
  </si>
  <si>
    <t>探照灯等级到达19级</t>
  </si>
  <si>
    <t>探照灯等级到达20级</t>
  </si>
  <si>
    <t>探照灯等级到达3级</t>
    <phoneticPr fontId="16" type="noConversion"/>
  </si>
  <si>
    <t>完成5次未知探索事件</t>
  </si>
  <si>
    <t>完成10次未知探索事件</t>
  </si>
  <si>
    <t>完成15次未知探索事件</t>
  </si>
  <si>
    <t>完成20次未知探索事件</t>
  </si>
  <si>
    <t>完成25次未知探索事件</t>
  </si>
  <si>
    <t>完成30次未知探索事件</t>
  </si>
  <si>
    <t>完成35次未知探索事件</t>
  </si>
  <si>
    <t>完成40次未知探索事件</t>
  </si>
  <si>
    <t>完成45次未知探索事件</t>
  </si>
  <si>
    <t>完成50次未知探索事件</t>
  </si>
  <si>
    <t>完成55次未知探索事件</t>
  </si>
  <si>
    <t>完成60次未知探索事件</t>
  </si>
  <si>
    <t>完成65次未知探索事件</t>
  </si>
  <si>
    <t>完成70次未知探索事件</t>
  </si>
  <si>
    <t>完成75次未知探索事件</t>
  </si>
  <si>
    <t>完成80次未知探索事件</t>
  </si>
  <si>
    <t>完成85次未知探索事件</t>
  </si>
  <si>
    <t>完成90次未知探索事件</t>
  </si>
  <si>
    <t>完成95次未知探索事件</t>
  </si>
  <si>
    <t>完成100次未知探索事件</t>
  </si>
  <si>
    <t>完成105次未知探索事件</t>
  </si>
  <si>
    <t>完成110次未知探索事件</t>
  </si>
  <si>
    <t>完成115次未知探索事件</t>
  </si>
  <si>
    <t>完成120次未知探索事件</t>
  </si>
  <si>
    <t>完成125次未知探索事件</t>
  </si>
  <si>
    <t>完成130次未知探索事件</t>
  </si>
  <si>
    <t>完成135次未知探索事件</t>
  </si>
  <si>
    <t>完成140次未知探索事件</t>
  </si>
  <si>
    <t>完成145次未知探索事件</t>
  </si>
  <si>
    <t>完成150次未知探索事件</t>
  </si>
  <si>
    <t>TID_BranchLineTaskConf_20113007_taskName_GL_Main</t>
    <phoneticPr fontId="16" type="noConversion"/>
  </si>
  <si>
    <t>clientClick{taskId:10001120}</t>
    <phoneticPr fontId="16" type="noConversion"/>
  </si>
  <si>
    <t>TID_BranchLineTaskConf_10001170_02_taskName_GL_Main</t>
    <phoneticPr fontId="16" type="noConversion"/>
  </si>
  <si>
    <t>buildingLevelUpNow{buildingType:400,buildingWantLevel:1}</t>
    <phoneticPr fontId="16" type="noConversion"/>
  </si>
  <si>
    <t>个玺戒</t>
  </si>
  <si>
    <t>查看玺戒装备界面</t>
  </si>
  <si>
    <t>查看玺戒装备界面</t>
    <phoneticPr fontId="16" type="noConversion"/>
  </si>
  <si>
    <t>TID_BranchLineTaskConf_11701020_1_taskName_GL_Main</t>
    <phoneticPr fontId="16" type="noConversion"/>
  </si>
  <si>
    <t>装备1个玺戒</t>
  </si>
  <si>
    <t>TID_BranchLineTaskConf_11701020_2_taskName_GL_Main</t>
    <phoneticPr fontId="16" type="noConversion"/>
  </si>
  <si>
    <t xml:space="preserve"> soldierTrain{soldierLevel:1,value:@@@}</t>
    <phoneticPr fontId="16" type="noConversion"/>
  </si>
  <si>
    <t>升级1个玺戒到</t>
    <phoneticPr fontId="16" type="noConversion"/>
  </si>
  <si>
    <t>TID_BranchLineTaskConf_10035010_1_taskName_GL_Main</t>
    <phoneticPr fontId="16" type="noConversion"/>
  </si>
  <si>
    <t>TID_BranchLineTaskConf_10035010_2_taskName_GL_Main</t>
    <phoneticPr fontId="16" type="noConversion"/>
  </si>
  <si>
    <t>TID_BranchLineTaskConf_10035010_3_taskName_GL_Main</t>
  </si>
  <si>
    <t>TID_BranchLineTaskConf_10035010_4_taskName_GL_Main</t>
  </si>
  <si>
    <t>TID_BranchLineTaskConf_10035010_5_taskName_GL_Main</t>
  </si>
  <si>
    <t>TID_BranchLineTaskConf_10035010_6_taskName_GL_Main</t>
  </si>
  <si>
    <t>TID_BranchLineTaskConf_10035010_7_taskName_GL_Main</t>
  </si>
  <si>
    <t>TID_BranchLineTaskConf_10035010_8_taskName_GL_Main</t>
  </si>
  <si>
    <t>TID_BranchLineTaskConf_10035010_9_taskName_GL_Main</t>
  </si>
  <si>
    <t>升级1个玺戒到4级</t>
  </si>
  <si>
    <t>升级1个玺戒到9级</t>
  </si>
  <si>
    <t>升级1个玺戒到10级</t>
  </si>
  <si>
    <t>升级1个玺戒到14级</t>
  </si>
  <si>
    <t>升级1个玺戒到19级</t>
  </si>
  <si>
    <t>升级1个玺戒到20级</t>
  </si>
  <si>
    <t>升级1个玺戒到24级</t>
  </si>
  <si>
    <t>升级1个玺戒到29级</t>
  </si>
  <si>
    <t>升级1个玺戒到30级</t>
  </si>
  <si>
    <t>equipmentLvUp{level:@@@,num:1}</t>
    <phoneticPr fontId="16" type="noConversion"/>
  </si>
  <si>
    <t>装备</t>
    <phoneticPr fontId="16" type="noConversion"/>
  </si>
  <si>
    <t>heroEquipEquipment{heroId:0,equipmentId:0}</t>
    <phoneticPr fontId="16" type="noConversion"/>
  </si>
  <si>
    <t>milestoneOpen{milestoneId:15}</t>
    <phoneticPr fontId="16" type="noConversion"/>
  </si>
  <si>
    <t>buildingLevelUp{buildingType:201,buildingLevel:18}</t>
  </si>
  <si>
    <t>clientClick{taskId:10001180}</t>
    <phoneticPr fontId="16" type="noConversion"/>
  </si>
  <si>
    <t>taskReward{taskId:10001190}</t>
    <phoneticPr fontId="16" type="noConversion"/>
  </si>
  <si>
    <t>TID_BranchLineTaskConfSpecial_204_1_taskName_GL_Main</t>
    <phoneticPr fontId="16" type="noConversion"/>
  </si>
  <si>
    <t>common.rewardId</t>
    <phoneticPr fontId="16" type="noConversion"/>
  </si>
  <si>
    <t>替换奖励{检测是否完成的任务id;替换的奖励}</t>
  </si>
  <si>
    <t>common.replaceReward{taskId;replaceRewardId}</t>
  </si>
  <si>
    <t>TID_BranchLineTaskConf_10001200_1_taskName_GL_Main</t>
    <phoneticPr fontId="16" type="noConversion"/>
  </si>
  <si>
    <t>次“海岛战弈“玩法</t>
    <phoneticPr fontId="16" type="noConversion"/>
  </si>
  <si>
    <t>完成1次“海岛战弈“玩法</t>
  </si>
  <si>
    <t>babelTowerLevelReach{level:@@@,stage:6}</t>
    <phoneticPr fontId="16" type="noConversion"/>
  </si>
  <si>
    <t>TID_BranchLineTaskConf_10510104_taskName_GL_Main</t>
    <phoneticPr fontId="16" type="noConversion"/>
  </si>
  <si>
    <t>TID_BranchLineTaskConf_10410115_taskName_GL_Main</t>
    <phoneticPr fontId="16" type="noConversion"/>
  </si>
  <si>
    <t>升级居民房舍至</t>
    <phoneticPr fontId="16" type="noConversion"/>
  </si>
  <si>
    <t>升级城墙至</t>
    <phoneticPr fontId="16" type="noConversion"/>
  </si>
  <si>
    <t>TID_BranchLineTaskConf_10401020_taskName_GL_Main</t>
    <phoneticPr fontId="16" type="noConversion"/>
  </si>
  <si>
    <t>升级剑士营至</t>
    <phoneticPr fontId="16" type="noConversion"/>
  </si>
  <si>
    <t>升级酒馆至</t>
    <phoneticPr fontId="16" type="noConversion"/>
  </si>
  <si>
    <t>TID_BranchLineTaskConf_10410105_taskName_GL_Main</t>
    <phoneticPr fontId="16" type="noConversion"/>
  </si>
  <si>
    <t>前往城外探查</t>
    <phoneticPr fontId="16" type="noConversion"/>
  </si>
  <si>
    <t>TID_ExploreSubTaskConf_667212_taskName_GL_Main_spe</t>
    <phoneticPr fontId="16" type="noConversion"/>
  </si>
  <si>
    <t>TID_BranchLineTaskConf_10410118_taskName_GL_Main</t>
    <phoneticPr fontId="16" type="noConversion"/>
  </si>
  <si>
    <t>TID_BranchLineTaskConf_10012040_taskName_GL_Main</t>
    <phoneticPr fontId="16" type="noConversion"/>
  </si>
  <si>
    <t>TID_BranchLineTaskConf_10012020_taskName_GL_Main</t>
    <phoneticPr fontId="16" type="noConversion"/>
  </si>
  <si>
    <t>TID_BranchLineTaskConf_10012030_taskName_GL_Main</t>
    <phoneticPr fontId="16" type="noConversion"/>
  </si>
  <si>
    <t>TID_BranchLineTaskConf_10012050_taskName_GL_Main</t>
    <phoneticPr fontId="16" type="noConversion"/>
  </si>
  <si>
    <t>TID_BranchLineTaskConf_10001140_01_taskName_GL_Main</t>
  </si>
  <si>
    <t>进入“英雄远征”界面</t>
  </si>
  <si>
    <t>进入“英雄远征”界面1次</t>
  </si>
  <si>
    <t>clientClick{taskId:10001140}</t>
  </si>
  <si>
    <t>跳转到主界面【英雄征战-战地幸存者】按钮</t>
  </si>
  <si>
    <t>完成战地幸存者第1关</t>
  </si>
  <si>
    <t>TID_BranchLineTaskConf_peasant_1_taskName_GL_Main</t>
    <phoneticPr fontId="16" type="noConversion"/>
  </si>
  <si>
    <t>通过经验书升级任意英雄至</t>
    <phoneticPr fontId="16" type="noConversion"/>
  </si>
  <si>
    <t>训练农民到16名</t>
    <phoneticPr fontId="16" type="noConversion"/>
  </si>
  <si>
    <t>statisticReach{type:"InnerPeasantTrainEvent",value:16}</t>
    <phoneticPr fontId="16" type="noConversion"/>
  </si>
  <si>
    <t>TID_BranchLineTaskConf_10601031_taskName_GL_Main</t>
    <phoneticPr fontId="16" type="noConversion"/>
  </si>
  <si>
    <t>派遣农民进伐木场</t>
    <phoneticPr fontId="16" type="noConversion"/>
  </si>
  <si>
    <t>deployedFarmerToBuildingResource{cityElementType:204,value:1}</t>
    <phoneticPr fontId="16" type="noConversion"/>
  </si>
  <si>
    <t>升级伐木场至</t>
    <phoneticPr fontId="16" type="noConversion"/>
  </si>
  <si>
    <t>buildingLevelUp{buildingType:204,buildingLevel:@@@}</t>
    <phoneticPr fontId="16" type="noConversion"/>
  </si>
  <si>
    <t>TID_BranchLineTaskConf_20000001_03_taskName_GL_Main</t>
    <phoneticPr fontId="16" type="noConversion"/>
  </si>
  <si>
    <t>完成海岛战弈第</t>
    <phoneticPr fontId="16" type="noConversion"/>
  </si>
  <si>
    <t>关</t>
    <phoneticPr fontId="16" type="noConversion"/>
  </si>
  <si>
    <t>TID_BranchLineTaskConfSpecial_203_1_taskName_GL_Main</t>
    <phoneticPr fontId="16" type="noConversion"/>
  </si>
  <si>
    <t>升级磨坊至</t>
    <phoneticPr fontId="16" type="noConversion"/>
  </si>
  <si>
    <t>buildingLevelUp{buildingType:203,buildingLevel:@@@}</t>
    <phoneticPr fontId="16" type="noConversion"/>
  </si>
  <si>
    <t>TID_BranchLineTaskConf_20000001_04_taskName_GL_Main</t>
    <phoneticPr fontId="16" type="noConversion"/>
  </si>
  <si>
    <t>TID_BranchLineTaskConf_10510114_taskName_GL_Main</t>
    <phoneticPr fontId="16" type="noConversion"/>
  </si>
  <si>
    <t>TID_BranchLineTaskConf_30000001_01_taskName_GL_Main</t>
    <phoneticPr fontId="16" type="noConversion"/>
  </si>
  <si>
    <t>TID_BranchLineTaskConf_30000001_02_taskName_GL_Main</t>
    <phoneticPr fontId="16" type="noConversion"/>
  </si>
  <si>
    <t>TID_BranchLineTaskConf_10014010_taskName_GL_Main</t>
    <phoneticPr fontId="16" type="noConversion"/>
  </si>
  <si>
    <t>TID_BranchLineTaskConf_10410111_taskName_GL_Main</t>
    <phoneticPr fontId="16" type="noConversion"/>
  </si>
  <si>
    <t>建造</t>
    <phoneticPr fontId="16" type="noConversion"/>
  </si>
  <si>
    <t>TID_BranchLineTaskConf_peasant_2_taskName_GL_Main</t>
    <phoneticPr fontId="16" type="noConversion"/>
  </si>
  <si>
    <t>训练农民到17名</t>
    <phoneticPr fontId="16" type="noConversion"/>
  </si>
  <si>
    <t>TID_BranchLineTaskConf_10401141_taskName_GL_Main</t>
    <phoneticPr fontId="16" type="noConversion"/>
  </si>
  <si>
    <t>派遣农民进采石场</t>
    <phoneticPr fontId="16" type="noConversion"/>
  </si>
  <si>
    <t>清剿</t>
    <phoneticPr fontId="16" type="noConversion"/>
  </si>
  <si>
    <t>TID_BranchLineTaskConf_10910101_taskName_GL_Main</t>
    <phoneticPr fontId="16" type="noConversion"/>
  </si>
  <si>
    <t>TID_BranchLineTaskConf_400_0_taskName_GL_Main</t>
    <phoneticPr fontId="16" type="noConversion"/>
  </si>
  <si>
    <t>TID_BranchLineTaskConf_215_3_taskName_GL_Main</t>
    <phoneticPr fontId="16" type="noConversion"/>
  </si>
  <si>
    <t>TID_BranchLineTaskConf_10610113_taskName_GL_Main</t>
    <phoneticPr fontId="16" type="noConversion"/>
  </si>
  <si>
    <t>升级城镇中心至</t>
    <phoneticPr fontId="16" type="noConversion"/>
  </si>
  <si>
    <t>TID_BranchLineTaskConf_10710102_taskName_GL_Main</t>
    <phoneticPr fontId="16" type="noConversion"/>
  </si>
  <si>
    <t>在码头进行捕鱼</t>
    <phoneticPr fontId="16" type="noConversion"/>
  </si>
  <si>
    <t>TID_BranchLineTaskConf_203_21_taskName_GL_Main</t>
    <phoneticPr fontId="16" type="noConversion"/>
  </si>
  <si>
    <t>TID_BranchLineTaskConf_215_4_taskName_GL_Main</t>
    <phoneticPr fontId="16" type="noConversion"/>
  </si>
  <si>
    <t>TID_BranchLineTaskConfSpecial_206_1_taskName_GL_Main</t>
    <phoneticPr fontId="16" type="noConversion"/>
  </si>
  <si>
    <t>TID_BranchLineTaskConf_10710112_taskName_GL_Main</t>
    <phoneticPr fontId="16" type="noConversion"/>
  </si>
  <si>
    <t>TID_BranchLineTaskConf_10810101_taskName_GL_Main</t>
    <phoneticPr fontId="16" type="noConversion"/>
  </si>
  <si>
    <t>TID_BranchLineTaskConf_215_5_taskName_GL_Main</t>
    <phoneticPr fontId="16" type="noConversion"/>
  </si>
  <si>
    <t>TID_BranchLineTaskConf_10810111_taskName_GL_Main</t>
    <phoneticPr fontId="16" type="noConversion"/>
  </si>
  <si>
    <t>TID_BranchLineTaskConf_10510116_2_taskName_GL_Main</t>
    <phoneticPr fontId="16" type="noConversion"/>
  </si>
  <si>
    <t>任意英雄等级提升至</t>
    <phoneticPr fontId="16" type="noConversion"/>
  </si>
  <si>
    <t>TID_BranchLineTaskConf_peasant_3_taskName_GL_Main</t>
    <phoneticPr fontId="16" type="noConversion"/>
  </si>
  <si>
    <t>TID_BranchLineTaskConf_211_8_taskName_GL_Main</t>
    <phoneticPr fontId="16" type="noConversion"/>
  </si>
  <si>
    <t>TID_BranchLineTaskConf_215_6_taskName_GL_Main</t>
    <phoneticPr fontId="16" type="noConversion"/>
  </si>
  <si>
    <t>TID_BranchLineTaskConf_10910113_taskName_GL_Main</t>
    <phoneticPr fontId="16" type="noConversion"/>
  </si>
  <si>
    <t>TID_BranchLineTaskConf_10910114_taskName_GL_Main</t>
    <phoneticPr fontId="16" type="noConversion"/>
  </si>
  <si>
    <t>升级至</t>
    <phoneticPr fontId="16" type="noConversion"/>
  </si>
  <si>
    <t>任意英雄固有技能升级至</t>
    <phoneticPr fontId="16" type="noConversion"/>
  </si>
  <si>
    <t>任意2个英雄等级提升至10级</t>
    <phoneticPr fontId="16" type="noConversion"/>
  </si>
  <si>
    <t>备注：新手期结束右下角只有三个hud按键，需要先暂时用到联盟的跳转才能跳到英雄上</t>
    <phoneticPr fontId="16" type="noConversion"/>
  </si>
  <si>
    <t>taskComplete{taskId:667710}</t>
    <phoneticPr fontId="16" type="noConversion"/>
  </si>
  <si>
    <t>Gem_Guide4</t>
    <phoneticPr fontId="16" type="noConversion"/>
  </si>
  <si>
    <t>次宝石镶嵌</t>
    <phoneticPr fontId="16" type="noConversion"/>
  </si>
  <si>
    <t>Gem_Guide9</t>
    <phoneticPr fontId="16" type="noConversion"/>
  </si>
  <si>
    <t>次宝石合成</t>
    <phoneticPr fontId="16" type="noConversion"/>
  </si>
  <si>
    <t>heroGearGemOn{num:@@@}</t>
    <phoneticPr fontId="16" type="noConversion"/>
  </si>
  <si>
    <t>完成1次宝石镶嵌</t>
  </si>
  <si>
    <t>完成1次宝石合成</t>
  </si>
  <si>
    <t>taskComplete{taskId:10001210}</t>
    <phoneticPr fontId="16" type="noConversion"/>
  </si>
  <si>
    <t>TID_BranchLineTaskConf_20000001_01_taskName_GL_Main</t>
    <phoneticPr fontId="16" type="noConversion"/>
  </si>
  <si>
    <t>TID_BranchLineTaskConf_20000001_02_taskName_GL_Main</t>
    <phoneticPr fontId="16" type="noConversion"/>
  </si>
  <si>
    <t>taskComplete{taskId:100014}</t>
    <phoneticPr fontId="16" type="noConversion"/>
  </si>
  <si>
    <t>buildingSum{buildingType:211,sum:1}</t>
    <phoneticPr fontId="16" type="noConversion"/>
  </si>
  <si>
    <t>heroLevelUp{heroId:0,level:@@@}</t>
    <phoneticPr fontId="16" type="noConversion"/>
  </si>
  <si>
    <t>autoChessPassLevel { level: @@@,value:1}</t>
    <phoneticPr fontId="16" type="noConversion"/>
  </si>
  <si>
    <t>itemAdd{itemType:IT_GearGem,reason:ICR_GearGemCombine,num:@@@}</t>
    <phoneticPr fontId="16" type="noConversion"/>
  </si>
  <si>
    <t>autoChessFinish { level: 1}</t>
    <phoneticPr fontId="16" type="noConversion"/>
  </si>
  <si>
    <t>TID_BranchLineTaskConf_20000001_06_taskName_GL_Main</t>
    <phoneticPr fontId="16" type="noConversion"/>
  </si>
  <si>
    <t>TID_BranchLineTaskConf_20000001_08_taskName_GL_Main</t>
    <phoneticPr fontId="16" type="noConversion"/>
  </si>
  <si>
    <t>TID_BranchLineTaskConf_20000001_10_taskName_GL_Main</t>
    <phoneticPr fontId="16" type="noConversion"/>
  </si>
  <si>
    <t>isMainTaskLine</t>
    <phoneticPr fontId="16" type="noConversion"/>
  </si>
  <si>
    <t>是否是主线任务</t>
    <phoneticPr fontId="16" type="noConversion"/>
  </si>
  <si>
    <t>buildingLevelUp{buildingType:228,buildingLevel:18}</t>
    <phoneticPr fontId="16" type="noConversion"/>
  </si>
  <si>
    <t>TID_BranchLineTaskConf_10001230_1_taskName_GL_Main</t>
    <phoneticPr fontId="16" type="noConversion"/>
  </si>
  <si>
    <t>个铁匠铺</t>
    <phoneticPr fontId="16" type="noConversion"/>
  </si>
  <si>
    <t>civilLevelUp{age:3,complete:1}</t>
    <phoneticPr fontId="16" type="noConversion"/>
  </si>
  <si>
    <t>buildingLevelUp{buildingType:201,buildingLevel:15}</t>
    <phoneticPr fontId="16" type="noConversion"/>
  </si>
  <si>
    <t>buildingLevelUp{buildingType:228,buildingLevel:1}</t>
  </si>
  <si>
    <t>建造1个铁匠铺</t>
    <phoneticPr fontId="16" type="noConversion"/>
  </si>
  <si>
    <t>milestoneOpen{milestoneId:7}</t>
    <phoneticPr fontId="16" type="noConversion"/>
  </si>
  <si>
    <t>buildingLevelUp{buildingType:201,buildingLevel:8}</t>
    <phoneticPr fontId="16" type="noConversion"/>
  </si>
  <si>
    <t>次至高竞技场</t>
    <phoneticPr fontId="16" type="noConversion"/>
  </si>
  <si>
    <t>common.jumpTo</t>
    <phoneticPr fontId="16" type="noConversion"/>
  </si>
  <si>
    <t>跳转id</t>
    <phoneticPr fontId="16" type="noConversion"/>
  </si>
  <si>
    <t>common.resTriggerConditionGroup.conditionRelation</t>
    <phoneticPr fontId="16" type="noConversion"/>
  </si>
  <si>
    <t>TID_BranchLineTaskConf_10410121_taskName_GL_Main</t>
    <phoneticPr fontId="16" type="noConversion"/>
  </si>
  <si>
    <t>TID_BranchLineTaskConf_10401030_2_taskName_GL_Main</t>
    <phoneticPr fontId="16" type="noConversion"/>
  </si>
  <si>
    <t>TID_BranchLineTaskConf_10410121_1_taskName_GL_Main</t>
    <phoneticPr fontId="16" type="noConversion"/>
  </si>
  <si>
    <t>buildingLevelUpNow{buildingType:201,buildingWantLevel:20}</t>
    <phoneticPr fontId="16" type="noConversion"/>
  </si>
  <si>
    <t>buildingLevelUpNow{buildingType:237,buildingWantLevel:5}</t>
    <phoneticPr fontId="16" type="noConversion"/>
  </si>
  <si>
    <t>showRatioTotal</t>
    <phoneticPr fontId="16" type="noConversion"/>
  </si>
  <si>
    <t>showRatioFinish</t>
    <phoneticPr fontId="16" type="noConversion"/>
  </si>
  <si>
    <t>任务进度显示比例(已完成)</t>
    <phoneticPr fontId="16" type="noConversion"/>
  </si>
  <si>
    <t>任务进度显示比例(总数)</t>
    <phoneticPr fontId="16" type="noConversion"/>
  </si>
  <si>
    <t>soldierTrain{soldierType1:SNV_Swordsman,soldierLevel:0,value:1}</t>
    <phoneticPr fontId="16" type="noConversion"/>
  </si>
  <si>
    <t>buildingLevelUp{buildingType:237,buildingLevel:5}</t>
    <phoneticPr fontId="16" type="noConversion"/>
  </si>
  <si>
    <t>条件或</t>
    <phoneticPr fontId="16" type="noConversion"/>
  </si>
  <si>
    <t>TID_BranchLineTaskConf_10001250_1_taskName_GL_Main</t>
    <phoneticPr fontId="16" type="noConversion"/>
  </si>
  <si>
    <t>个佣兵营地</t>
    <phoneticPr fontId="16" type="noConversion"/>
  </si>
  <si>
    <t>TID_BranchLineTaskConf_10001260_1_taskName_GL_Main</t>
    <phoneticPr fontId="16" type="noConversion"/>
  </si>
  <si>
    <t>部队使用任意佣兵</t>
    <phoneticPr fontId="16" type="noConversion"/>
  </si>
  <si>
    <t>taskComplete{taskId:10001250}</t>
    <phoneticPr fontId="16" type="noConversion"/>
  </si>
  <si>
    <t>buildingLevelUp{buildingType:410,buildingLevel:1}</t>
    <phoneticPr fontId="16" type="noConversion"/>
  </si>
  <si>
    <t>城堡科技里程碑到达</t>
    <phoneticPr fontId="16" type="noConversion"/>
  </si>
  <si>
    <t>taskComplete{taskId:10001240}</t>
    <phoneticPr fontId="16" type="noConversion"/>
  </si>
  <si>
    <t>newCastleTechMilestone{mileStoneId: @@@ }</t>
    <phoneticPr fontId="16" type="noConversion"/>
  </si>
  <si>
    <t>城堡科技里程碑到达1级</t>
  </si>
  <si>
    <t>城堡科技里程碑到达2级</t>
  </si>
  <si>
    <t>城堡科技里程碑到达3级</t>
  </si>
  <si>
    <t>城堡科技里程碑到达4级</t>
  </si>
  <si>
    <t>城堡科技里程碑到达5级</t>
  </si>
  <si>
    <t>城堡科技里程碑到达6级</t>
  </si>
  <si>
    <t>城堡科技里程碑到达7级</t>
  </si>
  <si>
    <t>城堡科技里程碑到达8级</t>
  </si>
  <si>
    <t>城堡科技里程碑到达9级</t>
  </si>
  <si>
    <t>城堡科技里程碑到达10级</t>
  </si>
  <si>
    <t>城堡科技里程碑到达11级</t>
  </si>
  <si>
    <t>城堡科技里程碑到达12级</t>
  </si>
  <si>
    <t>城堡科技里程碑到达13级</t>
  </si>
  <si>
    <t>城堡科技里程碑到达14级</t>
  </si>
  <si>
    <t>城堡科技里程碑到达15级</t>
  </si>
  <si>
    <t>generalProcess{event:PET_UseMercenary,count:1}</t>
    <phoneticPr fontId="16" type="noConversion"/>
  </si>
  <si>
    <t>buildingLevelUp{buildingType:201,buildingLevel:26}</t>
    <phoneticPr fontId="16" type="noConversion"/>
  </si>
  <si>
    <t>researchNewCastleTech{techId:40008,techLv:1}</t>
    <phoneticPr fontId="16" type="noConversion"/>
  </si>
  <si>
    <t>TID_BranchLineTaskConf_10036010_1_taskName_GL_Main</t>
  </si>
  <si>
    <t>TID_BranchLineTaskConf_10036020_1_taskName_GL_Main</t>
  </si>
  <si>
    <t>TID_BranchLineTaskConf_10036030_1_taskName_GL_Main</t>
  </si>
  <si>
    <t>TID_BranchLineTaskConf_10036040_1_taskName_GL_Main</t>
  </si>
  <si>
    <t>TID_BranchLineTaskConf_10036050_1_taskName_GL_Main</t>
  </si>
  <si>
    <t>TID_BranchLineTaskConf_10036060_1_taskName_GL_Main</t>
  </si>
  <si>
    <t>TID_BranchLineTaskConf_10036070_1_taskName_GL_Main</t>
  </si>
  <si>
    <t>TID_BranchLineTaskConf_10036080_1_taskName_GL_Main</t>
  </si>
  <si>
    <t>TID_BranchLineTaskConf_10036090_1_taskName_GL_Main</t>
  </si>
  <si>
    <t>TID_BranchLineTaskConf_10036100_1_taskName_GL_Main</t>
  </si>
  <si>
    <t>TID_BranchLineTaskConf_10036110_1_taskName_GL_Main</t>
  </si>
  <si>
    <t>TID_BranchLineTaskConf_10036120_1_taskName_GL_Main</t>
  </si>
  <si>
    <t>TID_BranchLineTaskConf_10036130_1_taskName_GL_Main</t>
  </si>
  <si>
    <t>TID_BranchLineTaskConf_10036140_1_taskName_GL_Main</t>
  </si>
  <si>
    <t>TID_BranchLineTaskConf_10036150_1_taskName_GL_Main</t>
  </si>
  <si>
    <t>查看装扮图鉴</t>
    <phoneticPr fontId="16" type="noConversion"/>
  </si>
  <si>
    <t>TID_BranchLineTaskConf_10001270_1_taskName_GL_Main</t>
    <phoneticPr fontId="16" type="noConversion"/>
  </si>
  <si>
    <t>civilLevelUp{age:2,complete:1}</t>
    <phoneticPr fontId="16" type="noConversion"/>
  </si>
  <si>
    <t>taskComplete{taskId:20009001}</t>
    <phoneticPr fontId="16" type="noConversion"/>
  </si>
  <si>
    <t>TID_BranchLineTaskConf_10001240_2_taskName_GL_Main</t>
    <phoneticPr fontId="16" type="noConversion"/>
  </si>
  <si>
    <t>查看城堡设施-佣兵营地</t>
    <phoneticPr fontId="16" type="noConversion"/>
  </si>
  <si>
    <t>clientClick{taskId:10001240}</t>
    <phoneticPr fontId="16" type="noConversion"/>
  </si>
  <si>
    <t>TID_BranchLineTaskConf_10001280_1_taskName_GL_Main</t>
    <phoneticPr fontId="16" type="noConversion"/>
  </si>
  <si>
    <t>查看佣兵技术</t>
    <phoneticPr fontId="16" type="noConversion"/>
  </si>
  <si>
    <t>clientClick{taskId:10001280}</t>
    <phoneticPr fontId="16" type="noConversion"/>
  </si>
  <si>
    <t>[启程之光]累计招募5次</t>
  </si>
  <si>
    <t>statisticReach{type:"HeroRecruitForTypeEvent2",value:1}</t>
  </si>
  <si>
    <t>是否自动领奖</t>
  </si>
  <si>
    <t>common.isAutoReward</t>
  </si>
  <si>
    <t>isHide</t>
  </si>
  <si>
    <t>alwaysTrue{}</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</si>
</sst>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微软雅黑"/>
      <charset val="134"/>
    </font>
    <font>
      <b/>
      <sz val="11"/>
      <color theme="0"/>
      <name val="微软雅黑"/>
      <family val="2"/>
      <charset val="134"/>
    </font>
    <font>
      <sz val="11"/>
      <color rgb="FF000000"/>
      <name val="微软雅黑"/>
      <family val="2"/>
      <charset val="134"/>
    </font>
    <font>
      <b/>
      <sz val="11"/>
      <color theme="0"/>
      <name val="等线"/>
      <family val="3"/>
      <charset val="134"/>
      <scheme val="minor"/>
    </font>
    <font>
      <sz val="11"/>
      <color theme="1"/>
      <name val="等线"/>
      <family val="3"/>
      <charset val="134"/>
      <scheme val="minor"/>
    </font>
    <font>
      <sz val="11"/>
      <color indexed="8"/>
      <name val="微软雅黑"/>
      <family val="2"/>
      <charset val="134"/>
    </font>
    <font>
      <sz val="11"/>
      <name val="微软雅黑"/>
      <family val="2"/>
      <charset val="134"/>
    </font>
    <font>
      <b/>
      <sz val="11"/>
      <color indexed="8"/>
      <name val="微软雅黑"/>
      <family val="2"/>
      <charset val="134"/>
    </font>
    <font>
      <sz val="10"/>
      <color rgb="FF000000"/>
      <name val="微软雅黑"/>
      <family val="2"/>
      <charset val="134"/>
    </font>
    <font>
      <sz val="10"/>
      <name val="微软雅黑"/>
      <family val="2"/>
      <charset val="134"/>
    </font>
    <font>
      <b/>
      <sz val="11"/>
      <color rgb="FF0000FF"/>
      <name val="微软雅黑"/>
      <family val="2"/>
      <charset val="134"/>
    </font>
    <font>
      <b/>
      <sz val="11"/>
      <color rgb="FFFA7D00"/>
      <name val="等线"/>
      <family val="3"/>
      <charset val="134"/>
      <scheme val="minor"/>
    </font>
    <font>
      <sz val="11"/>
      <color rgb="FF000000"/>
      <name val="等线"/>
      <family val="3"/>
      <charset val="134"/>
      <scheme val="minor"/>
    </font>
    <font>
      <sz val="9"/>
      <name val="宋体"/>
      <family val="3"/>
      <charset val="134"/>
    </font>
    <font>
      <b/>
      <sz val="9"/>
      <name val="宋体"/>
      <family val="3"/>
      <charset val="134"/>
    </font>
    <font>
      <sz val="11"/>
      <color theme="1"/>
      <name val="微软雅黑"/>
      <family val="2"/>
      <charset val="134"/>
    </font>
    <font>
      <sz val="9"/>
      <name val="微软雅黑"/>
      <family val="2"/>
      <charset val="134"/>
    </font>
    <font>
      <sz val="11"/>
      <color rgb="FFFF0000"/>
      <name val="微软雅黑"/>
      <family val="2"/>
      <charset val="134"/>
    </font>
    <font>
      <sz val="11"/>
      <color theme="0"/>
      <name val="微软雅黑"/>
      <family val="2"/>
      <charset val="134"/>
    </font>
    <font>
      <b/>
      <sz val="10"/>
      <color theme="0"/>
      <name val="微软雅黑"/>
      <family val="2"/>
      <charset val="134"/>
    </font>
    <font>
      <sz val="10"/>
      <color theme="1"/>
      <name val="微软雅黑"/>
      <family val="2"/>
      <charset val="134"/>
    </font>
  </fonts>
  <fills count="25">
    <fill>
      <patternFill patternType="none"/>
    </fill>
    <fill>
      <patternFill patternType="gray125"/>
    </fill>
    <fill>
      <patternFill patternType="solid">
        <fgColor theme="1"/>
        <bgColor indexed="64"/>
      </patternFill>
    </fill>
    <fill>
      <patternFill patternType="solid">
        <fgColor theme="8" tint="-0.499984740745262"/>
        <bgColor indexed="64"/>
      </patternFill>
    </fill>
    <fill>
      <patternFill patternType="solid">
        <fgColor theme="4" tint="0.79992065187536243"/>
        <bgColor indexed="64"/>
      </patternFill>
    </fill>
    <fill>
      <patternFill patternType="solid">
        <fgColor theme="0"/>
        <bgColor indexed="64"/>
      </patternFill>
    </fill>
    <fill>
      <patternFill patternType="solid">
        <fgColor theme="9" tint="0.79992065187536243"/>
        <bgColor indexed="64"/>
      </patternFill>
    </fill>
    <fill>
      <patternFill patternType="solid">
        <fgColor theme="5" tint="0.79992065187536243"/>
        <bgColor indexed="64"/>
      </patternFill>
    </fill>
    <fill>
      <patternFill patternType="solid">
        <fgColor theme="7" tint="0.79992065187536243"/>
        <bgColor indexed="64"/>
      </patternFill>
    </fill>
    <fill>
      <patternFill patternType="solid">
        <fgColor theme="4" tint="-0.499984740745262"/>
        <bgColor indexed="64"/>
      </patternFill>
    </fill>
    <fill>
      <patternFill patternType="solid">
        <fgColor theme="5" tint="-0.249977111117893"/>
        <bgColor indexed="64"/>
      </patternFill>
    </fill>
    <fill>
      <patternFill patternType="solid">
        <fgColor theme="8" tint="0.79995117038483843"/>
        <bgColor indexed="64"/>
      </patternFill>
    </fill>
    <fill>
      <patternFill patternType="solid">
        <fgColor theme="9" tint="0.59999389629810485"/>
        <bgColor indexed="64"/>
      </patternFill>
    </fill>
    <fill>
      <patternFill patternType="solid">
        <fgColor rgb="FF00B0F0"/>
        <bgColor indexed="64"/>
      </patternFill>
    </fill>
    <fill>
      <patternFill patternType="solid">
        <fgColor theme="3" tint="0.39991454817346722"/>
        <bgColor indexed="64"/>
      </patternFill>
    </fill>
    <fill>
      <patternFill patternType="solid">
        <fgColor rgb="FFFFFF00"/>
        <bgColor indexed="64"/>
      </patternFill>
    </fill>
    <fill>
      <patternFill patternType="solid">
        <fgColor theme="3" tint="0.59999389629810485"/>
        <bgColor indexed="64"/>
      </patternFill>
    </fill>
    <fill>
      <patternFill patternType="solid">
        <fgColor rgb="FFF2F2F2"/>
        <bgColor indexed="64"/>
      </patternFill>
    </fill>
    <fill>
      <patternFill patternType="solid">
        <fgColor rgb="FFA5A5A5"/>
        <bgColor indexed="64"/>
      </patternFill>
    </fill>
    <fill>
      <patternFill patternType="solid">
        <fgColor rgb="FFFF0000"/>
        <bgColor indexed="64"/>
      </patternFill>
    </fill>
    <fill>
      <patternFill patternType="solid">
        <fgColor theme="1" tint="0.14999847407452621"/>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8" tint="0.79998168889431442"/>
        <bgColor indexed="64"/>
      </patternFill>
    </fill>
    <fill>
      <patternFill patternType="solid">
        <fgColor theme="0" tint="-0.34998626667073579"/>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7">
    <xf numFmtId="0" fontId="0" fillId="0" borderId="0"/>
    <xf numFmtId="0" fontId="11" fillId="17" borderId="2" applyNumberFormat="0" applyAlignment="0" applyProtection="0">
      <alignment vertical="center"/>
    </xf>
    <xf numFmtId="0" fontId="3" fillId="18" borderId="3">
      <alignment vertical="center"/>
    </xf>
    <xf numFmtId="0" fontId="4" fillId="0" borderId="0"/>
    <xf numFmtId="0" fontId="4" fillId="0" borderId="0"/>
    <xf numFmtId="0" fontId="3" fillId="18" borderId="3">
      <alignment vertical="center"/>
    </xf>
    <xf numFmtId="0" fontId="15" fillId="0" borderId="0"/>
  </cellStyleXfs>
  <cellXfs count="108">
    <xf numFmtId="0" fontId="0" fillId="0" borderId="0" xfId="0"/>
    <xf numFmtId="0" fontId="1" fillId="2" borderId="1" xfId="0" applyFont="1" applyFill="1" applyBorder="1" applyAlignment="1">
      <alignment horizontal="left"/>
    </xf>
    <xf numFmtId="0" fontId="1" fillId="3" borderId="1" xfId="0" applyFont="1" applyFill="1" applyBorder="1" applyAlignment="1">
      <alignment horizontal="left"/>
    </xf>
    <xf numFmtId="0" fontId="0" fillId="4" borderId="1" xfId="0" applyFont="1" applyFill="1" applyBorder="1" applyAlignment="1">
      <alignment horizontal="left"/>
    </xf>
    <xf numFmtId="0" fontId="0" fillId="0" borderId="1" xfId="0" applyFont="1" applyBorder="1" applyAlignment="1">
      <alignment horizontal="left"/>
    </xf>
    <xf numFmtId="0" fontId="1" fillId="3" borderId="1" xfId="0" applyFont="1" applyFill="1" applyBorder="1" applyAlignment="1">
      <alignment horizontal="center"/>
    </xf>
    <xf numFmtId="0" fontId="0" fillId="4" borderId="1" xfId="0" applyFont="1" applyFill="1" applyBorder="1" applyAlignment="1">
      <alignment horizontal="center"/>
    </xf>
    <xf numFmtId="0" fontId="2" fillId="4" borderId="1" xfId="0" applyFont="1" applyFill="1" applyBorder="1" applyAlignment="1">
      <alignment horizontal="left" vertical="center"/>
    </xf>
    <xf numFmtId="0" fontId="0" fillId="5" borderId="1" xfId="0" applyFont="1" applyFill="1" applyBorder="1" applyAlignment="1">
      <alignment horizontal="left"/>
    </xf>
    <xf numFmtId="0" fontId="1" fillId="2" borderId="1" xfId="0" applyFont="1" applyFill="1" applyBorder="1"/>
    <xf numFmtId="0" fontId="1" fillId="3" borderId="1" xfId="0" applyFont="1" applyFill="1" applyBorder="1"/>
    <xf numFmtId="0" fontId="0" fillId="4" borderId="1" xfId="0" applyFont="1" applyFill="1" applyBorder="1"/>
    <xf numFmtId="0" fontId="0" fillId="0" borderId="1" xfId="0" applyFont="1" applyBorder="1"/>
    <xf numFmtId="0" fontId="3" fillId="2" borderId="1" xfId="0" applyFont="1" applyFill="1" applyBorder="1" applyAlignment="1">
      <alignment horizontal="left"/>
    </xf>
    <xf numFmtId="0" fontId="3" fillId="3" borderId="1" xfId="0" applyFont="1" applyFill="1" applyBorder="1" applyAlignment="1">
      <alignment horizontal="left"/>
    </xf>
    <xf numFmtId="0" fontId="4" fillId="4" borderId="1" xfId="0" applyFont="1" applyFill="1" applyBorder="1" applyAlignment="1">
      <alignment horizontal="left"/>
    </xf>
    <xf numFmtId="0" fontId="4" fillId="0" borderId="1" xfId="0" applyFont="1" applyBorder="1" applyAlignment="1">
      <alignment horizontal="left"/>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0" fillId="4" borderId="1" xfId="0" applyFont="1" applyFill="1" applyBorder="1" applyAlignment="1">
      <alignment horizontal="left" vertical="center"/>
    </xf>
    <xf numFmtId="0" fontId="0" fillId="0" borderId="1" xfId="0" applyFont="1" applyBorder="1" applyAlignment="1">
      <alignment horizontal="left"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0" fillId="6" borderId="1" xfId="0" applyFont="1" applyFill="1" applyBorder="1" applyAlignment="1">
      <alignment horizontal="left"/>
    </xf>
    <xf numFmtId="0" fontId="0" fillId="6" borderId="1" xfId="0" applyFont="1" applyFill="1" applyBorder="1" applyAlignment="1">
      <alignment horizontal="left" vertical="center"/>
    </xf>
    <xf numFmtId="0" fontId="0" fillId="7" borderId="1" xfId="0" applyFont="1" applyFill="1" applyBorder="1" applyAlignment="1">
      <alignment horizontal="left"/>
    </xf>
    <xf numFmtId="0" fontId="0" fillId="8" borderId="1" xfId="0" applyFont="1" applyFill="1" applyBorder="1" applyAlignment="1">
      <alignment horizontal="left"/>
    </xf>
    <xf numFmtId="0" fontId="1" fillId="9" borderId="0" xfId="0" applyFont="1" applyFill="1"/>
    <xf numFmtId="0" fontId="6" fillId="4" borderId="0" xfId="0" applyFont="1" applyFill="1"/>
    <xf numFmtId="0" fontId="0" fillId="0" borderId="0" xfId="0" applyAlignment="1">
      <alignment horizontal="center"/>
    </xf>
    <xf numFmtId="0" fontId="0" fillId="0" borderId="0" xfId="0" applyAlignment="1">
      <alignment horizontal="left"/>
    </xf>
    <xf numFmtId="0" fontId="1" fillId="2" borderId="1" xfId="0" applyFont="1" applyFill="1" applyBorder="1" applyAlignment="1">
      <alignment horizontal="center"/>
    </xf>
    <xf numFmtId="0" fontId="1" fillId="9" borderId="0" xfId="0" applyFont="1" applyFill="1" applyAlignment="1">
      <alignment horizontal="center"/>
    </xf>
    <xf numFmtId="0" fontId="6" fillId="4" borderId="0" xfId="0" applyFont="1" applyFill="1" applyAlignment="1">
      <alignment horizontal="center"/>
    </xf>
    <xf numFmtId="0" fontId="0" fillId="0" borderId="0" xfId="0" applyFont="1"/>
    <xf numFmtId="0" fontId="1" fillId="10" borderId="0" xfId="0" applyFont="1" applyFill="1" applyAlignment="1">
      <alignment horizontal="left"/>
    </xf>
    <xf numFmtId="0" fontId="6" fillId="4" borderId="0" xfId="0" applyFont="1" applyFill="1" applyAlignment="1">
      <alignment horizontal="left"/>
    </xf>
    <xf numFmtId="0" fontId="0" fillId="0" borderId="0" xfId="0" applyFont="1" applyFill="1" applyAlignment="1">
      <alignment horizontal="left"/>
    </xf>
    <xf numFmtId="0" fontId="0" fillId="11" borderId="1" xfId="0" applyFont="1" applyFill="1" applyBorder="1" applyAlignment="1">
      <alignment horizontal="left"/>
    </xf>
    <xf numFmtId="0" fontId="0" fillId="12" borderId="1" xfId="0" applyFont="1" applyFill="1" applyBorder="1" applyAlignment="1">
      <alignment horizontal="left"/>
    </xf>
    <xf numFmtId="0" fontId="0" fillId="13" borderId="1" xfId="0" applyFont="1" applyFill="1" applyBorder="1" applyAlignment="1">
      <alignment horizontal="left"/>
    </xf>
    <xf numFmtId="0" fontId="5" fillId="11" borderId="1" xfId="0" applyFont="1" applyFill="1" applyBorder="1" applyAlignment="1">
      <alignment horizontal="left" vertical="center"/>
    </xf>
    <xf numFmtId="0" fontId="5" fillId="12" borderId="1" xfId="0" applyFont="1" applyFill="1" applyBorder="1" applyAlignment="1">
      <alignment horizontal="left" vertical="center"/>
    </xf>
    <xf numFmtId="0" fontId="5" fillId="14" borderId="1" xfId="0" applyFont="1" applyFill="1" applyBorder="1" applyAlignment="1">
      <alignment horizontal="left" vertical="center"/>
    </xf>
    <xf numFmtId="0" fontId="5" fillId="13" borderId="1" xfId="0" applyFont="1" applyFill="1" applyBorder="1" applyAlignment="1">
      <alignment horizontal="left" vertical="center"/>
    </xf>
    <xf numFmtId="0" fontId="7" fillId="15" borderId="1" xfId="0" applyFont="1" applyFill="1" applyBorder="1" applyAlignment="1">
      <alignment horizontal="left" vertical="center"/>
    </xf>
    <xf numFmtId="0" fontId="7" fillId="12" borderId="1" xfId="0" applyFont="1" applyFill="1" applyBorder="1" applyAlignment="1">
      <alignment horizontal="left" vertical="center"/>
    </xf>
    <xf numFmtId="0" fontId="8" fillId="5" borderId="1" xfId="0" applyFont="1" applyFill="1" applyBorder="1" applyAlignment="1">
      <alignment horizontal="left" vertical="center"/>
    </xf>
    <xf numFmtId="0" fontId="0" fillId="8" borderId="1" xfId="0" applyFont="1" applyFill="1" applyBorder="1" applyAlignment="1">
      <alignment horizontal="left" vertical="center"/>
    </xf>
    <xf numFmtId="0" fontId="9" fillId="16" borderId="1" xfId="1" applyFont="1" applyFill="1" applyBorder="1" applyAlignment="1">
      <alignment horizontal="left" vertical="center"/>
    </xf>
    <xf numFmtId="0" fontId="2" fillId="6" borderId="1" xfId="0" applyFont="1" applyFill="1" applyBorder="1" applyAlignment="1">
      <alignment horizontal="left" vertical="center"/>
    </xf>
    <xf numFmtId="0" fontId="2" fillId="15" borderId="1" xfId="0" applyFont="1" applyFill="1" applyBorder="1" applyAlignment="1">
      <alignment horizontal="left" vertical="center"/>
    </xf>
    <xf numFmtId="0" fontId="0" fillId="7" borderId="1" xfId="0" applyFont="1" applyFill="1" applyBorder="1" applyAlignment="1">
      <alignment horizontal="left" vertical="center"/>
    </xf>
    <xf numFmtId="0" fontId="6" fillId="8" borderId="1" xfId="2" applyFont="1" applyFill="1" applyBorder="1" applyAlignment="1">
      <alignment horizontal="left" vertical="center"/>
    </xf>
    <xf numFmtId="0" fontId="5" fillId="8" borderId="1" xfId="0" applyFont="1" applyFill="1" applyBorder="1" applyAlignment="1">
      <alignment horizontal="left" vertical="center"/>
    </xf>
    <xf numFmtId="0" fontId="5" fillId="6" borderId="1" xfId="0" applyFont="1" applyFill="1" applyBorder="1" applyAlignment="1">
      <alignment horizontal="left" vertical="center"/>
    </xf>
    <xf numFmtId="0" fontId="10" fillId="8" borderId="1" xfId="0" applyFont="1" applyFill="1" applyBorder="1" applyAlignment="1">
      <alignment horizontal="left" vertical="center"/>
    </xf>
    <xf numFmtId="0" fontId="10" fillId="6" borderId="1" xfId="0" applyFont="1" applyFill="1" applyBorder="1" applyAlignment="1">
      <alignment horizontal="left" vertical="center"/>
    </xf>
    <xf numFmtId="0" fontId="5" fillId="7" borderId="1" xfId="0" applyFont="1" applyFill="1" applyBorder="1" applyAlignment="1">
      <alignment horizontal="left" vertical="center"/>
    </xf>
    <xf numFmtId="0" fontId="15" fillId="6" borderId="1" xfId="0" applyFont="1" applyFill="1" applyBorder="1" applyAlignment="1">
      <alignment horizontal="left" vertical="center"/>
    </xf>
    <xf numFmtId="0" fontId="15" fillId="7" borderId="1" xfId="0" applyFont="1" applyFill="1" applyBorder="1" applyAlignment="1">
      <alignment horizontal="left"/>
    </xf>
    <xf numFmtId="0" fontId="15" fillId="6" borderId="1" xfId="0" applyFont="1" applyFill="1" applyBorder="1" applyAlignment="1">
      <alignment horizontal="left"/>
    </xf>
    <xf numFmtId="0" fontId="15" fillId="0" borderId="1" xfId="0" applyFont="1" applyBorder="1" applyAlignment="1">
      <alignment horizontal="left"/>
    </xf>
    <xf numFmtId="0" fontId="15" fillId="8" borderId="1" xfId="0" applyFont="1" applyFill="1" applyBorder="1" applyAlignment="1">
      <alignment horizontal="left"/>
    </xf>
    <xf numFmtId="0" fontId="15" fillId="11" borderId="1" xfId="0" applyFont="1" applyFill="1" applyBorder="1" applyAlignment="1">
      <alignment horizontal="left"/>
    </xf>
    <xf numFmtId="0" fontId="15" fillId="12" borderId="1" xfId="0" applyFont="1" applyFill="1" applyBorder="1" applyAlignment="1">
      <alignment horizontal="left"/>
    </xf>
    <xf numFmtId="0" fontId="15" fillId="4" borderId="1" xfId="0" applyFont="1" applyFill="1" applyBorder="1" applyAlignment="1">
      <alignment horizontal="left"/>
    </xf>
    <xf numFmtId="0" fontId="17" fillId="11" borderId="1" xfId="0" applyFont="1" applyFill="1" applyBorder="1" applyAlignment="1">
      <alignment horizontal="left"/>
    </xf>
    <xf numFmtId="0" fontId="0" fillId="11" borderId="1" xfId="0" applyFill="1" applyBorder="1" applyAlignment="1">
      <alignment horizontal="left"/>
    </xf>
    <xf numFmtId="0" fontId="15" fillId="0" borderId="1" xfId="6" applyFont="1" applyBorder="1" applyAlignment="1">
      <alignment horizontal="left"/>
    </xf>
    <xf numFmtId="0" fontId="15" fillId="6" borderId="1" xfId="6" applyFont="1" applyFill="1" applyBorder="1" applyAlignment="1">
      <alignment horizontal="left"/>
    </xf>
    <xf numFmtId="0" fontId="15" fillId="6" borderId="1" xfId="6" applyFont="1" applyFill="1" applyBorder="1" applyAlignment="1">
      <alignment horizontal="left" vertical="center"/>
    </xf>
    <xf numFmtId="0" fontId="2" fillId="6" borderId="1" xfId="6" applyFont="1" applyFill="1" applyBorder="1" applyAlignment="1">
      <alignment horizontal="left" vertical="center"/>
    </xf>
    <xf numFmtId="0" fontId="15" fillId="0" borderId="0" xfId="6"/>
    <xf numFmtId="0" fontId="15" fillId="0" borderId="1" xfId="6" applyFont="1" applyBorder="1" applyAlignment="1">
      <alignment horizontal="left" vertical="center"/>
    </xf>
    <xf numFmtId="0" fontId="15" fillId="0" borderId="1" xfId="6" applyBorder="1" applyAlignment="1">
      <alignment horizontal="left" vertical="center"/>
    </xf>
    <xf numFmtId="0" fontId="15" fillId="6" borderId="1" xfId="6" applyFont="1" applyFill="1" applyBorder="1" applyAlignment="1">
      <alignment horizontal="left"/>
    </xf>
    <xf numFmtId="0" fontId="0" fillId="19" borderId="1" xfId="0" applyFont="1" applyFill="1" applyBorder="1" applyAlignment="1">
      <alignment horizontal="left"/>
    </xf>
    <xf numFmtId="0" fontId="18" fillId="20" borderId="1" xfId="0" applyFont="1" applyFill="1" applyBorder="1" applyAlignment="1">
      <alignment horizontal="left"/>
    </xf>
    <xf numFmtId="0" fontId="0" fillId="12" borderId="1" xfId="0" applyFill="1" applyBorder="1" applyAlignment="1">
      <alignment horizontal="left"/>
    </xf>
    <xf numFmtId="0" fontId="15" fillId="0" borderId="1" xfId="0" applyFont="1" applyBorder="1" applyAlignment="1">
      <alignment horizontal="left" vertical="center"/>
    </xf>
    <xf numFmtId="0" fontId="18" fillId="19" borderId="1" xfId="0" applyFont="1" applyFill="1" applyBorder="1" applyAlignment="1">
      <alignment horizontal="left"/>
    </xf>
    <xf numFmtId="0" fontId="0" fillId="21" borderId="1" xfId="0" applyFill="1" applyBorder="1" applyAlignment="1">
      <alignment horizontal="left"/>
    </xf>
    <xf numFmtId="0" fontId="15" fillId="21" borderId="1" xfId="0" applyFont="1" applyFill="1" applyBorder="1" applyAlignment="1">
      <alignment horizontal="left" vertical="center"/>
    </xf>
    <xf numFmtId="0" fontId="0" fillId="21" borderId="1" xfId="0" applyFill="1" applyBorder="1" applyAlignment="1">
      <alignment horizontal="left" vertical="center"/>
    </xf>
    <xf numFmtId="0" fontId="2" fillId="21" borderId="1" xfId="0" applyFont="1" applyFill="1" applyBorder="1" applyAlignment="1">
      <alignment horizontal="left" vertical="center"/>
    </xf>
    <xf numFmtId="0" fontId="15" fillId="21" borderId="1" xfId="0" applyFont="1" applyFill="1" applyBorder="1" applyAlignment="1">
      <alignment horizontal="left"/>
    </xf>
    <xf numFmtId="0" fontId="0" fillId="6" borderId="1" xfId="0" applyFill="1" applyBorder="1" applyAlignment="1">
      <alignment horizontal="left"/>
    </xf>
    <xf numFmtId="0" fontId="0" fillId="0" borderId="1" xfId="0" applyBorder="1" applyAlignment="1">
      <alignment horizontal="left"/>
    </xf>
    <xf numFmtId="0" fontId="0" fillId="24" borderId="1" xfId="0" applyFont="1" applyFill="1" applyBorder="1" applyAlignment="1">
      <alignment horizontal="left"/>
    </xf>
    <xf numFmtId="0" fontId="5" fillId="24" borderId="1" xfId="0" applyFont="1" applyFill="1" applyBorder="1" applyAlignment="1">
      <alignment horizontal="left" vertical="center"/>
    </xf>
    <xf numFmtId="0" fontId="15" fillId="24" borderId="1" xfId="0" applyFont="1" applyFill="1" applyBorder="1" applyAlignment="1">
      <alignment horizontal="left"/>
    </xf>
    <xf numFmtId="0" fontId="17" fillId="24" borderId="1" xfId="0" applyFont="1" applyFill="1" applyBorder="1" applyAlignment="1">
      <alignment horizontal="left"/>
    </xf>
    <xf numFmtId="0" fontId="18" fillId="24" borderId="1" xfId="0" applyFont="1" applyFill="1" applyBorder="1" applyAlignment="1">
      <alignment horizontal="left"/>
    </xf>
    <xf numFmtId="0" fontId="15" fillId="24" borderId="1" xfId="6" applyFont="1" applyFill="1" applyBorder="1" applyAlignment="1">
      <alignment horizontal="left"/>
    </xf>
    <xf numFmtId="0" fontId="15" fillId="11" borderId="1" xfId="6" applyFont="1" applyFill="1" applyBorder="1" applyAlignment="1">
      <alignment horizontal="left"/>
    </xf>
    <xf numFmtId="0" fontId="5" fillId="11" borderId="1" xfId="6" applyFont="1" applyFill="1" applyBorder="1" applyAlignment="1">
      <alignment horizontal="left" vertical="center"/>
    </xf>
    <xf numFmtId="0" fontId="17" fillId="11" borderId="1" xfId="6" applyFont="1" applyFill="1" applyBorder="1" applyAlignment="1">
      <alignment horizontal="left"/>
    </xf>
    <xf numFmtId="0" fontId="15" fillId="11" borderId="1" xfId="6" applyFont="1" applyFill="1" applyBorder="1" applyAlignment="1">
      <alignment horizontal="left"/>
    </xf>
    <xf numFmtId="0" fontId="15" fillId="11" borderId="1" xfId="6" applyFill="1" applyBorder="1" applyAlignment="1">
      <alignment horizontal="left"/>
    </xf>
    <xf numFmtId="0" fontId="1" fillId="2" borderId="1" xfId="6" applyFont="1" applyFill="1" applyBorder="1" applyAlignment="1">
      <alignment horizontal="left"/>
    </xf>
    <xf numFmtId="0" fontId="1" fillId="3" borderId="1" xfId="6" applyFont="1" applyFill="1" applyBorder="1" applyAlignment="1">
      <alignment horizontal="left"/>
    </xf>
    <xf numFmtId="0" fontId="15" fillId="4" borderId="1" xfId="6" applyFont="1" applyFill="1" applyBorder="1" applyAlignment="1">
      <alignment horizontal="left"/>
    </xf>
    <xf numFmtId="0" fontId="15" fillId="11" borderId="1" xfId="6" applyFont="1" applyFill="1" applyBorder="1" applyAlignment="1">
      <alignment horizontal="left"/>
    </xf>
    <xf numFmtId="0" fontId="15" fillId="12" borderId="1" xfId="6" applyFont="1" applyFill="1" applyBorder="1" applyAlignment="1">
      <alignment horizontal="left"/>
    </xf>
    <xf numFmtId="0" fontId="15" fillId="11" borderId="1" xfId="6" applyFill="1" applyBorder="1" applyAlignment="1">
      <alignment horizontal="left"/>
    </xf>
    <xf numFmtId="0" fontId="19" fillId="22" borderId="1" xfId="6" applyFont="1" applyFill="1" applyBorder="1" applyAlignment="1">
      <alignment horizontal="left" vertical="center"/>
    </xf>
    <xf numFmtId="0" fontId="20" fillId="23" borderId="1" xfId="6" applyFont="1" applyFill="1" applyBorder="1" applyAlignment="1">
      <alignment horizontal="left" vertical="center"/>
    </xf>
  </cellXfs>
  <cellStyles count="7">
    <cellStyle name="常规" xfId="0" builtinId="0"/>
    <cellStyle name="常规 2" xfId="3" xr:uid="{00000000-0005-0000-0000-000031000000}"/>
    <cellStyle name="常规 3" xfId="4" xr:uid="{00000000-0005-0000-0000-000032000000}"/>
    <cellStyle name="常规 4" xfId="6" xr:uid="{4516C27A-E763-4325-905C-72892111BA15}"/>
    <cellStyle name="计算" xfId="1" builtinId="22"/>
    <cellStyle name="检查单元格" xfId="2" builtinId="23"/>
    <cellStyle name="检查单元格 2" xfId="5" xr:uid="{00000000-0005-0000-0000-000033000000}"/>
  </cellStyles>
  <dxfs count="5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ameDesigner_NoArt_Global_0921Trunk/common/excel/xls/Share/J_&#30028;&#38754;&#36339;&#3671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GameDesigner_Art_CBT3\common\excel\xls\Share\J_&#30028;&#38754;&#36339;&#36716;.xlsx" TargetMode="External"/><Relationship Id="rId1" Type="http://schemas.openxmlformats.org/officeDocument/2006/relationships/externalLinkPath" Target="/GameDesigner_Art_CBT3/common/excel/xls/Share/J_&#30028;&#38754;&#36339;&#367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界面跳转"/>
      <sheetName val="参数说明表"/>
      <sheetName val="#跳转样例"/>
      <sheetName val="JumpCmd"/>
      <sheetName val="命令说明"/>
      <sheetName val="#建筑表"/>
      <sheetName val="#建筑按钮表"/>
      <sheetName val="#地图按钮"/>
      <sheetName val="#配表参数"/>
    </sheetNames>
    <sheetDataSet>
      <sheetData sheetId="0" refreshError="1">
        <row r="2">
          <cell r="I2" t="str">
            <v>策划备注</v>
          </cell>
          <cell r="J2" t="str">
            <v>ID关联辅助</v>
          </cell>
        </row>
        <row r="4">
          <cell r="I4" t="str">
            <v>跳转到城外(默认为当前屏幕中心位置)</v>
          </cell>
          <cell r="J4">
            <v>1</v>
          </cell>
        </row>
        <row r="5">
          <cell r="I5" t="str">
            <v>跳转野外副本8级怪</v>
          </cell>
          <cell r="J5">
            <v>101</v>
          </cell>
        </row>
        <row r="6">
          <cell r="J6">
            <v>0</v>
          </cell>
        </row>
        <row r="7">
          <cell r="I7" t="str">
            <v>跳转野外副本9级怪</v>
          </cell>
          <cell r="J7">
            <v>102</v>
          </cell>
        </row>
        <row r="8">
          <cell r="J8">
            <v>0</v>
          </cell>
        </row>
        <row r="9">
          <cell r="I9" t="str">
            <v>跳转野外副本9级怪</v>
          </cell>
          <cell r="J9">
            <v>103</v>
          </cell>
        </row>
        <row r="10">
          <cell r="J10">
            <v>0</v>
          </cell>
        </row>
        <row r="11">
          <cell r="I11" t="str">
            <v>跳转野外副本9级怪</v>
          </cell>
          <cell r="J11">
            <v>104</v>
          </cell>
        </row>
        <row r="12">
          <cell r="J12">
            <v>0</v>
          </cell>
        </row>
        <row r="13">
          <cell r="I13" t="str">
            <v>跳转到(已废弃)【城镇中心】展开菜单无箭头</v>
          </cell>
          <cell r="J13">
            <v>201</v>
          </cell>
        </row>
        <row r="14">
          <cell r="I14" t="str">
            <v>跳转到(已废弃)【居民房舍】展开菜单无箭头</v>
          </cell>
          <cell r="J14">
            <v>202</v>
          </cell>
        </row>
        <row r="15">
          <cell r="I15" t="str">
            <v>跳转到(已废弃)【磨坊】展开菜单无箭头</v>
          </cell>
          <cell r="J15">
            <v>203</v>
          </cell>
        </row>
        <row r="16">
          <cell r="I16" t="str">
            <v>跳转到(已废弃)【伐木场】展开菜单无箭头</v>
          </cell>
          <cell r="J16">
            <v>204</v>
          </cell>
        </row>
        <row r="17">
          <cell r="I17" t="str">
            <v>跳转到(已废弃)【石矿场】展开菜单无箭头</v>
          </cell>
          <cell r="J17">
            <v>205</v>
          </cell>
        </row>
        <row r="18">
          <cell r="I18" t="str">
            <v>跳转到(已废弃)【剑士营】展开菜单无箭头</v>
          </cell>
          <cell r="J18">
            <v>206</v>
          </cell>
        </row>
        <row r="19">
          <cell r="I19" t="str">
            <v>跳转到(已废弃)【农田】展开菜单无箭头</v>
          </cell>
          <cell r="J19">
            <v>207</v>
          </cell>
        </row>
        <row r="20">
          <cell r="I20" t="str">
            <v>跳转到(已废弃)【城堡】展开菜单无箭头</v>
          </cell>
          <cell r="J20">
            <v>208</v>
          </cell>
        </row>
        <row r="21">
          <cell r="I21" t="str">
            <v>跳转到(已废弃)【马厩】展开菜单无箭头</v>
          </cell>
          <cell r="J21">
            <v>209</v>
          </cell>
        </row>
        <row r="22">
          <cell r="I22" t="str">
            <v>跳转到(已废弃)【学院】展开菜单无箭头</v>
          </cell>
          <cell r="J22">
            <v>211</v>
          </cell>
        </row>
        <row r="23">
          <cell r="I23" t="str">
            <v>跳转到(已废弃)【校场】展开菜单无箭头</v>
          </cell>
          <cell r="J23">
            <v>212</v>
          </cell>
        </row>
        <row r="24">
          <cell r="I24" t="str">
            <v>跳转到(已废弃)【码头】展开菜单无箭头</v>
          </cell>
          <cell r="J24">
            <v>213</v>
          </cell>
        </row>
        <row r="25">
          <cell r="I25" t="str">
            <v>跳转到(已废弃)【城墙】展开菜单无箭头</v>
          </cell>
          <cell r="J25">
            <v>215</v>
          </cell>
        </row>
        <row r="26">
          <cell r="I26" t="str">
            <v>跳转到(已废弃)【治疗房舍】展开菜单无箭头</v>
          </cell>
          <cell r="J26">
            <v>222</v>
          </cell>
        </row>
        <row r="27">
          <cell r="I27" t="str">
            <v>跳转到(已废弃)【征兵房舍】展开菜单无箭头</v>
          </cell>
          <cell r="J27">
            <v>223</v>
          </cell>
        </row>
        <row r="28">
          <cell r="I28" t="str">
            <v>跳转到(已废弃)【射箭场】展开菜单无箭头</v>
          </cell>
          <cell r="J28">
            <v>224</v>
          </cell>
        </row>
        <row r="29">
          <cell r="I29" t="str">
            <v>跳转到(已废弃)【瞭望塔】展开菜单无箭头</v>
          </cell>
          <cell r="J29">
            <v>226</v>
          </cell>
        </row>
        <row r="30">
          <cell r="I30" t="str">
            <v>跳转到(已废弃)【防卫塔】展开菜单无箭头</v>
          </cell>
          <cell r="J30">
            <v>227</v>
          </cell>
        </row>
        <row r="31">
          <cell r="I31" t="str">
            <v>跳转到(已废弃)【战争大厅】展开菜单无箭头</v>
          </cell>
          <cell r="J31">
            <v>229</v>
          </cell>
        </row>
        <row r="32">
          <cell r="I32" t="str">
            <v>跳转到(已废弃)【大使馆】展开菜单无箭头</v>
          </cell>
          <cell r="J32">
            <v>230</v>
          </cell>
        </row>
        <row r="33">
          <cell r="I33" t="str">
            <v>跳转到(已废弃)【市集】展开菜单无箭头</v>
          </cell>
          <cell r="J33">
            <v>231</v>
          </cell>
        </row>
        <row r="34">
          <cell r="I34" t="str">
            <v>跳转到(已废弃)【枪兵营】展开菜单无箭头</v>
          </cell>
          <cell r="J34">
            <v>232</v>
          </cell>
        </row>
        <row r="35">
          <cell r="I35" t="str">
            <v>跳转到(已废弃)【博物馆】展开菜单无箭头</v>
          </cell>
          <cell r="J35">
            <v>233</v>
          </cell>
        </row>
        <row r="36">
          <cell r="I36" t="str">
            <v>跳转到(已废弃)【金矿场】展开菜单无箭头</v>
          </cell>
          <cell r="J36">
            <v>234</v>
          </cell>
        </row>
        <row r="37">
          <cell r="I37" t="str">
            <v>跳转到(已废弃)【旅店】展开菜单无箭头</v>
          </cell>
          <cell r="J37">
            <v>237</v>
          </cell>
        </row>
        <row r="38">
          <cell r="I38" t="str">
            <v>跳转到(已废弃)【旅店】展开菜单无箭头</v>
          </cell>
          <cell r="J38">
            <v>239</v>
          </cell>
        </row>
        <row r="39">
          <cell r="I39" t="str">
            <v>跳转到(已废弃)【旅店】展开菜单无箭头</v>
          </cell>
          <cell r="J39">
            <v>240</v>
          </cell>
        </row>
        <row r="40">
          <cell r="I40" t="str">
            <v>跳转到(已废弃)【旅店】展开菜单无箭头</v>
          </cell>
          <cell r="J40">
            <v>241</v>
          </cell>
        </row>
        <row r="41">
          <cell r="I41" t="str">
            <v>跳转到(已废弃)【市集】展开菜单无箭头</v>
          </cell>
          <cell r="J41">
            <v>242</v>
          </cell>
        </row>
        <row r="42">
          <cell r="I42" t="str">
            <v>跳转到(已废弃)【市集】展开菜单无箭头</v>
          </cell>
          <cell r="J42">
            <v>243</v>
          </cell>
        </row>
        <row r="43">
          <cell r="I43" t="str">
            <v>跳转到(已废弃)【校场】展开菜单无箭头</v>
          </cell>
          <cell r="J43">
            <v>244</v>
          </cell>
        </row>
        <row r="44">
          <cell r="I44" t="str">
            <v>跳转到(已废弃)【纪念碑】展开菜单无箭头</v>
          </cell>
          <cell r="J44">
            <v>245</v>
          </cell>
        </row>
        <row r="45">
          <cell r="I45" t="str">
            <v>跳转到(已废弃)【纪念碑】展开菜单无箭头</v>
          </cell>
          <cell r="J45">
            <v>246</v>
          </cell>
        </row>
        <row r="46">
          <cell r="I46" t="str">
            <v>跳转到(已废弃)【剑士营】展开菜单无箭头</v>
          </cell>
          <cell r="J46">
            <v>251</v>
          </cell>
        </row>
        <row r="47">
          <cell r="I47" t="str">
            <v>跳转到(已废弃)【城镇中心】展开菜单无箭头</v>
          </cell>
          <cell r="J47">
            <v>252</v>
          </cell>
        </row>
        <row r="48">
          <cell r="I48" t="str">
            <v>跳转到(已废弃)【城镇中心】展开菜单无箭头</v>
          </cell>
          <cell r="J48">
            <v>253</v>
          </cell>
        </row>
        <row r="49">
          <cell r="I49" t="str">
            <v>跳转到(已废弃)【马厩】展开菜单无箭头</v>
          </cell>
          <cell r="J49">
            <v>254</v>
          </cell>
        </row>
        <row r="50">
          <cell r="I50" t="str">
            <v>跳转到(已废弃)【枪兵营】展开菜单无箭头</v>
          </cell>
          <cell r="J50">
            <v>255</v>
          </cell>
        </row>
        <row r="51">
          <cell r="I51" t="str">
            <v>跳转到(已废弃)【射箭场】展开菜单无箭头</v>
          </cell>
          <cell r="J51">
            <v>256</v>
          </cell>
        </row>
        <row r="52">
          <cell r="I52" t="str">
            <v>跳转到(已废弃)【伐木场】展开菜单无箭头</v>
          </cell>
          <cell r="J52">
            <v>257</v>
          </cell>
        </row>
        <row r="53">
          <cell r="I53" t="str">
            <v>跳转到(已废弃)【点将台】展开菜单无箭头</v>
          </cell>
          <cell r="J53">
            <v>258</v>
          </cell>
        </row>
        <row r="54">
          <cell r="I54" t="str">
            <v>跳转到(已废弃)【居民房舍】展开菜单无箭头</v>
          </cell>
          <cell r="J54">
            <v>259</v>
          </cell>
        </row>
        <row r="55">
          <cell r="I55" t="str">
            <v>跳转到(已废弃)【治疗房舍】展开菜单无箭头</v>
          </cell>
          <cell r="J55">
            <v>260</v>
          </cell>
        </row>
        <row r="56">
          <cell r="I56" t="str">
            <v>跳转到(已废弃)【学院】展开菜单无箭头</v>
          </cell>
          <cell r="J56">
            <v>261</v>
          </cell>
        </row>
        <row r="57">
          <cell r="I57" t="str">
            <v>跳转到(已废弃)【防卫塔】展开菜单无箭头</v>
          </cell>
          <cell r="J57">
            <v>262</v>
          </cell>
        </row>
        <row r="58">
          <cell r="I58" t="str">
            <v>跳转到(已废弃)【博物馆】展开菜单无箭头</v>
          </cell>
          <cell r="J58">
            <v>263</v>
          </cell>
        </row>
        <row r="59">
          <cell r="I59" t="str">
            <v>跳转到(已废弃)【博物馆】展开菜单无箭头</v>
          </cell>
          <cell r="J59">
            <v>264</v>
          </cell>
        </row>
        <row r="60">
          <cell r="I60" t="str">
            <v>跳转到(已废弃)【市集】展开菜单无箭头</v>
          </cell>
          <cell r="J60">
            <v>265</v>
          </cell>
        </row>
        <row r="61">
          <cell r="I61" t="str">
            <v>跳转到(已废弃)【城墙】展开菜单无箭头</v>
          </cell>
          <cell r="J61">
            <v>266</v>
          </cell>
        </row>
        <row r="62">
          <cell r="I62" t="str">
            <v>跳转到(已废弃)【点将台】展开菜单无箭头</v>
          </cell>
          <cell r="J62">
            <v>267</v>
          </cell>
        </row>
        <row r="63">
          <cell r="I63" t="str">
            <v>跳转到(已废弃)【校场】展开菜单无箭头</v>
          </cell>
          <cell r="J63">
            <v>268</v>
          </cell>
        </row>
        <row r="64">
          <cell r="I64" t="str">
            <v>跳转到(已废弃)【学院】展开菜单无箭头</v>
          </cell>
          <cell r="J64">
            <v>269</v>
          </cell>
        </row>
        <row r="65">
          <cell r="I65" t="str">
            <v>跳转到(已废弃)【城堡】展开菜单无箭头</v>
          </cell>
          <cell r="J65">
            <v>270</v>
          </cell>
        </row>
        <row r="66">
          <cell r="I66" t="str">
            <v>跳转到(已废弃)【城堡】展开菜单无箭头</v>
          </cell>
          <cell r="J66">
            <v>271</v>
          </cell>
        </row>
        <row r="67">
          <cell r="I67" t="str">
            <v>跳转到(已废弃)【城镇中心】展开菜单无箭头</v>
          </cell>
          <cell r="J67">
            <v>272</v>
          </cell>
        </row>
        <row r="68">
          <cell r="I68" t="str">
            <v>新手剧情任务界面（章节任务）</v>
          </cell>
          <cell r="J68">
            <v>301</v>
          </cell>
        </row>
        <row r="69">
          <cell r="I69" t="str">
            <v>武将总览界面</v>
          </cell>
          <cell r="J69">
            <v>302</v>
          </cell>
        </row>
        <row r="70">
          <cell r="I70" t="str">
            <v>武将界面（默认星级最高的武将）</v>
          </cell>
          <cell r="J70">
            <v>303</v>
          </cell>
        </row>
        <row r="71">
          <cell r="I71" t="str">
            <v>邮件总览界面-系统</v>
          </cell>
          <cell r="J71">
            <v>304</v>
          </cell>
        </row>
        <row r="72">
          <cell r="I72" t="str">
            <v>邮件总览界面-战争</v>
          </cell>
          <cell r="J72">
            <v>305</v>
          </cell>
        </row>
        <row r="73">
          <cell r="I73" t="str">
            <v>邮件总览界面-野外</v>
          </cell>
          <cell r="J73">
            <v>306</v>
          </cell>
        </row>
        <row r="74">
          <cell r="I74" t="str">
            <v>邮件总览界面-联盟</v>
          </cell>
          <cell r="J74">
            <v>307</v>
          </cell>
        </row>
        <row r="75">
          <cell r="I75" t="str">
            <v>主界面【联盟】</v>
          </cell>
          <cell r="J75">
            <v>308</v>
          </cell>
        </row>
        <row r="76">
          <cell r="I76" t="str">
            <v>文明时代升级界面</v>
          </cell>
          <cell r="J76">
            <v>309</v>
          </cell>
        </row>
        <row r="77">
          <cell r="I77" t="str">
            <v>跳转到建造【城镇中心】无箭头</v>
          </cell>
          <cell r="J77">
            <v>310</v>
          </cell>
        </row>
        <row r="78">
          <cell r="I78" t="str">
            <v>跳转到建造【居民房舍】无箭头</v>
          </cell>
          <cell r="J78">
            <v>311</v>
          </cell>
        </row>
        <row r="79">
          <cell r="I79" t="str">
            <v>跳转到建造【磨坊】无箭头</v>
          </cell>
          <cell r="J79">
            <v>312</v>
          </cell>
        </row>
        <row r="80">
          <cell r="I80" t="str">
            <v>跳转到建造【伐木场】无箭头</v>
          </cell>
          <cell r="J80">
            <v>313</v>
          </cell>
        </row>
        <row r="81">
          <cell r="I81" t="str">
            <v>跳转到建造【石矿场】无箭头</v>
          </cell>
          <cell r="J81">
            <v>314</v>
          </cell>
        </row>
        <row r="82">
          <cell r="I82" t="str">
            <v>跳转到建造【剑士营】无箭头</v>
          </cell>
          <cell r="J82">
            <v>315</v>
          </cell>
        </row>
        <row r="83">
          <cell r="I83" t="str">
            <v>跳转到建造【农田】无箭头</v>
          </cell>
          <cell r="J83">
            <v>316</v>
          </cell>
        </row>
        <row r="84">
          <cell r="I84" t="str">
            <v>跳转到建造【城堡】无箭头</v>
          </cell>
          <cell r="J84">
            <v>317</v>
          </cell>
        </row>
        <row r="85">
          <cell r="I85" t="str">
            <v>跳转到建造【马厩】无箭头</v>
          </cell>
          <cell r="J85">
            <v>318</v>
          </cell>
        </row>
        <row r="86">
          <cell r="I86" t="str">
            <v>跳转到建造【修道院】无箭头</v>
          </cell>
          <cell r="J86">
            <v>319</v>
          </cell>
        </row>
        <row r="87">
          <cell r="I87" t="str">
            <v>跳转到建造【学院】无箭头</v>
          </cell>
          <cell r="J87">
            <v>320</v>
          </cell>
        </row>
        <row r="88">
          <cell r="I88" t="str">
            <v>跳转到建造【校场】无箭头</v>
          </cell>
          <cell r="J88">
            <v>321</v>
          </cell>
        </row>
        <row r="89">
          <cell r="I89" t="str">
            <v>跳转到建造【码头】无箭头</v>
          </cell>
          <cell r="J89">
            <v>322</v>
          </cell>
        </row>
        <row r="90">
          <cell r="I90" t="str">
            <v>跳转到建造【渔网】无箭头</v>
          </cell>
          <cell r="J90">
            <v>323</v>
          </cell>
        </row>
        <row r="91">
          <cell r="I91" t="str">
            <v>跳转到建造【城墙】无箭头</v>
          </cell>
          <cell r="J91">
            <v>324</v>
          </cell>
        </row>
        <row r="92">
          <cell r="I92" t="str">
            <v>跳转到建造【治疗房舍】无箭头</v>
          </cell>
          <cell r="J92">
            <v>325</v>
          </cell>
        </row>
        <row r="93">
          <cell r="I93" t="str">
            <v>跳转到建造【征兵房舍】无箭头</v>
          </cell>
          <cell r="J93">
            <v>326</v>
          </cell>
        </row>
        <row r="94">
          <cell r="I94" t="str">
            <v>跳转到建造【射箭场】无箭头</v>
          </cell>
          <cell r="J94">
            <v>327</v>
          </cell>
        </row>
        <row r="95">
          <cell r="I95" t="str">
            <v>跳转到建造【攻城器械所】无箭头</v>
          </cell>
          <cell r="J95">
            <v>328</v>
          </cell>
        </row>
        <row r="96">
          <cell r="I96" t="str">
            <v>跳转到建造【瞭望塔】无箭头</v>
          </cell>
          <cell r="J96">
            <v>329</v>
          </cell>
        </row>
        <row r="97">
          <cell r="I97" t="str">
            <v>跳转到建造【防卫塔】无箭头</v>
          </cell>
          <cell r="J97">
            <v>330</v>
          </cell>
        </row>
        <row r="98">
          <cell r="I98" t="str">
            <v>跳转到建造【铁匠铺】无箭头</v>
          </cell>
          <cell r="J98">
            <v>331</v>
          </cell>
        </row>
        <row r="99">
          <cell r="I99" t="str">
            <v>跳转到建造【战争大厅】无箭头</v>
          </cell>
          <cell r="J99">
            <v>332</v>
          </cell>
        </row>
        <row r="100">
          <cell r="I100" t="str">
            <v>跳转到建造【大使馆】无箭头</v>
          </cell>
          <cell r="J100">
            <v>333</v>
          </cell>
        </row>
        <row r="101">
          <cell r="I101" t="str">
            <v>跳转到建造【市集】无箭头</v>
          </cell>
          <cell r="J101">
            <v>334</v>
          </cell>
        </row>
        <row r="102">
          <cell r="I102" t="str">
            <v>跳转到建造【枪兵营】无箭头</v>
          </cell>
          <cell r="J102">
            <v>335</v>
          </cell>
        </row>
        <row r="103">
          <cell r="I103" t="str">
            <v>福利中心-充值界面</v>
          </cell>
          <cell r="J103">
            <v>336</v>
          </cell>
        </row>
        <row r="104">
          <cell r="I104" t="str">
            <v>福利中心-每日特惠</v>
          </cell>
          <cell r="J104">
            <v>338</v>
          </cell>
        </row>
        <row r="105">
          <cell r="I105" t="str">
            <v>背包</v>
          </cell>
          <cell r="J105">
            <v>337</v>
          </cell>
        </row>
        <row r="106">
          <cell r="I106" t="str">
            <v>建造博物馆</v>
          </cell>
          <cell r="J106">
            <v>338</v>
          </cell>
        </row>
        <row r="107">
          <cell r="I107" t="str">
            <v>主界面【搜索】</v>
          </cell>
          <cell r="J107">
            <v>340</v>
          </cell>
        </row>
        <row r="108">
          <cell r="I108" t="str">
            <v>主界面【战役】</v>
          </cell>
          <cell r="J108">
            <v>341</v>
          </cell>
        </row>
        <row r="109">
          <cell r="I109" t="str">
            <v>主界面【战法】</v>
          </cell>
          <cell r="J109">
            <v>342</v>
          </cell>
        </row>
        <row r="110">
          <cell r="I110" t="str">
            <v>主界面【爬塔】</v>
          </cell>
          <cell r="J110">
            <v>343</v>
          </cell>
        </row>
        <row r="111">
          <cell r="I111" t="str">
            <v>主界面【虎牢关】</v>
          </cell>
          <cell r="J111">
            <v>344</v>
          </cell>
        </row>
        <row r="112">
          <cell r="I112" t="str">
            <v>主界面【英雄】</v>
          </cell>
          <cell r="J112">
            <v>355</v>
          </cell>
        </row>
        <row r="113">
          <cell r="I113" t="str">
            <v>主界面【联盟】</v>
          </cell>
          <cell r="J113">
            <v>353</v>
          </cell>
        </row>
        <row r="114">
          <cell r="I114" t="str">
            <v>主界面【物品】</v>
          </cell>
          <cell r="J114">
            <v>354</v>
          </cell>
        </row>
        <row r="115">
          <cell r="I115" t="str">
            <v>主界面【邮件】</v>
          </cell>
          <cell r="J115">
            <v>356</v>
          </cell>
        </row>
        <row r="116">
          <cell r="I116" t="str">
            <v>主界面【商城】</v>
          </cell>
          <cell r="J116">
            <v>357</v>
          </cell>
        </row>
        <row r="117">
          <cell r="I117" t="str">
            <v>科技界面-弓兵攻击 I</v>
          </cell>
          <cell r="J117">
            <v>370</v>
          </cell>
        </row>
        <row r="118">
          <cell r="I118" t="str">
            <v>跳转到文明选择</v>
          </cell>
          <cell r="J118">
            <v>371</v>
          </cell>
        </row>
        <row r="119">
          <cell r="I119" t="str">
            <v>跳转到城外搜索界面【蛮族】选项</v>
          </cell>
          <cell r="J119">
            <v>390</v>
          </cell>
        </row>
        <row r="120">
          <cell r="I120" t="str">
            <v>跳转到城外搜索界面【食物】选项</v>
          </cell>
          <cell r="J120">
            <v>391</v>
          </cell>
        </row>
        <row r="121">
          <cell r="I121" t="str">
            <v>跳转到城外搜索界面【木头】选项</v>
          </cell>
          <cell r="J121">
            <v>392</v>
          </cell>
        </row>
        <row r="122">
          <cell r="I122" t="str">
            <v>跳转到城外搜索界面【石头】选项</v>
          </cell>
          <cell r="J122">
            <v>393</v>
          </cell>
        </row>
        <row r="123">
          <cell r="I123" t="str">
            <v>跳转到城外搜索界面【黄金】选项</v>
          </cell>
          <cell r="J123">
            <v>394</v>
          </cell>
        </row>
        <row r="124">
          <cell r="I124" t="str">
            <v>跳转到城外搜索界面【铜矿】选项</v>
          </cell>
          <cell r="J124">
            <v>395</v>
          </cell>
        </row>
        <row r="125">
          <cell r="I125" t="str">
            <v>跳转排行榜界面-个人势力</v>
          </cell>
          <cell r="J125">
            <v>396</v>
          </cell>
        </row>
        <row r="126">
          <cell r="I126" t="str">
            <v>跳转排行榜界面-联盟势力</v>
          </cell>
          <cell r="J126">
            <v>397</v>
          </cell>
        </row>
        <row r="127">
          <cell r="I127" t="str">
            <v>直播组件</v>
          </cell>
          <cell r="J127">
            <v>398</v>
          </cell>
        </row>
        <row r="128">
          <cell r="I128" t="str">
            <v>城镇中心浆果</v>
          </cell>
          <cell r="J128">
            <v>401</v>
          </cell>
        </row>
        <row r="129">
          <cell r="I129" t="str">
            <v>城镇中心木头</v>
          </cell>
          <cell r="J129">
            <v>402</v>
          </cell>
        </row>
        <row r="130">
          <cell r="I130" t="str">
            <v>城镇中心石矿</v>
          </cell>
          <cell r="J130">
            <v>403</v>
          </cell>
        </row>
        <row r="131">
          <cell r="I131" t="str">
            <v>城镇中心金矿</v>
          </cell>
          <cell r="J131">
            <v>404</v>
          </cell>
        </row>
        <row r="132">
          <cell r="I132" t="str">
            <v>城镇中心遗迹</v>
          </cell>
          <cell r="J132">
            <v>405</v>
          </cell>
        </row>
        <row r="133">
          <cell r="I133" t="str">
            <v>城镇中心村民</v>
          </cell>
          <cell r="J133">
            <v>502</v>
          </cell>
        </row>
        <row r="134">
          <cell r="I134" t="str">
            <v>城镇中心巡逻士兵</v>
          </cell>
          <cell r="J134">
            <v>503</v>
          </cell>
        </row>
        <row r="135">
          <cell r="I135" t="str">
            <v>野外就近不限等级的野怪</v>
          </cell>
          <cell r="J135">
            <v>601</v>
          </cell>
        </row>
        <row r="136">
          <cell r="I136" t="str">
            <v>野外就近不限等级粮食</v>
          </cell>
          <cell r="J136">
            <v>602</v>
          </cell>
        </row>
        <row r="137">
          <cell r="I137" t="str">
            <v>野外就近不限等级木材</v>
          </cell>
          <cell r="J137">
            <v>603</v>
          </cell>
        </row>
        <row r="138">
          <cell r="I138" t="str">
            <v>野外就近不限等级石头</v>
          </cell>
          <cell r="J138">
            <v>604</v>
          </cell>
        </row>
        <row r="139">
          <cell r="I139" t="str">
            <v>野外就近不限等级金矿</v>
          </cell>
          <cell r="J139">
            <v>605</v>
          </cell>
        </row>
        <row r="140">
          <cell r="I140" t="str">
            <v>野外就近1等级的野怪</v>
          </cell>
          <cell r="J140">
            <v>606</v>
          </cell>
        </row>
        <row r="141">
          <cell r="I141" t="str">
            <v>野外就近2等级的野怪</v>
          </cell>
          <cell r="J141">
            <v>607</v>
          </cell>
        </row>
        <row r="142">
          <cell r="I142" t="str">
            <v>野外就近3等级的野怪</v>
          </cell>
          <cell r="J142">
            <v>608</v>
          </cell>
        </row>
        <row r="143">
          <cell r="I143" t="str">
            <v>野外就近4等级的野怪</v>
          </cell>
          <cell r="J143">
            <v>609</v>
          </cell>
        </row>
        <row r="144">
          <cell r="I144" t="str">
            <v>野外就近5等级的野怪</v>
          </cell>
          <cell r="J144">
            <v>610</v>
          </cell>
        </row>
        <row r="145">
          <cell r="J145">
            <v>0</v>
          </cell>
        </row>
        <row r="146">
          <cell r="I146" t="str">
            <v>野外就近1等级粮食</v>
          </cell>
          <cell r="J146">
            <v>611</v>
          </cell>
        </row>
        <row r="147">
          <cell r="I147" t="str">
            <v>野外就近任意等级可采集木材、粮食、石头</v>
          </cell>
          <cell r="J147">
            <v>612</v>
          </cell>
        </row>
        <row r="148">
          <cell r="I148" t="str">
            <v>野外就近任意等级可采集稀有资源</v>
          </cell>
          <cell r="J148">
            <v>613</v>
          </cell>
        </row>
        <row r="149">
          <cell r="J149">
            <v>0</v>
          </cell>
        </row>
        <row r="150">
          <cell r="I150" t="str">
            <v>野外就近哨塔</v>
          </cell>
          <cell r="J150">
            <v>628</v>
          </cell>
        </row>
        <row r="151">
          <cell r="I151" t="str">
            <v>野外就近名城</v>
          </cell>
          <cell r="J151">
            <v>629</v>
          </cell>
        </row>
        <row r="152">
          <cell r="I152" t="str">
            <v>直接跳转-野外就近迷雾</v>
          </cell>
          <cell r="J152">
            <v>630</v>
          </cell>
        </row>
        <row r="153">
          <cell r="J153">
            <v>0</v>
          </cell>
        </row>
        <row r="154">
          <cell r="I154" t="str">
            <v>野外就近5等级的野怪</v>
          </cell>
          <cell r="J154">
            <v>631</v>
          </cell>
        </row>
        <row r="155">
          <cell r="I155" t="str">
            <v>野外就近6等级的野怪</v>
          </cell>
          <cell r="J155">
            <v>632</v>
          </cell>
        </row>
        <row r="156">
          <cell r="I156" t="str">
            <v>野外就近7等级的野怪</v>
          </cell>
          <cell r="J156">
            <v>633</v>
          </cell>
        </row>
        <row r="157">
          <cell r="I157" t="str">
            <v>野外就近8等级的野怪</v>
          </cell>
          <cell r="J157">
            <v>634</v>
          </cell>
        </row>
        <row r="158">
          <cell r="I158" t="str">
            <v>野外就近9等级的野怪</v>
          </cell>
          <cell r="J158">
            <v>635</v>
          </cell>
        </row>
        <row r="159">
          <cell r="I159" t="str">
            <v>野外就近10等级的野怪</v>
          </cell>
          <cell r="J159">
            <v>636</v>
          </cell>
        </row>
        <row r="160">
          <cell r="I160" t="str">
            <v>野外就近11等级的野怪</v>
          </cell>
          <cell r="J160">
            <v>637</v>
          </cell>
        </row>
        <row r="161">
          <cell r="I161" t="str">
            <v>野外就近12等级的野怪</v>
          </cell>
          <cell r="J161">
            <v>638</v>
          </cell>
        </row>
        <row r="162">
          <cell r="I162" t="str">
            <v>野外就近13等级的野怪</v>
          </cell>
          <cell r="J162">
            <v>639</v>
          </cell>
        </row>
        <row r="163">
          <cell r="I163" t="str">
            <v>野外就近14等级的野怪</v>
          </cell>
          <cell r="J163">
            <v>640</v>
          </cell>
        </row>
        <row r="164">
          <cell r="I164" t="str">
            <v>野外就近15等级的野怪</v>
          </cell>
          <cell r="J164">
            <v>641</v>
          </cell>
        </row>
        <row r="165">
          <cell r="I165" t="str">
            <v>野外就近16等级的野怪</v>
          </cell>
          <cell r="J165">
            <v>642</v>
          </cell>
        </row>
        <row r="166">
          <cell r="I166" t="str">
            <v>野外就近17等级的野怪</v>
          </cell>
          <cell r="J166">
            <v>643</v>
          </cell>
        </row>
        <row r="167">
          <cell r="I167" t="str">
            <v>野外就近18等级的野怪</v>
          </cell>
          <cell r="J167">
            <v>644</v>
          </cell>
        </row>
        <row r="168">
          <cell r="I168" t="str">
            <v>野外就近19等级的野怪</v>
          </cell>
          <cell r="J168">
            <v>645</v>
          </cell>
        </row>
        <row r="169">
          <cell r="I169" t="str">
            <v>野外就近20等级的野怪</v>
          </cell>
          <cell r="J169">
            <v>646</v>
          </cell>
        </row>
        <row r="170">
          <cell r="I170" t="str">
            <v>野外就近21等级的野怪</v>
          </cell>
          <cell r="J170">
            <v>647</v>
          </cell>
        </row>
        <row r="171">
          <cell r="I171" t="str">
            <v>野外就近22等级的野怪</v>
          </cell>
          <cell r="J171">
            <v>648</v>
          </cell>
        </row>
        <row r="172">
          <cell r="I172" t="str">
            <v>野外就近23等级的野怪</v>
          </cell>
          <cell r="J172">
            <v>649</v>
          </cell>
        </row>
        <row r="173">
          <cell r="I173" t="str">
            <v>野外就近24等级的野怪</v>
          </cell>
          <cell r="J173">
            <v>650</v>
          </cell>
        </row>
        <row r="174">
          <cell r="I174" t="str">
            <v>野外就近25等级的野怪</v>
          </cell>
          <cell r="J174">
            <v>651</v>
          </cell>
        </row>
        <row r="175">
          <cell r="I175" t="str">
            <v>野外就近26等级的野怪</v>
          </cell>
          <cell r="J175">
            <v>652</v>
          </cell>
        </row>
        <row r="176">
          <cell r="I176" t="str">
            <v>野外就近27等级的野怪</v>
          </cell>
          <cell r="J176">
            <v>653</v>
          </cell>
        </row>
        <row r="177">
          <cell r="I177" t="str">
            <v>野外就近28等级的野怪</v>
          </cell>
          <cell r="J177">
            <v>654</v>
          </cell>
        </row>
        <row r="178">
          <cell r="I178" t="str">
            <v>野外就近29等级的野怪</v>
          </cell>
          <cell r="J178">
            <v>655</v>
          </cell>
        </row>
        <row r="179">
          <cell r="I179" t="str">
            <v>野外就近30等级的野怪</v>
          </cell>
          <cell r="J179">
            <v>656</v>
          </cell>
        </row>
        <row r="180">
          <cell r="J180">
            <v>0</v>
          </cell>
        </row>
        <row r="181">
          <cell r="J181">
            <v>0</v>
          </cell>
        </row>
        <row r="182">
          <cell r="I182" t="str">
            <v>跳转到建造【农田】无箭头</v>
          </cell>
          <cell r="J182">
            <v>701</v>
          </cell>
        </row>
        <row r="183">
          <cell r="I183" t="str">
            <v>跳转到建造【马厩】无箭头</v>
          </cell>
          <cell r="J183">
            <v>702</v>
          </cell>
        </row>
        <row r="184">
          <cell r="I184" t="str">
            <v>跳转到建造【学院】无箭头</v>
          </cell>
          <cell r="J184">
            <v>703</v>
          </cell>
        </row>
        <row r="185">
          <cell r="I185" t="str">
            <v>跳转到建造【码头】无箭头</v>
          </cell>
          <cell r="J185">
            <v>704</v>
          </cell>
        </row>
        <row r="186">
          <cell r="I186" t="str">
            <v>跳转到建造【渔网】无箭头</v>
          </cell>
          <cell r="J186">
            <v>705</v>
          </cell>
        </row>
        <row r="187">
          <cell r="I187" t="str">
            <v>跳转到建造【治疗房舍】无箭头</v>
          </cell>
          <cell r="J187">
            <v>706</v>
          </cell>
        </row>
        <row r="188">
          <cell r="I188" t="str">
            <v>跳转到建造【征兵房舍】无箭头</v>
          </cell>
          <cell r="J188">
            <v>707</v>
          </cell>
        </row>
        <row r="189">
          <cell r="I189" t="str">
            <v>跳转到建造【战争大厅】无箭头</v>
          </cell>
          <cell r="J189">
            <v>708</v>
          </cell>
        </row>
        <row r="190">
          <cell r="I190" t="str">
            <v>跳转到建造【射箭场】无箭头</v>
          </cell>
          <cell r="J190">
            <v>709</v>
          </cell>
        </row>
        <row r="191">
          <cell r="I191" t="str">
            <v>跳转到建造【攻城器械所】无箭头</v>
          </cell>
          <cell r="J191">
            <v>710</v>
          </cell>
        </row>
        <row r="192">
          <cell r="I192" t="str">
            <v>跳转到建造【瞭望塔】无箭头</v>
          </cell>
          <cell r="J192">
            <v>711</v>
          </cell>
        </row>
        <row r="193">
          <cell r="I193" t="str">
            <v>跳转到建造【大使馆】无箭头</v>
          </cell>
          <cell r="J193">
            <v>712</v>
          </cell>
        </row>
        <row r="194">
          <cell r="I194" t="str">
            <v>跳转到建造【市集】无箭头</v>
          </cell>
          <cell r="J194">
            <v>713</v>
          </cell>
        </row>
        <row r="195">
          <cell r="I195" t="str">
            <v>跳转到建造【博物馆】无箭头</v>
          </cell>
          <cell r="J195">
            <v>714</v>
          </cell>
        </row>
        <row r="196">
          <cell r="I196" t="str">
            <v>跳转到建造【旅店】无箭头</v>
          </cell>
          <cell r="J196">
            <v>715</v>
          </cell>
        </row>
        <row r="197">
          <cell r="I197" t="str">
            <v>跳转到建造【居民房舍】无箭头</v>
          </cell>
          <cell r="J197">
            <v>716</v>
          </cell>
        </row>
        <row r="198">
          <cell r="I198" t="str">
            <v>跳转到建造【磨坊】无箭头</v>
          </cell>
          <cell r="J198">
            <v>717</v>
          </cell>
        </row>
        <row r="199">
          <cell r="I199" t="str">
            <v>跳转到建造【伐木场】无箭头</v>
          </cell>
          <cell r="J199">
            <v>718</v>
          </cell>
        </row>
        <row r="200">
          <cell r="I200" t="str">
            <v>跳转到建造【石矿场】无箭头</v>
          </cell>
          <cell r="J200">
            <v>719</v>
          </cell>
        </row>
        <row r="201">
          <cell r="I201" t="str">
            <v>跳转到建造【金矿场】无箭头</v>
          </cell>
          <cell r="J201">
            <v>720</v>
          </cell>
        </row>
        <row r="202">
          <cell r="J202">
            <v>0</v>
          </cell>
        </row>
        <row r="203">
          <cell r="J203">
            <v>0</v>
          </cell>
        </row>
        <row r="204">
          <cell r="J204">
            <v>0</v>
          </cell>
        </row>
        <row r="205">
          <cell r="J205">
            <v>0</v>
          </cell>
        </row>
        <row r="206">
          <cell r="J206">
            <v>0</v>
          </cell>
        </row>
        <row r="207">
          <cell r="I207" t="str">
            <v>直接跳转-医疗界面</v>
          </cell>
          <cell r="J207">
            <v>1001</v>
          </cell>
        </row>
        <row r="208">
          <cell r="I208" t="str">
            <v>跳转-具体活动（需要邮件id）</v>
          </cell>
          <cell r="J208">
            <v>1002</v>
          </cell>
        </row>
        <row r="209">
          <cell r="I209" t="str">
            <v>跳转到具体建筑（需要建筑id）</v>
          </cell>
          <cell r="J209">
            <v>1003</v>
          </cell>
        </row>
        <row r="210">
          <cell r="I210" t="str">
            <v>博物馆马车运输完成</v>
          </cell>
          <cell r="J210">
            <v>1007</v>
          </cell>
        </row>
        <row r="211">
          <cell r="I211" t="str">
            <v>跳转-月签到</v>
          </cell>
          <cell r="J211">
            <v>1008</v>
          </cell>
        </row>
        <row r="212">
          <cell r="I212" t="str">
            <v>跳转-城镇中心</v>
          </cell>
          <cell r="J212">
            <v>1009</v>
          </cell>
        </row>
        <row r="213">
          <cell r="I213" t="str">
            <v>旅店-名人寻访</v>
          </cell>
          <cell r="J213">
            <v>1010</v>
          </cell>
        </row>
        <row r="214">
          <cell r="I214" t="str">
            <v>市集-兑换商店</v>
          </cell>
          <cell r="J214">
            <v>1011</v>
          </cell>
        </row>
        <row r="215">
          <cell r="I215" t="str">
            <v>野外-名城贸易（打开缩略图）</v>
          </cell>
          <cell r="J215">
            <v>2000</v>
          </cell>
        </row>
        <row r="216">
          <cell r="I216" t="str">
            <v>野外-玩家所占领的等级最高的1块地</v>
          </cell>
          <cell r="J216">
            <v>2001</v>
          </cell>
        </row>
        <row r="217">
          <cell r="I217" t="str">
            <v>初级名城哨站</v>
          </cell>
          <cell r="J217">
            <v>3001</v>
          </cell>
        </row>
        <row r="218">
          <cell r="I218" t="str">
            <v>初级名城争夺</v>
          </cell>
          <cell r="J218">
            <v>3002</v>
          </cell>
        </row>
        <row r="219">
          <cell r="I219" t="str">
            <v>初级名城重新争夺</v>
          </cell>
          <cell r="J219">
            <v>3003</v>
          </cell>
        </row>
        <row r="220">
          <cell r="I220" t="str">
            <v>中级名城哨站</v>
          </cell>
          <cell r="J220">
            <v>3004</v>
          </cell>
        </row>
        <row r="221">
          <cell r="I221" t="str">
            <v>中级名城争夺</v>
          </cell>
          <cell r="J221">
            <v>3005</v>
          </cell>
        </row>
        <row r="222">
          <cell r="I222" t="str">
            <v>中级名城重新争夺</v>
          </cell>
          <cell r="J222">
            <v>3006</v>
          </cell>
        </row>
        <row r="223">
          <cell r="I223" t="str">
            <v>高级名城哨站</v>
          </cell>
          <cell r="J223">
            <v>3007</v>
          </cell>
        </row>
        <row r="224">
          <cell r="I224" t="str">
            <v>高级名城争夺</v>
          </cell>
          <cell r="J224">
            <v>3008</v>
          </cell>
        </row>
        <row r="225">
          <cell r="I225" t="str">
            <v>高级名城重新争夺</v>
          </cell>
          <cell r="J225">
            <v>3009</v>
          </cell>
        </row>
        <row r="226">
          <cell r="I226" t="str">
            <v>蛮族反击(名城外围开放)</v>
          </cell>
          <cell r="J226">
            <v>3010</v>
          </cell>
        </row>
        <row r="227">
          <cell r="I227" t="str">
            <v>蛮族反击(名城外围开放)</v>
          </cell>
          <cell r="J227">
            <v>3011</v>
          </cell>
        </row>
        <row r="228">
          <cell r="I228" t="str">
            <v>蛮族反击(名城外围开放)</v>
          </cell>
          <cell r="J228">
            <v>3012</v>
          </cell>
        </row>
        <row r="229">
          <cell r="I229" t="str">
            <v>蛮族反击(周固定活动)</v>
          </cell>
          <cell r="J229">
            <v>3013</v>
          </cell>
        </row>
        <row r="230">
          <cell r="I230" t="str">
            <v>蛮族反击(调试用)</v>
          </cell>
          <cell r="J230">
            <v>3014</v>
          </cell>
        </row>
        <row r="231">
          <cell r="I231" t="str">
            <v>直接打开招募界面默认选中卡池</v>
          </cell>
          <cell r="J231">
            <v>3015</v>
          </cell>
        </row>
        <row r="232">
          <cell r="I232" t="str">
            <v>可以训练3级士兵的兵营</v>
          </cell>
          <cell r="J232">
            <v>4000</v>
          </cell>
        </row>
        <row r="233">
          <cell r="I233" t="str">
            <v>直接跳转-英雄召唤（高级）</v>
          </cell>
          <cell r="J233">
            <v>3016</v>
          </cell>
        </row>
        <row r="234">
          <cell r="I234" t="str">
            <v>直接跳转-天下大势</v>
          </cell>
          <cell r="J234">
            <v>3017</v>
          </cell>
        </row>
        <row r="235">
          <cell r="I235" t="str">
            <v>直接跳转-冒险</v>
          </cell>
          <cell r="J235">
            <v>3018</v>
          </cell>
        </row>
        <row r="236">
          <cell r="I236" t="str">
            <v>直接跳转-官职委任</v>
          </cell>
          <cell r="J236">
            <v>3019</v>
          </cell>
        </row>
        <row r="237">
          <cell r="I237" t="str">
            <v>直接跳转-英雄列表</v>
          </cell>
          <cell r="J237">
            <v>3020</v>
          </cell>
        </row>
        <row r="238">
          <cell r="I238" t="str">
            <v>直接跳转-充值界面</v>
          </cell>
          <cell r="J238">
            <v>3021</v>
          </cell>
        </row>
        <row r="239">
          <cell r="I239" t="str">
            <v>直接跳转-英雄召唤（活动）</v>
          </cell>
          <cell r="J239">
            <v>3022</v>
          </cell>
        </row>
        <row r="240">
          <cell r="I240" t="str">
            <v>直接跳转-英雄列表（活动）</v>
          </cell>
          <cell r="J240">
            <v>3033</v>
          </cell>
        </row>
        <row r="241">
          <cell r="I241" t="str">
            <v>直接跳转-典藏技能主界面</v>
          </cell>
          <cell r="J241">
            <v>3034</v>
          </cell>
        </row>
        <row r="242">
          <cell r="I242" t="str">
            <v>直接跳转-典藏技能主界面(英雄页签)</v>
          </cell>
          <cell r="J242">
            <v>3035</v>
          </cell>
        </row>
        <row r="243">
          <cell r="J243">
            <v>0</v>
          </cell>
        </row>
        <row r="244">
          <cell r="I244" t="str">
            <v>科技界面-推荐科技</v>
          </cell>
          <cell r="J244">
            <v>5032</v>
          </cell>
        </row>
        <row r="245">
          <cell r="I245" t="str">
            <v>直接跳转-旅店-寻访界面</v>
          </cell>
          <cell r="J245">
            <v>5041</v>
          </cell>
        </row>
        <row r="246">
          <cell r="I246" t="str">
            <v>直接跳转-旅店-名人列表界面</v>
          </cell>
          <cell r="J246">
            <v>5042</v>
          </cell>
        </row>
        <row r="247">
          <cell r="I247" t="str">
            <v>直接跳转-市集-大流克兑换界面</v>
          </cell>
          <cell r="J247">
            <v>5043</v>
          </cell>
        </row>
        <row r="248">
          <cell r="I248" t="str">
            <v>直接跳转-居民房舍-增产界面</v>
          </cell>
          <cell r="J248">
            <v>5044</v>
          </cell>
        </row>
        <row r="249">
          <cell r="I249" t="str">
            <v>直接跳转-联盟-宝库</v>
          </cell>
          <cell r="J249">
            <v>5045</v>
          </cell>
        </row>
        <row r="250">
          <cell r="I250" t="str">
            <v>直接跳转-好友界面</v>
          </cell>
          <cell r="J250">
            <v>5046</v>
          </cell>
        </row>
        <row r="251">
          <cell r="I251" t="str">
            <v>直接跳转-有正在研究的科技，直接进入科技研究界面并加速，无则进入选中推荐科技</v>
          </cell>
          <cell r="J251">
            <v>5048</v>
          </cell>
        </row>
        <row r="252">
          <cell r="I252" t="str">
            <v>直接跳转-赛季</v>
          </cell>
          <cell r="J252">
            <v>5047</v>
          </cell>
        </row>
        <row r="253">
          <cell r="I253" t="str">
            <v>直接跳转-战功商店</v>
          </cell>
          <cell r="J253">
            <v>5049</v>
          </cell>
        </row>
        <row r="254">
          <cell r="I254" t="str">
            <v>直接跳转-英雄技能分解</v>
          </cell>
          <cell r="J254">
            <v>5050</v>
          </cell>
        </row>
        <row r="255">
          <cell r="I255" t="str">
            <v>直接跳转-城镇中心征税</v>
          </cell>
          <cell r="J255">
            <v>5051</v>
          </cell>
        </row>
        <row r="256">
          <cell r="I256" t="str">
            <v>直接跳转-市集资源兑换</v>
          </cell>
          <cell r="J256">
            <v>5052</v>
          </cell>
        </row>
        <row r="257">
          <cell r="I257" t="str">
            <v>直接跳转-当前冒险队内政官培养</v>
          </cell>
          <cell r="J257">
            <v>5053</v>
          </cell>
        </row>
        <row r="258">
          <cell r="J258">
            <v>0</v>
          </cell>
        </row>
        <row r="259">
          <cell r="I259" t="str">
            <v>跳转到科技界面【剑士攻击 I】科技</v>
          </cell>
          <cell r="J259">
            <v>5101</v>
          </cell>
        </row>
        <row r="260">
          <cell r="I260" t="str">
            <v>跳转到科技界面【枪兵攻击 I】科技</v>
          </cell>
          <cell r="J260">
            <v>5102</v>
          </cell>
        </row>
        <row r="261">
          <cell r="I261" t="str">
            <v>跳转到科技界面【骑士攻击 I】科技</v>
          </cell>
          <cell r="J261">
            <v>5103</v>
          </cell>
        </row>
        <row r="262">
          <cell r="I262" t="str">
            <v>跳转到科技界面【弓兵攻击 I】科技</v>
          </cell>
          <cell r="J262">
            <v>5104</v>
          </cell>
        </row>
        <row r="263">
          <cell r="I263" t="str">
            <v>跳转到科技界面【统御 I】科技</v>
          </cell>
          <cell r="J263">
            <v>5105</v>
          </cell>
        </row>
        <row r="264">
          <cell r="I264" t="str">
            <v>跳转到科技界面【剑士攻击 II】科技</v>
          </cell>
          <cell r="J264">
            <v>5106</v>
          </cell>
        </row>
        <row r="265">
          <cell r="I265" t="str">
            <v>跳转到科技界面【枪兵攻击 II】科技</v>
          </cell>
          <cell r="J265">
            <v>5107</v>
          </cell>
        </row>
        <row r="266">
          <cell r="I266" t="str">
            <v>跳转到科技界面【骑士攻击 II】科技</v>
          </cell>
          <cell r="J266">
            <v>5108</v>
          </cell>
        </row>
        <row r="267">
          <cell r="I267" t="str">
            <v>跳转到科技界面【弓兵攻击 II】科技</v>
          </cell>
          <cell r="J267">
            <v>5109</v>
          </cell>
        </row>
        <row r="268">
          <cell r="I268" t="str">
            <v>跳转到科技界面【剑士防御 I】科技</v>
          </cell>
          <cell r="J268">
            <v>5110</v>
          </cell>
        </row>
        <row r="269">
          <cell r="I269" t="str">
            <v>跳转到科技界面【枪兵防御 I】科技</v>
          </cell>
          <cell r="J269">
            <v>5111</v>
          </cell>
        </row>
        <row r="270">
          <cell r="I270" t="str">
            <v>跳转到科技界面【骑士防御 I】科技</v>
          </cell>
          <cell r="J270">
            <v>5112</v>
          </cell>
        </row>
        <row r="271">
          <cell r="I271" t="str">
            <v>跳转到科技界面【弓兵防御 I】科技</v>
          </cell>
          <cell r="J271">
            <v>5113</v>
          </cell>
        </row>
        <row r="272">
          <cell r="I272" t="str">
            <v>跳转到科技界面【统御 II】科技</v>
          </cell>
          <cell r="J272">
            <v>5114</v>
          </cell>
        </row>
        <row r="273">
          <cell r="I273" t="str">
            <v>跳转到科技界面【剑士攻击 III】科技</v>
          </cell>
          <cell r="J273">
            <v>5115</v>
          </cell>
        </row>
        <row r="274">
          <cell r="I274" t="str">
            <v>跳转到科技界面【枪兵攻击 III】科技</v>
          </cell>
          <cell r="J274">
            <v>5116</v>
          </cell>
        </row>
        <row r="275">
          <cell r="I275" t="str">
            <v>跳转到科技界面【骑士攻击 III】科技</v>
          </cell>
          <cell r="J275">
            <v>5117</v>
          </cell>
        </row>
        <row r="276">
          <cell r="I276" t="str">
            <v>跳转到科技界面【弓兵攻击 III】科技</v>
          </cell>
          <cell r="J276">
            <v>5118</v>
          </cell>
        </row>
        <row r="277">
          <cell r="I277" t="str">
            <v>跳转到科技界面【剑士防御 II】科技</v>
          </cell>
          <cell r="J277">
            <v>5119</v>
          </cell>
        </row>
        <row r="278">
          <cell r="I278" t="str">
            <v>跳转到科技界面【枪兵防御 II】科技</v>
          </cell>
          <cell r="J278">
            <v>5120</v>
          </cell>
        </row>
        <row r="279">
          <cell r="I279" t="str">
            <v>跳转到科技界面【骑士防御 II】科技</v>
          </cell>
          <cell r="J279">
            <v>5121</v>
          </cell>
        </row>
        <row r="280">
          <cell r="I280" t="str">
            <v>跳转到科技界面【弓兵防御 II】科技</v>
          </cell>
          <cell r="J280">
            <v>5122</v>
          </cell>
        </row>
        <row r="281">
          <cell r="I281" t="str">
            <v>跳转到科技界面【剑士生命】科技</v>
          </cell>
          <cell r="J281">
            <v>5123</v>
          </cell>
        </row>
        <row r="282">
          <cell r="I282" t="str">
            <v>跳转到科技界面【枪兵生命】科技</v>
          </cell>
          <cell r="J282">
            <v>5124</v>
          </cell>
        </row>
        <row r="283">
          <cell r="I283" t="str">
            <v>跳转到科技界面【骑士生命】科技</v>
          </cell>
          <cell r="J283">
            <v>5125</v>
          </cell>
        </row>
        <row r="284">
          <cell r="I284" t="str">
            <v>跳转到科技界面【弓兵生命】科技</v>
          </cell>
          <cell r="J284">
            <v>5126</v>
          </cell>
        </row>
        <row r="285">
          <cell r="I285" t="str">
            <v>跳转到科技界面【统御 III】科技</v>
          </cell>
          <cell r="J285">
            <v>5127</v>
          </cell>
        </row>
        <row r="286">
          <cell r="I286" t="str">
            <v>跳转到科技界面【磨坊产量 I】科技</v>
          </cell>
          <cell r="J286">
            <v>5128</v>
          </cell>
        </row>
        <row r="287">
          <cell r="I287" t="str">
            <v>跳转到科技界面【食物采集 I】科技</v>
          </cell>
          <cell r="J287">
            <v>5129</v>
          </cell>
        </row>
        <row r="288">
          <cell r="I288" t="str">
            <v>跳转到科技界面【伐木场产量 I】科技</v>
          </cell>
          <cell r="J288">
            <v>5130</v>
          </cell>
        </row>
        <row r="289">
          <cell r="I289" t="str">
            <v>跳转到科技界面【木材采集 I】科技</v>
          </cell>
          <cell r="J289">
            <v>5131</v>
          </cell>
        </row>
        <row r="290">
          <cell r="I290" t="str">
            <v>跳转到科技界面【村民效率 I】科技</v>
          </cell>
          <cell r="J290">
            <v>5132</v>
          </cell>
        </row>
        <row r="291">
          <cell r="I291" t="str">
            <v>跳转到科技界面【磨坊产量 II】科技</v>
          </cell>
          <cell r="J291">
            <v>5133</v>
          </cell>
        </row>
        <row r="292">
          <cell r="I292" t="str">
            <v>跳转到科技界面【石头采集 I】科技</v>
          </cell>
          <cell r="J292">
            <v>5134</v>
          </cell>
        </row>
        <row r="293">
          <cell r="I293" t="str">
            <v>跳转到科技界面【伐木场产量 II】科技</v>
          </cell>
          <cell r="J293">
            <v>5135</v>
          </cell>
        </row>
        <row r="294">
          <cell r="I294" t="str">
            <v>跳转到科技界面【黄金采集 I】科技</v>
          </cell>
          <cell r="J294">
            <v>5136</v>
          </cell>
        </row>
        <row r="295">
          <cell r="I295" t="str">
            <v>跳转到科技界面【采石场产量 I】科技</v>
          </cell>
          <cell r="J295">
            <v>5137</v>
          </cell>
        </row>
        <row r="296">
          <cell r="I296" t="str">
            <v>跳转到科技界面【采金场产量 I】科技</v>
          </cell>
          <cell r="J296">
            <v>5138</v>
          </cell>
        </row>
        <row r="297">
          <cell r="I297" t="str">
            <v>跳转到科技界面【村民效率 II】科技</v>
          </cell>
          <cell r="J297">
            <v>5139</v>
          </cell>
        </row>
        <row r="298">
          <cell r="I298" t="str">
            <v>跳转到科技界面【磨坊产量 III】科技</v>
          </cell>
          <cell r="J298">
            <v>5140</v>
          </cell>
        </row>
        <row r="299">
          <cell r="I299" t="str">
            <v>跳转到科技界面【食物采集 II】科技</v>
          </cell>
          <cell r="J299">
            <v>5141</v>
          </cell>
        </row>
        <row r="300">
          <cell r="I300" t="str">
            <v>跳转到科技界面【伐木场产量 III】科技</v>
          </cell>
          <cell r="J300">
            <v>5142</v>
          </cell>
        </row>
        <row r="301">
          <cell r="I301" t="str">
            <v>跳转到科技界面【木材采集 II】科技</v>
          </cell>
          <cell r="J301">
            <v>5143</v>
          </cell>
        </row>
        <row r="302">
          <cell r="I302" t="str">
            <v>跳转到科技界面【采石场产量 II】科技</v>
          </cell>
          <cell r="J302">
            <v>5144</v>
          </cell>
        </row>
        <row r="303">
          <cell r="I303" t="str">
            <v>跳转到科技界面【石头采集 II】科技</v>
          </cell>
          <cell r="J303">
            <v>5145</v>
          </cell>
        </row>
        <row r="304">
          <cell r="I304" t="str">
            <v>跳转到科技界面【采金场产量 II】科技</v>
          </cell>
          <cell r="J304">
            <v>5146</v>
          </cell>
        </row>
        <row r="305">
          <cell r="I305" t="str">
            <v>跳转到科技界面【黄金采集 II】科技</v>
          </cell>
          <cell r="J305">
            <v>5147</v>
          </cell>
        </row>
        <row r="306">
          <cell r="I306" t="str">
            <v>跳转到科技界面【铜币生产】科技</v>
          </cell>
          <cell r="J306">
            <v>5148</v>
          </cell>
        </row>
        <row r="307">
          <cell r="I307" t="str">
            <v>跳转到科技界面【资源存储】科技</v>
          </cell>
          <cell r="J307">
            <v>5149</v>
          </cell>
        </row>
        <row r="308">
          <cell r="I308" t="str">
            <v>跳转到科技界面【村民效率 III】科技</v>
          </cell>
          <cell r="J308">
            <v>5150</v>
          </cell>
        </row>
        <row r="309">
          <cell r="I309" t="str">
            <v>跳转到科技界面【剑士训练速度 I】科技</v>
          </cell>
          <cell r="J309">
            <v>5151</v>
          </cell>
        </row>
        <row r="310">
          <cell r="I310" t="str">
            <v>跳转到科技界面【枪兵训练速度 I】科技</v>
          </cell>
          <cell r="J310">
            <v>5152</v>
          </cell>
        </row>
        <row r="311">
          <cell r="I311" t="str">
            <v>跳转到科技界面【骑士训练速度 I】科技</v>
          </cell>
          <cell r="J311">
            <v>5153</v>
          </cell>
        </row>
        <row r="312">
          <cell r="I312" t="str">
            <v>跳转到科技界面【弓兵训练速度 I】科技</v>
          </cell>
          <cell r="J312">
            <v>5154</v>
          </cell>
        </row>
        <row r="313">
          <cell r="I313" t="str">
            <v>跳转到科技界面【伤兵容量 I】科技</v>
          </cell>
          <cell r="J313">
            <v>5155</v>
          </cell>
        </row>
        <row r="314">
          <cell r="I314" t="str">
            <v>跳转到科技界面【剑士训练速度 II】科技</v>
          </cell>
          <cell r="J314">
            <v>5156</v>
          </cell>
        </row>
        <row r="315">
          <cell r="I315" t="str">
            <v>跳转到科技界面【枪兵训练速度 II】科技</v>
          </cell>
          <cell r="J315">
            <v>5157</v>
          </cell>
        </row>
        <row r="316">
          <cell r="I316" t="str">
            <v>跳转到科技界面【骑士训练速度 II】科技</v>
          </cell>
          <cell r="J316">
            <v>5158</v>
          </cell>
        </row>
        <row r="317">
          <cell r="I317" t="str">
            <v>跳转到科技界面【弓兵训练速度 II】科技</v>
          </cell>
          <cell r="J317">
            <v>5159</v>
          </cell>
        </row>
        <row r="318">
          <cell r="I318" t="str">
            <v>跳转到科技界面【剑士训练数量 I】科技</v>
          </cell>
          <cell r="J318">
            <v>5160</v>
          </cell>
        </row>
        <row r="319">
          <cell r="I319" t="str">
            <v>跳转到科技界面【枪兵训练数量 I】科技</v>
          </cell>
          <cell r="J319">
            <v>5161</v>
          </cell>
        </row>
        <row r="320">
          <cell r="I320" t="str">
            <v>跳转到科技界面【骑士训练数量 I】科技</v>
          </cell>
          <cell r="J320">
            <v>5162</v>
          </cell>
        </row>
        <row r="321">
          <cell r="I321" t="str">
            <v>跳转到科技界面【弓兵训练数量 I】科技</v>
          </cell>
          <cell r="J321">
            <v>5163</v>
          </cell>
        </row>
        <row r="322">
          <cell r="I322" t="str">
            <v>跳转到科技界面【伤兵容量 II】科技</v>
          </cell>
          <cell r="J322">
            <v>5164</v>
          </cell>
        </row>
        <row r="323">
          <cell r="I323" t="str">
            <v>跳转到科技界面【剑士训练速度 III】科技</v>
          </cell>
          <cell r="J323">
            <v>5165</v>
          </cell>
        </row>
        <row r="324">
          <cell r="I324" t="str">
            <v>跳转到科技界面【枪兵训练速度 III】科技</v>
          </cell>
          <cell r="J324">
            <v>5166</v>
          </cell>
        </row>
        <row r="325">
          <cell r="I325" t="str">
            <v>跳转到科技界面【骑士训练速度 III】科技</v>
          </cell>
          <cell r="J325">
            <v>5167</v>
          </cell>
        </row>
        <row r="326">
          <cell r="I326" t="str">
            <v>跳转到科技界面【弓兵训练速度 III】科技</v>
          </cell>
          <cell r="J326">
            <v>5168</v>
          </cell>
        </row>
        <row r="327">
          <cell r="I327" t="str">
            <v>跳转到科技界面【剑士训练数量 II】科技</v>
          </cell>
          <cell r="J327">
            <v>5169</v>
          </cell>
        </row>
        <row r="328">
          <cell r="I328" t="str">
            <v>跳转到科技界面【枪兵训练数量 II】科技</v>
          </cell>
          <cell r="J328">
            <v>5170</v>
          </cell>
        </row>
        <row r="329">
          <cell r="I329" t="str">
            <v>跳转到科技界面【骑士训练数量 II】科技</v>
          </cell>
          <cell r="J329">
            <v>5171</v>
          </cell>
        </row>
        <row r="330">
          <cell r="I330" t="str">
            <v>跳转到科技界面【弓兵训练数量 II】科技</v>
          </cell>
          <cell r="J330">
            <v>5172</v>
          </cell>
        </row>
        <row r="331">
          <cell r="I331" t="str">
            <v>跳转到科技界面【体力上限】科技</v>
          </cell>
          <cell r="J331">
            <v>5173</v>
          </cell>
        </row>
        <row r="332">
          <cell r="I332" t="str">
            <v>跳转到科技界面【体力恢复】科技</v>
          </cell>
          <cell r="J332">
            <v>5174</v>
          </cell>
        </row>
        <row r="333">
          <cell r="I333" t="str">
            <v>跳转到科技界面【伤兵容量 III】科技</v>
          </cell>
          <cell r="J333">
            <v>5175</v>
          </cell>
        </row>
        <row r="334">
          <cell r="I334" t="str">
            <v>跳转到科技界面【攻城攻击 I】科技</v>
          </cell>
          <cell r="J334">
            <v>5176</v>
          </cell>
        </row>
        <row r="335">
          <cell r="I335" t="str">
            <v>跳转到科技界面【攻城防御 I】科技</v>
          </cell>
          <cell r="J335">
            <v>5177</v>
          </cell>
        </row>
        <row r="336">
          <cell r="I336" t="str">
            <v>跳转到科技界面【守城攻击 I】科技</v>
          </cell>
          <cell r="J336">
            <v>5178</v>
          </cell>
        </row>
        <row r="337">
          <cell r="I337" t="str">
            <v>跳转到科技界面【守城防御 I】科技</v>
          </cell>
          <cell r="J337">
            <v>5179</v>
          </cell>
        </row>
        <row r="338">
          <cell r="I338" t="str">
            <v>跳转到科技界面【城墙耐久 I】科技</v>
          </cell>
          <cell r="J338">
            <v>5180</v>
          </cell>
        </row>
        <row r="339">
          <cell r="I339" t="str">
            <v>跳转到科技界面【攻城攻击 II】科技</v>
          </cell>
          <cell r="J339">
            <v>5181</v>
          </cell>
        </row>
        <row r="340">
          <cell r="I340" t="str">
            <v>跳转到科技界面【攻城防御 II】科技</v>
          </cell>
          <cell r="J340">
            <v>5182</v>
          </cell>
        </row>
        <row r="341">
          <cell r="I341" t="str">
            <v>跳转到科技界面【守城攻击 II】科技</v>
          </cell>
          <cell r="J341">
            <v>5183</v>
          </cell>
        </row>
        <row r="342">
          <cell r="I342" t="str">
            <v>跳转到科技界面【守城防御 II】科技</v>
          </cell>
          <cell r="J342">
            <v>5184</v>
          </cell>
        </row>
        <row r="343">
          <cell r="I343" t="str">
            <v>跳转到科技界面【城防伤害 I】科技</v>
          </cell>
          <cell r="J343">
            <v>5185</v>
          </cell>
        </row>
        <row r="344">
          <cell r="I344" t="str">
            <v>跳转到科技界面【城墙修复速度 I】科技</v>
          </cell>
          <cell r="J344">
            <v>5186</v>
          </cell>
        </row>
        <row r="345">
          <cell r="I345" t="str">
            <v>跳转到科技界面【城墙耐久 II】科技</v>
          </cell>
          <cell r="J345">
            <v>5187</v>
          </cell>
        </row>
        <row r="346">
          <cell r="I346" t="str">
            <v>跳转到科技界面【攻城攻击 III】科技</v>
          </cell>
          <cell r="J346">
            <v>5188</v>
          </cell>
        </row>
        <row r="347">
          <cell r="I347" t="str">
            <v>跳转到科技界面【攻城防御 III】科技</v>
          </cell>
          <cell r="J347">
            <v>5189</v>
          </cell>
        </row>
        <row r="348">
          <cell r="I348" t="str">
            <v>跳转到科技界面【守城攻击 III】科技</v>
          </cell>
          <cell r="J348">
            <v>5190</v>
          </cell>
        </row>
        <row r="349">
          <cell r="I349" t="str">
            <v>跳转到科技界面【守城防御 III】科技</v>
          </cell>
          <cell r="J349">
            <v>5191</v>
          </cell>
        </row>
        <row r="350">
          <cell r="I350" t="str">
            <v>跳转到科技界面【城防伤害 II】科技</v>
          </cell>
          <cell r="J350">
            <v>5192</v>
          </cell>
        </row>
        <row r="351">
          <cell r="I351" t="str">
            <v>跳转到科技界面【城墙修复速度 II】科技</v>
          </cell>
          <cell r="J351">
            <v>5193</v>
          </cell>
        </row>
        <row r="352">
          <cell r="I352" t="str">
            <v>跳转到科技界面【防卫塔攻击】科技</v>
          </cell>
          <cell r="J352">
            <v>5194</v>
          </cell>
        </row>
        <row r="353">
          <cell r="I353" t="str">
            <v>跳转到科技界面【资源保护】科技</v>
          </cell>
          <cell r="J353">
            <v>5195</v>
          </cell>
        </row>
        <row r="354">
          <cell r="I354" t="str">
            <v>跳转到科技界面【城墙耐久 III】科技</v>
          </cell>
          <cell r="J354">
            <v>5196</v>
          </cell>
        </row>
        <row r="355">
          <cell r="I355"/>
          <cell r="J355">
            <v>0</v>
          </cell>
        </row>
        <row r="356">
          <cell r="I356"/>
          <cell r="J356">
            <v>0</v>
          </cell>
        </row>
        <row r="357">
          <cell r="I357" t="str">
            <v>城镇中心-升级</v>
          </cell>
          <cell r="J357">
            <v>5201</v>
          </cell>
        </row>
        <row r="358">
          <cell r="I358" t="str">
            <v>直接跳转-城镇中心-选中</v>
          </cell>
          <cell r="J358">
            <v>5300</v>
          </cell>
        </row>
        <row r="359">
          <cell r="J359">
            <v>0</v>
          </cell>
        </row>
        <row r="360">
          <cell r="I360" t="str">
            <v>跳转到【城镇中心】直接打开升级界面</v>
          </cell>
          <cell r="J360">
            <v>6201</v>
          </cell>
        </row>
        <row r="361">
          <cell r="I361" t="str">
            <v>跳转到【居民房舍】直接打开升级界面</v>
          </cell>
          <cell r="J361">
            <v>6202</v>
          </cell>
        </row>
        <row r="362">
          <cell r="I362" t="str">
            <v>跳转到【磨坊】直接打开升级界面</v>
          </cell>
          <cell r="J362">
            <v>6203</v>
          </cell>
        </row>
        <row r="363">
          <cell r="I363" t="str">
            <v>跳转到【伐木场】直接打开升级界面</v>
          </cell>
          <cell r="J363">
            <v>6204</v>
          </cell>
        </row>
        <row r="364">
          <cell r="I364" t="str">
            <v>跳转到【石矿场】直接打开升级界面</v>
          </cell>
          <cell r="J364">
            <v>6205</v>
          </cell>
        </row>
        <row r="365">
          <cell r="I365" t="str">
            <v>跳转到【剑士营】直接打开升级界面</v>
          </cell>
          <cell r="J365">
            <v>6206</v>
          </cell>
        </row>
        <row r="366">
          <cell r="I366" t="str">
            <v>跳转到【农田】直接打开升级界面</v>
          </cell>
          <cell r="J366">
            <v>6207</v>
          </cell>
        </row>
        <row r="367">
          <cell r="I367" t="str">
            <v>跳转到【城堡】直接打开升级界面</v>
          </cell>
          <cell r="J367">
            <v>6208</v>
          </cell>
        </row>
        <row r="368">
          <cell r="I368" t="str">
            <v>跳转到【马厩】直接打开升级界面</v>
          </cell>
          <cell r="J368">
            <v>6209</v>
          </cell>
        </row>
        <row r="369">
          <cell r="I369" t="str">
            <v>跳转到【学院】直接打开升级界面</v>
          </cell>
          <cell r="J369">
            <v>6211</v>
          </cell>
        </row>
        <row r="370">
          <cell r="I370" t="str">
            <v>跳转到【校场】直接打开升级界面</v>
          </cell>
          <cell r="J370">
            <v>6212</v>
          </cell>
        </row>
        <row r="371">
          <cell r="I371" t="str">
            <v>跳转到【码头】直接打开升级界面</v>
          </cell>
          <cell r="J371">
            <v>6213</v>
          </cell>
        </row>
        <row r="372">
          <cell r="I372" t="str">
            <v>跳转到【城墙】直接打开升级界面</v>
          </cell>
          <cell r="J372">
            <v>6215</v>
          </cell>
        </row>
        <row r="373">
          <cell r="I373" t="str">
            <v>跳转到【治疗房舍】直接打开升级界面</v>
          </cell>
          <cell r="J373">
            <v>6222</v>
          </cell>
        </row>
        <row r="374">
          <cell r="I374" t="str">
            <v>跳转到【射箭场】直接打开升级界面</v>
          </cell>
          <cell r="J374">
            <v>6224</v>
          </cell>
        </row>
        <row r="375">
          <cell r="I375" t="str">
            <v>跳转到【瞭望塔】直接打开升级界面</v>
          </cell>
          <cell r="J375">
            <v>6226</v>
          </cell>
        </row>
        <row r="376">
          <cell r="I376" t="str">
            <v>跳转到【防卫塔】直接打开升级界面</v>
          </cell>
          <cell r="J376">
            <v>6227</v>
          </cell>
        </row>
        <row r="377">
          <cell r="I377" t="str">
            <v>跳转到【战争大厅】直接打开升级界面</v>
          </cell>
          <cell r="J377">
            <v>6229</v>
          </cell>
        </row>
        <row r="378">
          <cell r="I378" t="str">
            <v>跳转到【大使馆】直接打开升级界面</v>
          </cell>
          <cell r="J378">
            <v>6230</v>
          </cell>
        </row>
        <row r="379">
          <cell r="I379" t="str">
            <v>跳转到【市级】直接打开升级界面</v>
          </cell>
          <cell r="J379">
            <v>6231</v>
          </cell>
        </row>
        <row r="380">
          <cell r="I380" t="str">
            <v>跳转到【枪兵营】直接打开升级界面</v>
          </cell>
          <cell r="J380">
            <v>6232</v>
          </cell>
        </row>
        <row r="381">
          <cell r="I381" t="str">
            <v>跳转到【博物馆】直接打开升级界面</v>
          </cell>
          <cell r="J381">
            <v>6233</v>
          </cell>
        </row>
        <row r="382">
          <cell r="I382" t="str">
            <v>跳转到【金矿场】直接打开升级界面</v>
          </cell>
          <cell r="J382">
            <v>6234</v>
          </cell>
        </row>
        <row r="383">
          <cell r="I383" t="str">
            <v>跳转到【点将台】直接打开升级界面</v>
          </cell>
          <cell r="J383">
            <v>6235</v>
          </cell>
        </row>
        <row r="384">
          <cell r="I384" t="str">
            <v>跳转到【纪念碑】直接打开升级界面</v>
          </cell>
          <cell r="J384">
            <v>6236</v>
          </cell>
        </row>
        <row r="385">
          <cell r="I385" t="str">
            <v>跳转到【旅店】直接打开升级界面</v>
          </cell>
          <cell r="J385">
            <v>6237</v>
          </cell>
        </row>
        <row r="386">
          <cell r="I386"/>
          <cell r="J386">
            <v>0</v>
          </cell>
        </row>
        <row r="387">
          <cell r="I387" t="str">
            <v>跳转打开联盟科技-官员推荐</v>
          </cell>
          <cell r="J387">
            <v>6300</v>
          </cell>
        </row>
        <row r="388">
          <cell r="I388" t="str">
            <v>跳转到最近的建造中的联盟建筑</v>
          </cell>
          <cell r="J388">
            <v>6301</v>
          </cell>
        </row>
        <row r="389">
          <cell r="I389" t="str">
            <v>跳转到城镇中心【升级】菜单按钮</v>
          </cell>
          <cell r="J389">
            <v>7001</v>
          </cell>
        </row>
        <row r="390">
          <cell r="I390" t="str">
            <v>跳转到城镇中心【训练村民】菜单按钮</v>
          </cell>
          <cell r="J390">
            <v>7002</v>
          </cell>
        </row>
        <row r="391">
          <cell r="I391" t="str">
            <v>跳转到城镇中心【升级时代】菜单按钮</v>
          </cell>
          <cell r="J391">
            <v>7003</v>
          </cell>
        </row>
        <row r="392">
          <cell r="I392" t="str">
            <v>跳转到城镇中心【城池增益】菜单按钮</v>
          </cell>
          <cell r="J392">
            <v>7004</v>
          </cell>
        </row>
        <row r="393">
          <cell r="I393" t="str">
            <v>跳转到城镇中心【征税】菜单按钮</v>
          </cell>
          <cell r="J393">
            <v>7005</v>
          </cell>
        </row>
        <row r="394">
          <cell r="I394" t="str">
            <v>跳转到居民房舍【升级】菜单按钮</v>
          </cell>
          <cell r="J394">
            <v>7006</v>
          </cell>
        </row>
        <row r="395">
          <cell r="I395" t="str">
            <v>跳转到居民房舍【村民调配】菜单按钮</v>
          </cell>
          <cell r="J395">
            <v>7007</v>
          </cell>
        </row>
        <row r="396">
          <cell r="I396" t="str">
            <v>跳转到居民房舍【移动】菜单按钮</v>
          </cell>
          <cell r="J396">
            <v>7008</v>
          </cell>
        </row>
        <row r="397">
          <cell r="I397" t="str">
            <v>跳转到磨坊【升级】菜单按钮</v>
          </cell>
          <cell r="J397">
            <v>7009</v>
          </cell>
        </row>
        <row r="398">
          <cell r="I398" t="str">
            <v>跳转到磨坊【移动】菜单按钮</v>
          </cell>
          <cell r="J398">
            <v>7010</v>
          </cell>
        </row>
        <row r="399">
          <cell r="I399" t="str">
            <v>跳转到伐木场【升级】菜单按钮</v>
          </cell>
          <cell r="J399">
            <v>7011</v>
          </cell>
        </row>
        <row r="400">
          <cell r="I400" t="str">
            <v>跳转到伐木场【移动】菜单按钮</v>
          </cell>
          <cell r="J400">
            <v>7012</v>
          </cell>
        </row>
        <row r="401">
          <cell r="I401" t="str">
            <v>跳转到石矿场【升级】菜单按钮</v>
          </cell>
          <cell r="J401">
            <v>7013</v>
          </cell>
        </row>
        <row r="402">
          <cell r="I402" t="str">
            <v>跳转到石矿场【移动】菜单按钮</v>
          </cell>
          <cell r="J402">
            <v>7014</v>
          </cell>
        </row>
        <row r="403">
          <cell r="I403" t="str">
            <v>跳转到剑士营【升级】菜单按钮</v>
          </cell>
          <cell r="J403">
            <v>7015</v>
          </cell>
        </row>
        <row r="404">
          <cell r="I404" t="str">
            <v>跳转到剑士营【训练】菜单按钮</v>
          </cell>
          <cell r="J404">
            <v>7016</v>
          </cell>
        </row>
        <row r="405">
          <cell r="I405" t="str">
            <v>跳转到剑士营【加速】菜单按钮</v>
          </cell>
          <cell r="J405">
            <v>7017</v>
          </cell>
        </row>
        <row r="406">
          <cell r="I406" t="str">
            <v>跳转到剑士营【移动】菜单按钮</v>
          </cell>
          <cell r="J406">
            <v>7018</v>
          </cell>
        </row>
        <row r="407">
          <cell r="I407" t="str">
            <v>跳转到农田【升级】菜单按钮</v>
          </cell>
          <cell r="J407">
            <v>7019</v>
          </cell>
        </row>
        <row r="408">
          <cell r="I408" t="str">
            <v>跳转到农田【移动】菜单按钮</v>
          </cell>
          <cell r="J408">
            <v>7020</v>
          </cell>
        </row>
        <row r="409">
          <cell r="I409" t="str">
            <v>跳转到城堡【升级】菜单按钮</v>
          </cell>
          <cell r="J409">
            <v>7021</v>
          </cell>
        </row>
        <row r="410">
          <cell r="I410" t="str">
            <v>跳转到城堡【训练】菜单按钮</v>
          </cell>
          <cell r="J410">
            <v>7022</v>
          </cell>
        </row>
        <row r="411">
          <cell r="I411" t="str">
            <v>跳转到城堡【加速】菜单按钮</v>
          </cell>
          <cell r="J411">
            <v>7023</v>
          </cell>
        </row>
        <row r="412">
          <cell r="I412" t="str">
            <v>跳转到城堡【城堡设施】菜单按钮</v>
          </cell>
          <cell r="J412">
            <v>7024</v>
          </cell>
        </row>
        <row r="413">
          <cell r="I413" t="str">
            <v>跳转到马厩【升级】菜单按钮</v>
          </cell>
          <cell r="J413">
            <v>7025</v>
          </cell>
        </row>
        <row r="414">
          <cell r="I414" t="str">
            <v>跳转到马厩【训练】菜单按钮</v>
          </cell>
          <cell r="J414">
            <v>7026</v>
          </cell>
        </row>
        <row r="415">
          <cell r="I415" t="str">
            <v>跳转到马厩【加速】菜单按钮</v>
          </cell>
          <cell r="J415">
            <v>7027</v>
          </cell>
        </row>
        <row r="416">
          <cell r="I416" t="str">
            <v>跳转到马厩【移动】菜单按钮</v>
          </cell>
          <cell r="J416">
            <v>7028</v>
          </cell>
        </row>
        <row r="417">
          <cell r="I417" t="str">
            <v>跳转到学院【升级】菜单按钮</v>
          </cell>
          <cell r="J417">
            <v>7029</v>
          </cell>
        </row>
        <row r="418">
          <cell r="I418" t="str">
            <v>跳转到学院【研究科技】菜单按钮</v>
          </cell>
          <cell r="J418">
            <v>7030</v>
          </cell>
        </row>
        <row r="419">
          <cell r="I419" t="str">
            <v>跳转到学院【加速】菜单按钮</v>
          </cell>
          <cell r="J419">
            <v>7031</v>
          </cell>
        </row>
        <row r="420">
          <cell r="I420" t="str">
            <v>跳转到学院【移动】菜单按钮</v>
          </cell>
          <cell r="J420">
            <v>7032</v>
          </cell>
        </row>
        <row r="421">
          <cell r="I421" t="str">
            <v>跳转到校场【升级】菜单按钮</v>
          </cell>
          <cell r="J421">
            <v>7033</v>
          </cell>
        </row>
        <row r="422">
          <cell r="I422" t="str">
            <v>跳转到校场【部队编组】菜单按钮</v>
          </cell>
          <cell r="J422">
            <v>7034</v>
          </cell>
        </row>
        <row r="423">
          <cell r="I423" t="str">
            <v>跳转到校场【旗帜编辑】菜单按钮</v>
          </cell>
          <cell r="J423">
            <v>7035</v>
          </cell>
        </row>
        <row r="424">
          <cell r="I424" t="str">
            <v>跳转到校场【部队详情】菜单按钮</v>
          </cell>
          <cell r="J424">
            <v>7036</v>
          </cell>
        </row>
        <row r="425">
          <cell r="I425" t="str">
            <v>跳转到码头【升级】菜单按钮</v>
          </cell>
          <cell r="J425">
            <v>7037</v>
          </cell>
        </row>
        <row r="426">
          <cell r="I426" t="str">
            <v>跳转到码头【捕鱼】菜单按钮</v>
          </cell>
          <cell r="J426">
            <v>7038</v>
          </cell>
        </row>
        <row r="427">
          <cell r="I427" t="str">
            <v>跳转到城墙【升级】菜单按钮</v>
          </cell>
          <cell r="J427">
            <v>7039</v>
          </cell>
        </row>
        <row r="428">
          <cell r="I428" t="str">
            <v>跳转到城墙【城池防御】菜单按钮</v>
          </cell>
          <cell r="J428">
            <v>7040</v>
          </cell>
        </row>
        <row r="429">
          <cell r="I429" t="str">
            <v>跳转到治疗房舍【升级】菜单按钮</v>
          </cell>
          <cell r="J429">
            <v>7041</v>
          </cell>
        </row>
        <row r="430">
          <cell r="I430" t="str">
            <v>跳转到治疗房舍【治疗】菜单按钮</v>
          </cell>
          <cell r="J430">
            <v>7042</v>
          </cell>
        </row>
        <row r="431">
          <cell r="I431" t="str">
            <v>跳转到治疗房舍【移动】菜单按钮</v>
          </cell>
          <cell r="J431">
            <v>7043</v>
          </cell>
        </row>
        <row r="432">
          <cell r="I432" t="str">
            <v>跳转到征兵房舍【升级】菜单按钮</v>
          </cell>
          <cell r="J432">
            <v>7044</v>
          </cell>
        </row>
        <row r="433">
          <cell r="I433" t="str">
            <v>跳转到射箭场【升级】菜单按钮</v>
          </cell>
          <cell r="J433">
            <v>7045</v>
          </cell>
        </row>
        <row r="434">
          <cell r="I434" t="str">
            <v>跳转到射箭场【训练】菜单按钮</v>
          </cell>
          <cell r="J434">
            <v>7046</v>
          </cell>
        </row>
        <row r="435">
          <cell r="I435" t="str">
            <v>跳转到射箭场【加速】菜单按钮</v>
          </cell>
          <cell r="J435">
            <v>7047</v>
          </cell>
        </row>
        <row r="436">
          <cell r="I436" t="str">
            <v>跳转到射箭场【移动】菜单按钮</v>
          </cell>
          <cell r="J436">
            <v>7048</v>
          </cell>
        </row>
        <row r="437">
          <cell r="I437" t="str">
            <v>跳转到瞭望塔【升级】菜单按钮</v>
          </cell>
          <cell r="J437">
            <v>7049</v>
          </cell>
        </row>
        <row r="438">
          <cell r="I438" t="str">
            <v>跳转到瞭望塔【军事详情】菜单按钮</v>
          </cell>
          <cell r="J438">
            <v>7050</v>
          </cell>
        </row>
        <row r="439">
          <cell r="I439" t="str">
            <v>跳转到防卫塔【升级】菜单按钮</v>
          </cell>
          <cell r="J439">
            <v>7051</v>
          </cell>
        </row>
        <row r="440">
          <cell r="I440" t="str">
            <v>跳转到战争大厅【升级】菜单按钮</v>
          </cell>
          <cell r="J440">
            <v>7052</v>
          </cell>
        </row>
        <row r="441">
          <cell r="I441" t="str">
            <v>跳转到战争大厅【联盟战争】菜单按钮</v>
          </cell>
          <cell r="J441">
            <v>7053</v>
          </cell>
        </row>
        <row r="442">
          <cell r="I442" t="str">
            <v>跳转到战争大厅【移动】菜单按钮</v>
          </cell>
          <cell r="J442">
            <v>7054</v>
          </cell>
        </row>
        <row r="443">
          <cell r="I443" t="str">
            <v>跳转到大使馆【升级】菜单按钮</v>
          </cell>
          <cell r="J443">
            <v>7055</v>
          </cell>
        </row>
        <row r="444">
          <cell r="I444" t="str">
            <v>跳转到大使馆【士兵援助】菜单按钮</v>
          </cell>
          <cell r="J444">
            <v>7056</v>
          </cell>
        </row>
        <row r="445">
          <cell r="I445" t="str">
            <v>跳转到大使馆【移动】菜单按钮</v>
          </cell>
          <cell r="J445">
            <v>7057</v>
          </cell>
        </row>
        <row r="446">
          <cell r="I446" t="str">
            <v>跳转到市集【升级】菜单按钮</v>
          </cell>
          <cell r="J446">
            <v>7058</v>
          </cell>
        </row>
        <row r="447">
          <cell r="I447" t="str">
            <v>跳转到市集【移动】菜单按钮</v>
          </cell>
          <cell r="J447">
            <v>7059</v>
          </cell>
        </row>
        <row r="448">
          <cell r="I448" t="str">
            <v>跳转到市集【资源兑换】菜单按钮</v>
          </cell>
          <cell r="J448">
            <v>7060</v>
          </cell>
        </row>
        <row r="449">
          <cell r="I449" t="str">
            <v>跳转到枪兵营【升级】菜单按钮</v>
          </cell>
          <cell r="J449">
            <v>7061</v>
          </cell>
        </row>
        <row r="450">
          <cell r="I450" t="str">
            <v>跳转到枪兵营【训练】菜单按钮</v>
          </cell>
          <cell r="J450">
            <v>7062</v>
          </cell>
        </row>
        <row r="451">
          <cell r="I451" t="str">
            <v>跳转到枪兵营【加速】菜单按钮</v>
          </cell>
          <cell r="J451">
            <v>7063</v>
          </cell>
        </row>
        <row r="452">
          <cell r="I452" t="str">
            <v>跳转到枪兵营【移动】菜单按钮</v>
          </cell>
          <cell r="J452">
            <v>7064</v>
          </cell>
        </row>
        <row r="453">
          <cell r="I453" t="str">
            <v>跳转到博物馆【升级】菜单按钮</v>
          </cell>
          <cell r="J453">
            <v>7065</v>
          </cell>
        </row>
        <row r="454">
          <cell r="I454" t="str">
            <v>跳转到博物馆【移动】菜单按钮</v>
          </cell>
          <cell r="J454">
            <v>7066</v>
          </cell>
        </row>
        <row r="455">
          <cell r="I455" t="str">
            <v>跳转到金矿场【升级】菜单按钮</v>
          </cell>
          <cell r="J455">
            <v>7067</v>
          </cell>
        </row>
        <row r="456">
          <cell r="I456" t="str">
            <v>跳转到金矿场【移动】菜单按钮</v>
          </cell>
          <cell r="J456">
            <v>7068</v>
          </cell>
        </row>
        <row r="457">
          <cell r="I457" t="str">
            <v>跳转到点将台【升级】菜单按钮</v>
          </cell>
          <cell r="J457">
            <v>7069</v>
          </cell>
        </row>
        <row r="458">
          <cell r="I458" t="str">
            <v>跳转到点将台【招募】菜单按钮</v>
          </cell>
          <cell r="J458">
            <v>7070</v>
          </cell>
        </row>
        <row r="459">
          <cell r="I459" t="str">
            <v>跳转到纪念碑【升级】菜单按钮</v>
          </cell>
          <cell r="J459">
            <v>7071</v>
          </cell>
        </row>
        <row r="460">
          <cell r="I460" t="str">
            <v>跳转到纪念碑【天下大势】菜单按钮</v>
          </cell>
          <cell r="J460">
            <v>7072</v>
          </cell>
        </row>
        <row r="461">
          <cell r="I461" t="str">
            <v>跳转到旅店【升级】菜单按钮</v>
          </cell>
          <cell r="J461">
            <v>7073</v>
          </cell>
        </row>
        <row r="462">
          <cell r="I462" t="str">
            <v>跳转到旅店【内政官寻访】菜单按钮</v>
          </cell>
          <cell r="J462">
            <v>7074</v>
          </cell>
        </row>
        <row r="463">
          <cell r="I463" t="str">
            <v>跳转到旅店【内政官列表】菜单按钮(废弃)</v>
          </cell>
          <cell r="J463">
            <v>7075</v>
          </cell>
        </row>
        <row r="464">
          <cell r="I464" t="str">
            <v>跳转到旅店【联协图谱】菜单按钮(废弃)</v>
          </cell>
          <cell r="J464">
            <v>7076</v>
          </cell>
        </row>
        <row r="465">
          <cell r="I465" t="str">
            <v>跳转到旅店【移动】菜单按钮</v>
          </cell>
          <cell r="J465">
            <v>7077</v>
          </cell>
        </row>
        <row r="466">
          <cell r="I466" t="str">
            <v>跳转到城镇中心【建造】确认</v>
          </cell>
          <cell r="J466">
            <v>7078</v>
          </cell>
        </row>
        <row r="467">
          <cell r="I467" t="str">
            <v>跳转到居民房舍【建造】确认</v>
          </cell>
          <cell r="J467">
            <v>7079</v>
          </cell>
        </row>
        <row r="468">
          <cell r="I468" t="str">
            <v>跳转到磨坊【建造】确认</v>
          </cell>
          <cell r="J468">
            <v>7080</v>
          </cell>
        </row>
        <row r="469">
          <cell r="I469" t="str">
            <v>跳转到伐木场【建造】确认</v>
          </cell>
          <cell r="J469">
            <v>7081</v>
          </cell>
        </row>
        <row r="470">
          <cell r="I470" t="str">
            <v>跳转到石矿场【建造】确认</v>
          </cell>
          <cell r="J470">
            <v>7082</v>
          </cell>
        </row>
        <row r="471">
          <cell r="I471" t="str">
            <v>跳转到剑士营【建造】确认</v>
          </cell>
          <cell r="J471">
            <v>7083</v>
          </cell>
        </row>
        <row r="472">
          <cell r="I472" t="str">
            <v>跳转到农田【建造】确认</v>
          </cell>
          <cell r="J472">
            <v>7084</v>
          </cell>
        </row>
        <row r="473">
          <cell r="I473" t="str">
            <v>跳转到城堡【建造】确认</v>
          </cell>
          <cell r="J473">
            <v>7085</v>
          </cell>
        </row>
        <row r="474">
          <cell r="I474" t="str">
            <v>跳转到马厩【建造】确认</v>
          </cell>
          <cell r="J474">
            <v>7086</v>
          </cell>
        </row>
        <row r="475">
          <cell r="I475" t="str">
            <v>跳转到学院【建造】确认</v>
          </cell>
          <cell r="J475">
            <v>7087</v>
          </cell>
        </row>
        <row r="476">
          <cell r="I476" t="str">
            <v>跳转到校场【建造】确认</v>
          </cell>
          <cell r="J476">
            <v>7088</v>
          </cell>
        </row>
        <row r="477">
          <cell r="I477" t="str">
            <v>跳转到码头【建造】确认</v>
          </cell>
          <cell r="J477">
            <v>7089</v>
          </cell>
        </row>
        <row r="478">
          <cell r="I478" t="str">
            <v>跳转到城墙【建造】确认</v>
          </cell>
          <cell r="J478">
            <v>7090</v>
          </cell>
        </row>
        <row r="479">
          <cell r="I479" t="str">
            <v>跳转到治疗房舍【建造】确认</v>
          </cell>
          <cell r="J479">
            <v>7091</v>
          </cell>
        </row>
        <row r="480">
          <cell r="I480" t="str">
            <v>跳转到征兵房舍【建造】确认</v>
          </cell>
          <cell r="J480">
            <v>7092</v>
          </cell>
        </row>
        <row r="481">
          <cell r="I481" t="str">
            <v>跳转到射箭场【建造】确认</v>
          </cell>
          <cell r="J481">
            <v>7093</v>
          </cell>
        </row>
        <row r="482">
          <cell r="I482" t="str">
            <v>跳转到瞭望塔【建造】确认</v>
          </cell>
          <cell r="J482">
            <v>7094</v>
          </cell>
        </row>
        <row r="483">
          <cell r="I483" t="str">
            <v>跳转到防卫塔【建造】确认</v>
          </cell>
          <cell r="J483">
            <v>7095</v>
          </cell>
        </row>
        <row r="484">
          <cell r="I484" t="str">
            <v>跳转到战争大厅【建造】确认</v>
          </cell>
          <cell r="J484">
            <v>7096</v>
          </cell>
        </row>
        <row r="485">
          <cell r="I485" t="str">
            <v>跳转到大使馆【建造】确认</v>
          </cell>
          <cell r="J485">
            <v>7097</v>
          </cell>
        </row>
        <row r="486">
          <cell r="I486" t="str">
            <v>跳转到市集【建造】确认</v>
          </cell>
          <cell r="J486">
            <v>7098</v>
          </cell>
        </row>
        <row r="487">
          <cell r="I487" t="str">
            <v>跳转到枪兵营【建造】确认</v>
          </cell>
          <cell r="J487">
            <v>7099</v>
          </cell>
        </row>
        <row r="488">
          <cell r="I488" t="str">
            <v>跳转到博物馆【建造】确认</v>
          </cell>
          <cell r="J488">
            <v>7100</v>
          </cell>
        </row>
        <row r="489">
          <cell r="I489" t="str">
            <v>跳转到金矿场【建造】确认</v>
          </cell>
          <cell r="J489">
            <v>7101</v>
          </cell>
        </row>
        <row r="490">
          <cell r="I490" t="str">
            <v>跳转到点将台【建造】确认</v>
          </cell>
          <cell r="J490">
            <v>7102</v>
          </cell>
        </row>
        <row r="491">
          <cell r="I491" t="str">
            <v>跳转到纪念碑【建造】确认</v>
          </cell>
          <cell r="J491">
            <v>7103</v>
          </cell>
        </row>
        <row r="492">
          <cell r="I492" t="str">
            <v>跳转到旅店【建造】确认</v>
          </cell>
          <cell r="J492">
            <v>7104</v>
          </cell>
        </row>
        <row r="493">
          <cell r="I493" t="str">
            <v>跳转到野外主界面【搜索】食物选项</v>
          </cell>
          <cell r="J493">
            <v>7105</v>
          </cell>
        </row>
        <row r="494">
          <cell r="I494" t="str">
            <v>跳转到玩家城堡【部队编排】菜单按钮</v>
          </cell>
          <cell r="J494">
            <v>7106</v>
          </cell>
        </row>
        <row r="495">
          <cell r="I495" t="str">
            <v>跳转到野外资源点【攻占】菜单按钮</v>
          </cell>
          <cell r="J495">
            <v>7107</v>
          </cell>
        </row>
        <row r="496">
          <cell r="I496" t="str">
            <v>跳转到主界面【编队】按钮</v>
          </cell>
          <cell r="J496">
            <v>7108</v>
          </cell>
        </row>
        <row r="497">
          <cell r="I497" t="str">
            <v>跳转到主界面【英雄】按钮</v>
          </cell>
          <cell r="J497">
            <v>7109</v>
          </cell>
        </row>
        <row r="498">
          <cell r="I498" t="str">
            <v>跳转到主界面【联盟】按钮</v>
          </cell>
          <cell r="J498">
            <v>7110</v>
          </cell>
        </row>
        <row r="499">
          <cell r="I499" t="str">
            <v>跳转到主界面【战役】按钮(废弃)</v>
          </cell>
          <cell r="J499">
            <v>7111</v>
          </cell>
        </row>
        <row r="500">
          <cell r="I500" t="str">
            <v>跳转到主界面【探险】按钮</v>
          </cell>
          <cell r="J500">
            <v>7112</v>
          </cell>
        </row>
        <row r="501">
          <cell r="I501" t="str">
            <v>跳转到主界面【发展战略】按钮</v>
          </cell>
          <cell r="J501">
            <v>7113</v>
          </cell>
        </row>
        <row r="502">
          <cell r="I502" t="str">
            <v>跳转到主界面【内政官】按钮(废弃)</v>
          </cell>
          <cell r="J502">
            <v>7114</v>
          </cell>
        </row>
        <row r="503">
          <cell r="I503" t="str">
            <v>跳转到主界面【技能】按钮</v>
          </cell>
          <cell r="J503">
            <v>7115</v>
          </cell>
        </row>
        <row r="504">
          <cell r="I504" t="str">
            <v>跳转到主界面【英雄征战】按钮</v>
          </cell>
          <cell r="J504">
            <v>7116</v>
          </cell>
        </row>
        <row r="505">
          <cell r="I505" t="str">
            <v>跳转到主界面【排行榜】按钮</v>
          </cell>
          <cell r="J505">
            <v>7117</v>
          </cell>
        </row>
        <row r="506">
          <cell r="I506" t="str">
            <v>跳转到主界面【好友】按钮</v>
          </cell>
          <cell r="J506">
            <v>7118</v>
          </cell>
        </row>
        <row r="507">
          <cell r="I507" t="str">
            <v>跳转到主界面【战功】按钮</v>
          </cell>
          <cell r="J507">
            <v>7119</v>
          </cell>
        </row>
        <row r="508">
          <cell r="I508" t="str">
            <v>跳转到主界面【繁荣度】入口</v>
          </cell>
          <cell r="J508">
            <v>7120</v>
          </cell>
        </row>
        <row r="509">
          <cell r="I509" t="str">
            <v>跳转到当前可训练1级兵【兵营建筑】展开菜单</v>
          </cell>
          <cell r="J509">
            <v>7121</v>
          </cell>
        </row>
        <row r="510">
          <cell r="I510" t="str">
            <v>跳转到当前可训练2级兵【兵营建筑】展开菜单</v>
          </cell>
          <cell r="J510">
            <v>7122</v>
          </cell>
        </row>
        <row r="511">
          <cell r="I511" t="str">
            <v>跳转到当前可训练3级兵【兵营建筑】展开菜单</v>
          </cell>
          <cell r="J511">
            <v>7123</v>
          </cell>
        </row>
        <row r="512">
          <cell r="I512" t="str">
            <v>跳转到当前可训练4级兵【兵营建筑】展开菜单</v>
          </cell>
          <cell r="J512">
            <v>7124</v>
          </cell>
        </row>
        <row r="513">
          <cell r="I513" t="str">
            <v>跳转到剑士营【训练】1级剑士</v>
          </cell>
          <cell r="J513">
            <v>7125</v>
          </cell>
        </row>
        <row r="514">
          <cell r="I514" t="str">
            <v>跳转到剑士营【训练】2级剑士</v>
          </cell>
          <cell r="J514">
            <v>7126</v>
          </cell>
        </row>
        <row r="515">
          <cell r="I515" t="str">
            <v>跳转到剑士营【训练】3级剑士</v>
          </cell>
          <cell r="J515">
            <v>7127</v>
          </cell>
        </row>
        <row r="516">
          <cell r="I516" t="str">
            <v>跳转到剑士营【训练】4级剑士</v>
          </cell>
          <cell r="J516">
            <v>7128</v>
          </cell>
        </row>
        <row r="517">
          <cell r="I517" t="str">
            <v>跳转到枪兵营【训练】1级枪兵</v>
          </cell>
          <cell r="J517">
            <v>7129</v>
          </cell>
        </row>
        <row r="518">
          <cell r="I518" t="str">
            <v>跳转到枪兵营【训练】2级枪兵</v>
          </cell>
          <cell r="J518">
            <v>7130</v>
          </cell>
        </row>
        <row r="519">
          <cell r="I519" t="str">
            <v>跳转到枪兵营【训练】3级枪兵</v>
          </cell>
          <cell r="J519">
            <v>7131</v>
          </cell>
        </row>
        <row r="520">
          <cell r="I520" t="str">
            <v>跳转到枪兵营【训练】4级枪兵</v>
          </cell>
          <cell r="J520">
            <v>7132</v>
          </cell>
        </row>
        <row r="521">
          <cell r="I521" t="str">
            <v>跳转到马厩【训练】1级骑士</v>
          </cell>
          <cell r="J521">
            <v>7133</v>
          </cell>
        </row>
        <row r="522">
          <cell r="I522" t="str">
            <v>跳转到马厩【训练】2级骑士</v>
          </cell>
          <cell r="J522">
            <v>7134</v>
          </cell>
        </row>
        <row r="523">
          <cell r="I523" t="str">
            <v>跳转到马厩【训练】3级骑士</v>
          </cell>
          <cell r="J523">
            <v>7135</v>
          </cell>
        </row>
        <row r="524">
          <cell r="I524" t="str">
            <v>跳转到马厩【训练】4级骑士</v>
          </cell>
          <cell r="J524">
            <v>7136</v>
          </cell>
        </row>
        <row r="525">
          <cell r="I525" t="str">
            <v>跳转到射箭场【训练】1级骑士</v>
          </cell>
          <cell r="J525">
            <v>7137</v>
          </cell>
        </row>
        <row r="526">
          <cell r="I526" t="str">
            <v>跳转到射箭场【训练】2级骑士</v>
          </cell>
          <cell r="J526">
            <v>7138</v>
          </cell>
        </row>
        <row r="527">
          <cell r="I527" t="str">
            <v>跳转到射箭场【训练】3级骑士</v>
          </cell>
          <cell r="J527">
            <v>7139</v>
          </cell>
        </row>
        <row r="528">
          <cell r="I528" t="str">
            <v>跳转到射箭场【训练】4级骑士</v>
          </cell>
          <cell r="J528">
            <v>7140</v>
          </cell>
        </row>
        <row r="529">
          <cell r="I529" t="str">
            <v>跳转到当前处于训练中【兵营建筑】展开菜单</v>
          </cell>
          <cell r="J529">
            <v>7141</v>
          </cell>
        </row>
        <row r="530">
          <cell r="I530" t="str">
            <v>跳转到当前士兵总数最多【兵营建筑】展开菜单</v>
          </cell>
          <cell r="J530">
            <v>7142</v>
          </cell>
        </row>
        <row r="531">
          <cell r="I531" t="str">
            <v>跳转到当前等级最高【兵营建筑】展开菜单</v>
          </cell>
          <cell r="J531">
            <v>7143</v>
          </cell>
        </row>
        <row r="532">
          <cell r="I532" t="str">
            <v>跳转到当前占领最高级【木材】资源点采集按钮</v>
          </cell>
          <cell r="J532">
            <v>7144</v>
          </cell>
        </row>
        <row r="533">
          <cell r="I533" t="str">
            <v>跳转到当前占领最高级【食物】资源点采集按钮</v>
          </cell>
          <cell r="J533">
            <v>7145</v>
          </cell>
        </row>
        <row r="534">
          <cell r="I534" t="str">
            <v>跳转到当前占领最高级【石材】资源点采集按钮</v>
          </cell>
          <cell r="J534">
            <v>7146</v>
          </cell>
        </row>
        <row r="535">
          <cell r="I535" t="str">
            <v>跳转到当前占领最高级【黄金】资源点采集按钮</v>
          </cell>
          <cell r="J535">
            <v>7147</v>
          </cell>
        </row>
        <row r="536">
          <cell r="I536" t="str">
            <v>跳转到当前占领最高级【任意】资源点采集按钮</v>
          </cell>
          <cell r="J536">
            <v>7148</v>
          </cell>
        </row>
        <row r="537">
          <cell r="I537" t="str">
            <v>跳转到当前占领最低级【木材】资源点放弃按钮</v>
          </cell>
          <cell r="J537">
            <v>7149</v>
          </cell>
        </row>
        <row r="538">
          <cell r="I538" t="str">
            <v>跳转到当前占领最低级【食物】资源点放弃按钮</v>
          </cell>
          <cell r="J538">
            <v>7150</v>
          </cell>
        </row>
        <row r="539">
          <cell r="I539" t="str">
            <v>跳转到当前占领最低级【石材】资源点放弃按钮</v>
          </cell>
          <cell r="J539">
            <v>7151</v>
          </cell>
        </row>
        <row r="540">
          <cell r="I540" t="str">
            <v>跳转到当前占领最低级【黄金】资源点放弃按钮</v>
          </cell>
          <cell r="J540">
            <v>7152</v>
          </cell>
        </row>
        <row r="541">
          <cell r="I541" t="str">
            <v>跳转到当前占领最低级【任意】资源点放弃按钮</v>
          </cell>
          <cell r="J541">
            <v>7153</v>
          </cell>
        </row>
        <row r="542">
          <cell r="I542" t="str">
            <v>跳转到当前占领最高级【木材】资源点练将按钮</v>
          </cell>
          <cell r="J542">
            <v>7154</v>
          </cell>
        </row>
        <row r="543">
          <cell r="I543" t="str">
            <v>跳转到当前占领最高级【食物】资源点练将按钮</v>
          </cell>
          <cell r="J543">
            <v>7155</v>
          </cell>
        </row>
        <row r="544">
          <cell r="I544" t="str">
            <v>跳转到当前占领最高级【石材】资源点练将按钮</v>
          </cell>
          <cell r="J544">
            <v>7156</v>
          </cell>
        </row>
        <row r="545">
          <cell r="I545" t="str">
            <v>跳转到当前占领最高级【黄金】资源点练将按钮</v>
          </cell>
          <cell r="J545">
            <v>7157</v>
          </cell>
        </row>
        <row r="546">
          <cell r="I546" t="str">
            <v>跳转到当前占领最高级【任意】资源点练将按钮</v>
          </cell>
          <cell r="J546">
            <v>7158</v>
          </cell>
        </row>
        <row r="547">
          <cell r="I547" t="str">
            <v>跳转到1级【木材】资源点攻占按钮</v>
          </cell>
          <cell r="J547">
            <v>7159</v>
          </cell>
        </row>
        <row r="548">
          <cell r="I548" t="str">
            <v>跳转到2级【木材】资源点攻占按钮</v>
          </cell>
          <cell r="J548">
            <v>7160</v>
          </cell>
        </row>
        <row r="549">
          <cell r="I549" t="str">
            <v>跳转到3级【木材】资源点攻占按钮</v>
          </cell>
          <cell r="J549">
            <v>7161</v>
          </cell>
        </row>
        <row r="550">
          <cell r="I550" t="str">
            <v>跳转到4级【木材】资源点攻占按钮</v>
          </cell>
          <cell r="J550">
            <v>7162</v>
          </cell>
        </row>
        <row r="551">
          <cell r="I551" t="str">
            <v>跳转到5级【木材】资源点攻占按钮</v>
          </cell>
          <cell r="J551">
            <v>7163</v>
          </cell>
        </row>
        <row r="552">
          <cell r="I552" t="str">
            <v>跳转到6级【木材】资源点攻占按钮</v>
          </cell>
          <cell r="J552">
            <v>7164</v>
          </cell>
        </row>
        <row r="553">
          <cell r="I553" t="str">
            <v>跳转到7级【木材】资源点攻占按钮</v>
          </cell>
          <cell r="J553">
            <v>7165</v>
          </cell>
        </row>
        <row r="554">
          <cell r="I554" t="str">
            <v>跳转到8级【木材】资源点攻占按钮</v>
          </cell>
          <cell r="J554">
            <v>7166</v>
          </cell>
        </row>
        <row r="555">
          <cell r="I555" t="str">
            <v>跳转到9级【木材】资源点攻占按钮</v>
          </cell>
          <cell r="J555">
            <v>7167</v>
          </cell>
        </row>
        <row r="556">
          <cell r="I556" t="str">
            <v>跳转到10级【木材】资源点攻占按钮</v>
          </cell>
          <cell r="J556">
            <v>7168</v>
          </cell>
        </row>
        <row r="557">
          <cell r="I557" t="str">
            <v>跳转到11级【木材】资源点攻占按钮</v>
          </cell>
          <cell r="J557">
            <v>7169</v>
          </cell>
        </row>
        <row r="558">
          <cell r="I558" t="str">
            <v>跳转到12级【木材】资源点攻占按钮</v>
          </cell>
          <cell r="J558">
            <v>7170</v>
          </cell>
        </row>
        <row r="559">
          <cell r="I559" t="str">
            <v>跳转到13级【木材】资源点攻占按钮</v>
          </cell>
          <cell r="J559">
            <v>7171</v>
          </cell>
        </row>
        <row r="560">
          <cell r="I560" t="str">
            <v>跳转到14级【木材】资源点攻占按钮</v>
          </cell>
          <cell r="J560">
            <v>7172</v>
          </cell>
        </row>
        <row r="561">
          <cell r="I561" t="str">
            <v>跳转到15级【木材】资源点攻占按钮</v>
          </cell>
          <cell r="J561">
            <v>7173</v>
          </cell>
        </row>
        <row r="562">
          <cell r="I562" t="str">
            <v>跳转到1级【食物】资源点攻占按钮</v>
          </cell>
          <cell r="J562">
            <v>7174</v>
          </cell>
        </row>
        <row r="563">
          <cell r="I563" t="str">
            <v>跳转到2级【食物】资源点攻占按钮</v>
          </cell>
          <cell r="J563">
            <v>7175</v>
          </cell>
        </row>
        <row r="564">
          <cell r="I564" t="str">
            <v>跳转到3级【食物】资源点攻占按钮</v>
          </cell>
          <cell r="J564">
            <v>7176</v>
          </cell>
        </row>
        <row r="565">
          <cell r="I565" t="str">
            <v>跳转到4级【食物】资源点攻占按钮</v>
          </cell>
          <cell r="J565">
            <v>7177</v>
          </cell>
        </row>
        <row r="566">
          <cell r="I566" t="str">
            <v>跳转到5级【食物】资源点攻占按钮</v>
          </cell>
          <cell r="J566">
            <v>7178</v>
          </cell>
        </row>
        <row r="567">
          <cell r="I567" t="str">
            <v>跳转到6级【食物】资源点攻占按钮</v>
          </cell>
          <cell r="J567">
            <v>7179</v>
          </cell>
        </row>
        <row r="568">
          <cell r="I568" t="str">
            <v>跳转到7级【食物】资源点攻占按钮</v>
          </cell>
          <cell r="J568">
            <v>7180</v>
          </cell>
        </row>
        <row r="569">
          <cell r="I569" t="str">
            <v>跳转到8级【食物】资源点攻占按钮</v>
          </cell>
          <cell r="J569">
            <v>7181</v>
          </cell>
        </row>
        <row r="570">
          <cell r="I570" t="str">
            <v>跳转到9级【食物】资源点攻占按钮</v>
          </cell>
          <cell r="J570">
            <v>7182</v>
          </cell>
        </row>
        <row r="571">
          <cell r="I571" t="str">
            <v>跳转到10级【食物】资源点攻占按钮</v>
          </cell>
          <cell r="J571">
            <v>7183</v>
          </cell>
        </row>
        <row r="572">
          <cell r="I572" t="str">
            <v>跳转到11级【食物】资源点攻占按钮</v>
          </cell>
          <cell r="J572">
            <v>7184</v>
          </cell>
        </row>
        <row r="573">
          <cell r="I573" t="str">
            <v>跳转到12级【食物】资源点攻占按钮</v>
          </cell>
          <cell r="J573">
            <v>7185</v>
          </cell>
        </row>
        <row r="574">
          <cell r="I574" t="str">
            <v>跳转到13级【食物】资源点攻占按钮</v>
          </cell>
          <cell r="J574">
            <v>7186</v>
          </cell>
        </row>
        <row r="575">
          <cell r="I575" t="str">
            <v>跳转到14级【食物】资源点攻占按钮</v>
          </cell>
          <cell r="J575">
            <v>7187</v>
          </cell>
        </row>
        <row r="576">
          <cell r="I576" t="str">
            <v>跳转到15级【食物】资源点攻占按钮</v>
          </cell>
          <cell r="J576">
            <v>7188</v>
          </cell>
        </row>
        <row r="577">
          <cell r="I577" t="str">
            <v>跳转到1级【石头】资源点攻占按钮</v>
          </cell>
          <cell r="J577">
            <v>7189</v>
          </cell>
        </row>
        <row r="578">
          <cell r="I578" t="str">
            <v>跳转到2级【石头】资源点攻占按钮</v>
          </cell>
          <cell r="J578">
            <v>7190</v>
          </cell>
        </row>
        <row r="579">
          <cell r="I579" t="str">
            <v>跳转到3级【石头】资源点攻占按钮</v>
          </cell>
          <cell r="J579">
            <v>7191</v>
          </cell>
        </row>
        <row r="580">
          <cell r="I580" t="str">
            <v>跳转到4级【石头】资源点攻占按钮</v>
          </cell>
          <cell r="J580">
            <v>7192</v>
          </cell>
        </row>
        <row r="581">
          <cell r="I581" t="str">
            <v>跳转到5级【石头】资源点攻占按钮</v>
          </cell>
          <cell r="J581">
            <v>7193</v>
          </cell>
        </row>
        <row r="582">
          <cell r="I582" t="str">
            <v>跳转到6级【石头】资源点攻占按钮</v>
          </cell>
          <cell r="J582">
            <v>7194</v>
          </cell>
        </row>
        <row r="583">
          <cell r="I583" t="str">
            <v>跳转到7级【石头】资源点攻占按钮</v>
          </cell>
          <cell r="J583">
            <v>7195</v>
          </cell>
        </row>
        <row r="584">
          <cell r="I584" t="str">
            <v>跳转到8级【石头】资源点攻占按钮</v>
          </cell>
          <cell r="J584">
            <v>7196</v>
          </cell>
        </row>
        <row r="585">
          <cell r="I585" t="str">
            <v>跳转到9级【石头】资源点攻占按钮</v>
          </cell>
          <cell r="J585">
            <v>7197</v>
          </cell>
        </row>
        <row r="586">
          <cell r="I586" t="str">
            <v>跳转到10级【石头】资源点攻占按钮</v>
          </cell>
          <cell r="J586">
            <v>7198</v>
          </cell>
        </row>
        <row r="587">
          <cell r="I587" t="str">
            <v>跳转到11级【石头】资源点攻占按钮</v>
          </cell>
          <cell r="J587">
            <v>7199</v>
          </cell>
        </row>
        <row r="588">
          <cell r="I588" t="str">
            <v>跳转到12级【石头】资源点攻占按钮</v>
          </cell>
          <cell r="J588">
            <v>7200</v>
          </cell>
        </row>
        <row r="589">
          <cell r="I589" t="str">
            <v>跳转到13级【石头】资源点攻占按钮</v>
          </cell>
          <cell r="J589">
            <v>7201</v>
          </cell>
        </row>
        <row r="590">
          <cell r="I590" t="str">
            <v>跳转到14级【石头】资源点攻占按钮</v>
          </cell>
          <cell r="J590">
            <v>7202</v>
          </cell>
        </row>
        <row r="591">
          <cell r="I591" t="str">
            <v>跳转到15级【石头】资源点攻占按钮</v>
          </cell>
          <cell r="J591">
            <v>7203</v>
          </cell>
        </row>
        <row r="592">
          <cell r="I592" t="str">
            <v>跳转到1级【黄金】资源点攻占按钮</v>
          </cell>
          <cell r="J592">
            <v>7204</v>
          </cell>
        </row>
        <row r="593">
          <cell r="I593" t="str">
            <v>跳转到2级【黄金】资源点攻占按钮</v>
          </cell>
          <cell r="J593">
            <v>7205</v>
          </cell>
        </row>
        <row r="594">
          <cell r="I594" t="str">
            <v>跳转到3级【黄金】资源点攻占按钮</v>
          </cell>
          <cell r="J594">
            <v>7206</v>
          </cell>
        </row>
        <row r="595">
          <cell r="I595" t="str">
            <v>跳转到4级【黄金】资源点攻占按钮</v>
          </cell>
          <cell r="J595">
            <v>7207</v>
          </cell>
        </row>
        <row r="596">
          <cell r="I596" t="str">
            <v>跳转到5级【黄金】资源点攻占按钮</v>
          </cell>
          <cell r="J596">
            <v>7208</v>
          </cell>
        </row>
        <row r="597">
          <cell r="I597" t="str">
            <v>跳转到6级【黄金】资源点攻占按钮</v>
          </cell>
          <cell r="J597">
            <v>7209</v>
          </cell>
        </row>
        <row r="598">
          <cell r="I598" t="str">
            <v>跳转到7级【黄金】资源点攻占按钮</v>
          </cell>
          <cell r="J598">
            <v>7210</v>
          </cell>
        </row>
        <row r="599">
          <cell r="I599" t="str">
            <v>跳转到8级【黄金】资源点攻占按钮</v>
          </cell>
          <cell r="J599">
            <v>7211</v>
          </cell>
        </row>
        <row r="600">
          <cell r="I600" t="str">
            <v>跳转到9级【黄金】资源点攻占按钮</v>
          </cell>
          <cell r="J600">
            <v>7212</v>
          </cell>
        </row>
        <row r="601">
          <cell r="I601" t="str">
            <v>跳转到10级【黄金】资源点攻占按钮</v>
          </cell>
          <cell r="J601">
            <v>7213</v>
          </cell>
        </row>
        <row r="602">
          <cell r="I602" t="str">
            <v>跳转到11级【黄金】资源点攻占按钮</v>
          </cell>
          <cell r="J602">
            <v>7214</v>
          </cell>
        </row>
        <row r="603">
          <cell r="I603" t="str">
            <v>跳转到12级【黄金】资源点攻占按钮</v>
          </cell>
          <cell r="J603">
            <v>7215</v>
          </cell>
        </row>
        <row r="604">
          <cell r="I604" t="str">
            <v>跳转到13级【黄金】资源点攻占按钮</v>
          </cell>
          <cell r="J604">
            <v>7216</v>
          </cell>
        </row>
        <row r="605">
          <cell r="I605" t="str">
            <v>跳转到14级【黄金】资源点攻占按钮</v>
          </cell>
          <cell r="J605">
            <v>7217</v>
          </cell>
        </row>
        <row r="606">
          <cell r="I606" t="str">
            <v>跳转到15级【黄金】资源点攻占按钮</v>
          </cell>
          <cell r="J606">
            <v>7218</v>
          </cell>
        </row>
        <row r="607">
          <cell r="I607" t="str">
            <v>跳转到1级【任意】资源点攻占按钮</v>
          </cell>
          <cell r="J607">
            <v>7219</v>
          </cell>
        </row>
        <row r="608">
          <cell r="I608" t="str">
            <v>跳转到2级【任意】资源点攻占按钮</v>
          </cell>
          <cell r="J608">
            <v>7220</v>
          </cell>
        </row>
        <row r="609">
          <cell r="I609" t="str">
            <v>跳转到3级【任意】资源点攻占按钮</v>
          </cell>
          <cell r="J609">
            <v>7221</v>
          </cell>
        </row>
        <row r="610">
          <cell r="I610" t="str">
            <v>跳转到4级【任意】资源点攻占按钮</v>
          </cell>
          <cell r="J610">
            <v>7222</v>
          </cell>
        </row>
        <row r="611">
          <cell r="I611" t="str">
            <v>跳转到5级【任意】资源点攻占按钮</v>
          </cell>
          <cell r="J611">
            <v>7223</v>
          </cell>
        </row>
        <row r="612">
          <cell r="I612" t="str">
            <v>跳转到6级【任意】资源点攻占按钮</v>
          </cell>
          <cell r="J612">
            <v>7224</v>
          </cell>
        </row>
        <row r="613">
          <cell r="I613" t="str">
            <v>跳转到7级【任意】资源点攻占按钮</v>
          </cell>
          <cell r="J613">
            <v>7225</v>
          </cell>
        </row>
        <row r="614">
          <cell r="I614" t="str">
            <v>跳转到8级【任意】资源点攻占按钮</v>
          </cell>
          <cell r="J614">
            <v>7226</v>
          </cell>
        </row>
        <row r="615">
          <cell r="I615" t="str">
            <v>跳转到9级【任意】资源点攻占按钮</v>
          </cell>
          <cell r="J615">
            <v>7227</v>
          </cell>
        </row>
        <row r="616">
          <cell r="I616" t="str">
            <v>跳转到10级【任意】资源点攻占按钮</v>
          </cell>
          <cell r="J616">
            <v>7228</v>
          </cell>
        </row>
        <row r="617">
          <cell r="I617" t="str">
            <v>跳转到11级【任意】资源点攻占按钮</v>
          </cell>
          <cell r="J617">
            <v>7229</v>
          </cell>
        </row>
        <row r="618">
          <cell r="I618" t="str">
            <v>跳转到12级【任意】资源点攻占按钮</v>
          </cell>
          <cell r="J618">
            <v>7230</v>
          </cell>
        </row>
        <row r="619">
          <cell r="I619" t="str">
            <v>跳转到13级【任意】资源点攻占按钮</v>
          </cell>
          <cell r="J619">
            <v>7231</v>
          </cell>
        </row>
        <row r="620">
          <cell r="I620" t="str">
            <v>跳转到14级【任意】资源点攻占按钮</v>
          </cell>
          <cell r="J620">
            <v>7232</v>
          </cell>
        </row>
        <row r="621">
          <cell r="I621" t="str">
            <v>跳转到15级【任意】资源点攻占按钮</v>
          </cell>
          <cell r="J621">
            <v>7233</v>
          </cell>
        </row>
        <row r="622">
          <cell r="I622" t="str">
            <v>跳转到1级【任意】资源点侦察按钮</v>
          </cell>
          <cell r="J622">
            <v>7234</v>
          </cell>
        </row>
        <row r="623">
          <cell r="I623" t="str">
            <v>跳转到2级【任意】资源点侦察按钮</v>
          </cell>
          <cell r="J623">
            <v>7235</v>
          </cell>
        </row>
        <row r="624">
          <cell r="I624" t="str">
            <v>跳转到3级【任意】资源点侦察按钮</v>
          </cell>
          <cell r="J624">
            <v>7236</v>
          </cell>
        </row>
        <row r="625">
          <cell r="I625" t="str">
            <v>跳转到4级【任意】资源点侦察按钮</v>
          </cell>
          <cell r="J625">
            <v>7237</v>
          </cell>
        </row>
        <row r="626">
          <cell r="I626" t="str">
            <v>跳转到5级【任意】资源点侦察按钮</v>
          </cell>
          <cell r="J626">
            <v>7238</v>
          </cell>
        </row>
        <row r="627">
          <cell r="I627" t="str">
            <v>跳转到6级【任意】资源点侦察按钮</v>
          </cell>
          <cell r="J627">
            <v>7239</v>
          </cell>
        </row>
        <row r="628">
          <cell r="I628" t="str">
            <v>跳转到7级【任意】资源点侦察按钮</v>
          </cell>
          <cell r="J628">
            <v>7240</v>
          </cell>
        </row>
        <row r="629">
          <cell r="I629" t="str">
            <v>跳转到8级【任意】资源点侦察按钮</v>
          </cell>
          <cell r="J629">
            <v>7241</v>
          </cell>
        </row>
        <row r="630">
          <cell r="I630" t="str">
            <v>跳转到9级【任意】资源点侦察按钮</v>
          </cell>
          <cell r="J630">
            <v>7242</v>
          </cell>
        </row>
        <row r="631">
          <cell r="I631" t="str">
            <v>跳转到10级【任意】资源点侦察按钮</v>
          </cell>
          <cell r="J631">
            <v>7243</v>
          </cell>
        </row>
        <row r="632">
          <cell r="I632" t="str">
            <v>跳转到11级【任意】资源点侦察按钮</v>
          </cell>
          <cell r="J632">
            <v>7244</v>
          </cell>
        </row>
        <row r="633">
          <cell r="I633" t="str">
            <v>跳转到12级【任意】资源点侦察按钮</v>
          </cell>
          <cell r="J633">
            <v>7245</v>
          </cell>
        </row>
        <row r="634">
          <cell r="I634" t="str">
            <v>跳转到13级【任意】资源点侦察按钮</v>
          </cell>
          <cell r="J634">
            <v>7246</v>
          </cell>
        </row>
        <row r="635">
          <cell r="I635" t="str">
            <v>跳转到14级【任意】资源点侦察按钮</v>
          </cell>
          <cell r="J635">
            <v>7247</v>
          </cell>
        </row>
        <row r="636">
          <cell r="I636" t="str">
            <v>跳转到15级【任意】资源点侦察按钮</v>
          </cell>
          <cell r="J636">
            <v>7248</v>
          </cell>
        </row>
        <row r="637">
          <cell r="I637" t="str">
            <v>跳转到当前可攻打最高级【木材】资源点攻占按钮</v>
          </cell>
          <cell r="J637">
            <v>7249</v>
          </cell>
        </row>
        <row r="638">
          <cell r="I638" t="str">
            <v>跳转到当前可攻打最高级【食物】资源点攻占按钮</v>
          </cell>
          <cell r="J638">
            <v>7250</v>
          </cell>
        </row>
        <row r="639">
          <cell r="I639" t="str">
            <v>跳转到当前可攻打最高级【石材】资源点攻占按钮</v>
          </cell>
          <cell r="J639">
            <v>7251</v>
          </cell>
        </row>
        <row r="640">
          <cell r="I640" t="str">
            <v>跳转到当前可攻打最高级【黄金】资源点攻占按钮</v>
          </cell>
          <cell r="J640">
            <v>7252</v>
          </cell>
        </row>
        <row r="641">
          <cell r="I641" t="str">
            <v>跳转到当前可攻打最高级【任意】资源点攻占按钮</v>
          </cell>
          <cell r="J641">
            <v>7253</v>
          </cell>
        </row>
        <row r="642">
          <cell r="I642" t="str">
            <v>跳转到城外【可打最高级】野怪进攻按钮</v>
          </cell>
          <cell r="J642">
            <v>7254</v>
          </cell>
        </row>
        <row r="643">
          <cell r="I643" t="str">
            <v>跳转到城外【1级】野怪进攻按钮</v>
          </cell>
          <cell r="J643">
            <v>7255</v>
          </cell>
        </row>
        <row r="644">
          <cell r="I644" t="str">
            <v>跳转到城外【2级】野怪进攻按钮</v>
          </cell>
          <cell r="J644">
            <v>7256</v>
          </cell>
        </row>
        <row r="645">
          <cell r="I645" t="str">
            <v>跳转到城外【3级】野怪进攻按钮</v>
          </cell>
          <cell r="J645">
            <v>7257</v>
          </cell>
        </row>
        <row r="646">
          <cell r="I646" t="str">
            <v>跳转到城外【4级】野怪进攻按钮</v>
          </cell>
          <cell r="J646">
            <v>7258</v>
          </cell>
        </row>
        <row r="647">
          <cell r="I647" t="str">
            <v>跳转到城外【5级】野怪进攻按钮</v>
          </cell>
          <cell r="J647">
            <v>7259</v>
          </cell>
        </row>
        <row r="648">
          <cell r="I648" t="str">
            <v>跳转到城外【6级】野怪进攻按钮</v>
          </cell>
          <cell r="J648">
            <v>7260</v>
          </cell>
        </row>
        <row r="649">
          <cell r="I649" t="str">
            <v>跳转到城外【7级】野怪进攻按钮</v>
          </cell>
          <cell r="J649">
            <v>7261</v>
          </cell>
        </row>
        <row r="650">
          <cell r="I650" t="str">
            <v>跳转到城外【8级】野怪进攻按钮</v>
          </cell>
          <cell r="J650">
            <v>7262</v>
          </cell>
        </row>
        <row r="651">
          <cell r="I651" t="str">
            <v>跳转到城外【9级】野怪进攻按钮</v>
          </cell>
          <cell r="J651">
            <v>7263</v>
          </cell>
        </row>
        <row r="652">
          <cell r="I652" t="str">
            <v>跳转到城外【10级】野怪进攻按钮</v>
          </cell>
          <cell r="J652">
            <v>7264</v>
          </cell>
        </row>
        <row r="653">
          <cell r="I653" t="str">
            <v>跳转到城外【11级】野怪进攻按钮</v>
          </cell>
          <cell r="J653">
            <v>7265</v>
          </cell>
        </row>
        <row r="654">
          <cell r="I654" t="str">
            <v>跳转到城外【12级】野怪进攻按钮</v>
          </cell>
          <cell r="J654">
            <v>7266</v>
          </cell>
        </row>
        <row r="655">
          <cell r="I655" t="str">
            <v>跳转到城外【13级】野怪进攻按钮</v>
          </cell>
          <cell r="J655">
            <v>7267</v>
          </cell>
        </row>
        <row r="656">
          <cell r="I656" t="str">
            <v>跳转到城外【14级】野怪进攻按钮</v>
          </cell>
          <cell r="J656">
            <v>7268</v>
          </cell>
        </row>
        <row r="657">
          <cell r="I657" t="str">
            <v>跳转到城外【15级】野怪进攻按钮</v>
          </cell>
          <cell r="J657">
            <v>7269</v>
          </cell>
        </row>
        <row r="658">
          <cell r="I658" t="str">
            <v>跳转到城外【16级】野怪进攻按钮</v>
          </cell>
          <cell r="J658">
            <v>7270</v>
          </cell>
        </row>
        <row r="659">
          <cell r="I659" t="str">
            <v>跳转到城外【17级】野怪进攻按钮</v>
          </cell>
          <cell r="J659">
            <v>7271</v>
          </cell>
        </row>
        <row r="660">
          <cell r="I660" t="str">
            <v>跳转到城外【18级】野怪进攻按钮</v>
          </cell>
          <cell r="J660">
            <v>7272</v>
          </cell>
        </row>
        <row r="661">
          <cell r="I661" t="str">
            <v>任意1支部队士兵数达到【2000】弹出提升途径</v>
          </cell>
          <cell r="J661">
            <v>7273</v>
          </cell>
        </row>
        <row r="662">
          <cell r="I662" t="str">
            <v>任意1支部队士兵数达到【6000】弹出提升途径</v>
          </cell>
          <cell r="J662">
            <v>7274</v>
          </cell>
        </row>
        <row r="663">
          <cell r="I663" t="str">
            <v>任意1支部队士兵数达到【10800】弹出提升途径</v>
          </cell>
          <cell r="J663">
            <v>7275</v>
          </cell>
        </row>
        <row r="664">
          <cell r="I664" t="str">
            <v>任意1支部队士兵数达到【13600】弹出提升途径</v>
          </cell>
          <cell r="J664">
            <v>7276</v>
          </cell>
        </row>
        <row r="665">
          <cell r="I665" t="str">
            <v>任意1支部队士兵数达到【35000】弹出提升途径</v>
          </cell>
          <cell r="J665">
            <v>7277</v>
          </cell>
        </row>
        <row r="666">
          <cell r="I666" t="str">
            <v>任意1支部队士兵数达到【45000】弹出提升途径</v>
          </cell>
          <cell r="J666">
            <v>7278</v>
          </cell>
        </row>
        <row r="667">
          <cell r="I667" t="str">
            <v>任意1支部队士兵数达到【55000】弹出提升途径</v>
          </cell>
          <cell r="J667">
            <v>7279</v>
          </cell>
        </row>
        <row r="668">
          <cell r="I668" t="str">
            <v>任意1支部队士兵数达到【60000】弹出提升途径</v>
          </cell>
          <cell r="J668">
            <v>7280</v>
          </cell>
        </row>
        <row r="669">
          <cell r="I669" t="str">
            <v>任意1支部队士兵数达到【70000】弹出提升途径</v>
          </cell>
          <cell r="J669">
            <v>7281</v>
          </cell>
        </row>
        <row r="670">
          <cell r="I670" t="str">
            <v>任意1支部队士兵数达到【80000】弹出提升途径</v>
          </cell>
          <cell r="J670">
            <v>7282</v>
          </cell>
        </row>
        <row r="671">
          <cell r="I671" t="str">
            <v>任意1支部队士兵数达到【90000】弹出提升途径</v>
          </cell>
          <cell r="J671">
            <v>7283</v>
          </cell>
        </row>
        <row r="672">
          <cell r="I672" t="str">
            <v>任意1支部队士兵数达到【100000】弹出提升途径</v>
          </cell>
          <cell r="J672">
            <v>7284</v>
          </cell>
        </row>
        <row r="673">
          <cell r="I673" t="str">
            <v>跳转到资源点根据产量【8000】判断选择不够的</v>
          </cell>
          <cell r="J673">
            <v>7285</v>
          </cell>
        </row>
        <row r="674">
          <cell r="I674" t="str">
            <v>跳转到资源点根据产量【25000】判断选择不够的</v>
          </cell>
          <cell r="J674">
            <v>7286</v>
          </cell>
        </row>
        <row r="675">
          <cell r="I675" t="str">
            <v>跳转到资源点根据产量【50000】判断选择不够的</v>
          </cell>
          <cell r="J675">
            <v>7287</v>
          </cell>
        </row>
        <row r="676">
          <cell r="I676" t="str">
            <v>跳转到城外【1级】精英怪</v>
          </cell>
          <cell r="J676">
            <v>7288</v>
          </cell>
        </row>
        <row r="677">
          <cell r="I677" t="str">
            <v>跳转到城外【2级】精英怪</v>
          </cell>
          <cell r="J677">
            <v>7289</v>
          </cell>
        </row>
        <row r="678">
          <cell r="I678" t="str">
            <v>跳转到城外【3级】精英怪</v>
          </cell>
          <cell r="J678">
            <v>7290</v>
          </cell>
        </row>
        <row r="679">
          <cell r="I679" t="str">
            <v>跳转到城外【4级】精英怪</v>
          </cell>
          <cell r="J679">
            <v>7291</v>
          </cell>
        </row>
        <row r="680">
          <cell r="I680" t="str">
            <v>跳转到城外【5级】精英怪</v>
          </cell>
          <cell r="J680">
            <v>7292</v>
          </cell>
        </row>
        <row r="681">
          <cell r="I681" t="str">
            <v>跳转到城外【6级】精英怪</v>
          </cell>
          <cell r="J681">
            <v>7293</v>
          </cell>
        </row>
        <row r="682">
          <cell r="I682" t="str">
            <v>跳转到城外【1级】稀有怪</v>
          </cell>
          <cell r="J682">
            <v>7294</v>
          </cell>
        </row>
        <row r="683">
          <cell r="I683" t="str">
            <v>跳转到城外【2级】稀有怪</v>
          </cell>
          <cell r="J683">
            <v>7295</v>
          </cell>
        </row>
        <row r="684">
          <cell r="I684" t="str">
            <v>跳转到城外【3级】稀有怪</v>
          </cell>
          <cell r="J684">
            <v>7296</v>
          </cell>
        </row>
        <row r="685">
          <cell r="I685" t="str">
            <v>跳转到城外【4级】稀有怪</v>
          </cell>
          <cell r="J685">
            <v>7297</v>
          </cell>
        </row>
        <row r="686">
          <cell r="I686" t="str">
            <v>跳转到城外【5级】稀有怪</v>
          </cell>
          <cell r="J686">
            <v>7298</v>
          </cell>
        </row>
        <row r="687">
          <cell r="I687" t="str">
            <v>跳转到城外【6级】稀有怪</v>
          </cell>
          <cell r="J687">
            <v>7299</v>
          </cell>
        </row>
        <row r="688">
          <cell r="I688" t="str">
            <v>跳转到城外【任意等级】稀有怪</v>
          </cell>
          <cell r="J688">
            <v>7301</v>
          </cell>
        </row>
        <row r="689">
          <cell r="I689" t="str">
            <v>跳转到6级【黄金】资源点侦察按钮</v>
          </cell>
          <cell r="J689">
            <v>7300</v>
          </cell>
        </row>
        <row r="690">
          <cell r="I690" t="str">
            <v>跳转到居民房舍【训练村民】直接打开界面</v>
          </cell>
          <cell r="J690">
            <v>7310</v>
          </cell>
        </row>
        <row r="691">
          <cell r="I691" t="str">
            <v>跳转到资源点根据产量【15000】判断选择不够的</v>
          </cell>
          <cell r="J691">
            <v>7311</v>
          </cell>
        </row>
        <row r="692">
          <cell r="I692" t="str">
            <v>跳转到资源点根据产量【23000】判断选择不够的</v>
          </cell>
          <cell r="J692">
            <v>7312</v>
          </cell>
        </row>
        <row r="693">
          <cell r="I693" t="str">
            <v>跳转到资源点根据产量【25000】判断选择不够的</v>
          </cell>
          <cell r="J693">
            <v>7313</v>
          </cell>
        </row>
        <row r="694">
          <cell r="I694" t="str">
            <v>跳转到任务界面【日常任务】</v>
          </cell>
          <cell r="J694">
            <v>7314</v>
          </cell>
        </row>
        <row r="695">
          <cell r="I695" t="str">
            <v>跳转到主界面【领地】入口</v>
          </cell>
          <cell r="J695">
            <v>7315</v>
          </cell>
        </row>
        <row r="696">
          <cell r="I696" t="str">
            <v>跳转到剑士营【训练】400名1级剑士</v>
          </cell>
          <cell r="J696">
            <v>7316</v>
          </cell>
        </row>
        <row r="697">
          <cell r="I697" t="str">
            <v>跳转到当前可训练2级兵【兵营建筑】训练500名士兵</v>
          </cell>
          <cell r="J697">
            <v>7317</v>
          </cell>
        </row>
        <row r="698">
          <cell r="I698" t="str">
            <v>跳转到当前可训练3级兵【兵营建筑】训练1000名士兵</v>
          </cell>
          <cell r="J698">
            <v>7318</v>
          </cell>
        </row>
        <row r="699">
          <cell r="I699" t="str">
            <v>跳转到当前可训练4级兵【兵营建筑】训练2000名士兵</v>
          </cell>
          <cell r="J699">
            <v>7319</v>
          </cell>
        </row>
        <row r="700">
          <cell r="I700" t="str">
            <v>跳转到内城主界面【建造】按钮</v>
          </cell>
          <cell r="J700">
            <v>7320</v>
          </cell>
        </row>
        <row r="701">
          <cell r="I701" t="str">
            <v>跳转到点将台英雄招募【铜钱招募】</v>
          </cell>
          <cell r="J701">
            <v>7321</v>
          </cell>
        </row>
        <row r="702">
          <cell r="I702" t="str">
            <v>跳转到点将台英雄招募【帝国币招募】</v>
          </cell>
          <cell r="J702">
            <v>7322</v>
          </cell>
        </row>
        <row r="703">
          <cell r="I703" t="str">
            <v>跳转到点将台英雄招募【赛季卡包】</v>
          </cell>
          <cell r="J703">
            <v>7323</v>
          </cell>
        </row>
        <row r="704">
          <cell r="I704" t="str">
            <v>跳转到点将台英雄招募【限时招募】</v>
          </cell>
          <cell r="J704">
            <v>7324</v>
          </cell>
        </row>
        <row r="705">
          <cell r="I705" t="str">
            <v>跳转到点将台英雄招募【新手招募】</v>
          </cell>
          <cell r="J705">
            <v>7325</v>
          </cell>
        </row>
        <row r="706">
          <cell r="I706" t="str">
            <v>跳转到可宣战1级村落【宣战】按钮</v>
          </cell>
          <cell r="J706">
            <v>7326</v>
          </cell>
        </row>
        <row r="707">
          <cell r="I707" t="str">
            <v>跳转到可建造地基【GuildID=1】按钮</v>
          </cell>
          <cell r="J707">
            <v>7327</v>
          </cell>
        </row>
        <row r="708">
          <cell r="I708" t="str">
            <v>跳转到当前士兵总数最多兵营建筑【训练】展开菜单</v>
          </cell>
          <cell r="J708">
            <v>7328</v>
          </cell>
        </row>
        <row r="709">
          <cell r="I709" t="str">
            <v>跳转到任务界面【剧情任务】</v>
          </cell>
          <cell r="J709">
            <v>7329</v>
          </cell>
        </row>
        <row r="710">
          <cell r="I710" t="str">
            <v>跳转到野外主界面【搜索】铜矿选项</v>
          </cell>
          <cell r="J710">
            <v>7330</v>
          </cell>
        </row>
        <row r="711">
          <cell r="I711" t="str">
            <v>跳转到当前占领最高级【黄金】资源点采集按钮</v>
          </cell>
          <cell r="J711">
            <v>7331</v>
          </cell>
        </row>
        <row r="712">
          <cell r="I712" t="str">
            <v>跳转到野外主界面【搜索】野怪选项</v>
          </cell>
          <cell r="J712">
            <v>7332</v>
          </cell>
        </row>
        <row r="713">
          <cell r="I713" t="str">
            <v>跳转到活动页面【英雄战役】(废弃)</v>
          </cell>
          <cell r="J713">
            <v>7333</v>
          </cell>
        </row>
        <row r="714">
          <cell r="I714" t="str">
            <v>跳转到活动页面【旅店活动】(废弃)</v>
          </cell>
          <cell r="J714">
            <v>7334</v>
          </cell>
        </row>
        <row r="715">
          <cell r="I715" t="str">
            <v>跳转到活动页面【英雄辈出】</v>
          </cell>
          <cell r="J715">
            <v>7335</v>
          </cell>
        </row>
        <row r="716">
          <cell r="I716" t="str">
            <v>跳转到活动页面【开垦土地】</v>
          </cell>
          <cell r="J716">
            <v>7336</v>
          </cell>
        </row>
        <row r="717">
          <cell r="I717" t="str">
            <v>跳转到活动页面【城市风格】</v>
          </cell>
          <cell r="J717">
            <v>7337</v>
          </cell>
        </row>
        <row r="718">
          <cell r="I718" t="str">
            <v>跳转到治疗房舍，处于治疗状态就选中【治疗气泡】</v>
          </cell>
          <cell r="J718">
            <v>7338</v>
          </cell>
        </row>
        <row r="719">
          <cell r="I719" t="str">
            <v>跳转到探险直接打开【探险队】编辑界面</v>
          </cell>
          <cell r="J719">
            <v>7339</v>
          </cell>
        </row>
        <row r="720">
          <cell r="I720" t="str">
            <v>跳转到城堡设施【后勤营】</v>
          </cell>
          <cell r="J720">
            <v>7340</v>
          </cell>
        </row>
        <row r="721">
          <cell r="I721" t="str">
            <v>跳转到城堡设施【英雄训练场】</v>
          </cell>
          <cell r="J721">
            <v>7341</v>
          </cell>
        </row>
        <row r="722">
          <cell r="I722" t="str">
            <v>跳转到城堡设施【英雄防具所】</v>
          </cell>
          <cell r="J722">
            <v>7342</v>
          </cell>
        </row>
        <row r="723">
          <cell r="I723" t="str">
            <v>跳转到城堡设施【英雄补给站】</v>
          </cell>
          <cell r="J723">
            <v>7343</v>
          </cell>
        </row>
        <row r="724">
          <cell r="I724" t="str">
            <v>跳转到城堡设施【兵工坊】</v>
          </cell>
          <cell r="J724">
            <v>7344</v>
          </cell>
        </row>
        <row r="725">
          <cell r="I725" t="str">
            <v>跳转到城堡设施【刀剑坊】</v>
          </cell>
          <cell r="J725">
            <v>7345</v>
          </cell>
        </row>
        <row r="726">
          <cell r="I726" t="str">
            <v>跳转到城堡设施【长枪坊】</v>
          </cell>
          <cell r="J726">
            <v>7346</v>
          </cell>
        </row>
        <row r="727">
          <cell r="I727" t="str">
            <v>跳转到城堡设施【战马营】</v>
          </cell>
          <cell r="J727">
            <v>7347</v>
          </cell>
        </row>
        <row r="728">
          <cell r="I728" t="str">
            <v>跳转到城堡设施【弓弩营】</v>
          </cell>
          <cell r="J728">
            <v>7348</v>
          </cell>
        </row>
        <row r="729">
          <cell r="I729" t="str">
            <v>跳转到城堡设施【英勇之剑】</v>
          </cell>
          <cell r="J729">
            <v>7349</v>
          </cell>
        </row>
        <row r="730">
          <cell r="I730" t="str">
            <v>跳转到城堡设施【统御皇冠】</v>
          </cell>
          <cell r="J730">
            <v>7350</v>
          </cell>
        </row>
        <row r="731">
          <cell r="I731" t="str">
            <v>跳转到城堡设施【谋略之杖】</v>
          </cell>
          <cell r="J731">
            <v>7351</v>
          </cell>
        </row>
        <row r="732">
          <cell r="I732" t="str">
            <v>跳转到城堡设施【高级兵工坊】</v>
          </cell>
          <cell r="J732">
            <v>7352</v>
          </cell>
        </row>
        <row r="733">
          <cell r="I733" t="str">
            <v>跳转到城堡设施【盾墙】</v>
          </cell>
          <cell r="J733">
            <v>7353</v>
          </cell>
        </row>
        <row r="734">
          <cell r="I734" t="str">
            <v>跳转到城堡设施【枪靶】</v>
          </cell>
          <cell r="J734">
            <v>7354</v>
          </cell>
        </row>
        <row r="735">
          <cell r="I735" t="str">
            <v>跳转到城堡设施【驰道】</v>
          </cell>
          <cell r="J735">
            <v>7355</v>
          </cell>
        </row>
        <row r="736">
          <cell r="I736" t="str">
            <v>跳转到城堡设施【箭垛】</v>
          </cell>
          <cell r="J736">
            <v>7356</v>
          </cell>
        </row>
        <row r="737">
          <cell r="I737" t="str">
            <v>跳转到主界面【活动】入口</v>
          </cell>
          <cell r="J737">
            <v>7357</v>
          </cell>
        </row>
        <row r="738">
          <cell r="I738" t="str">
            <v>跳转到主界面【商城】入口</v>
          </cell>
          <cell r="J738">
            <v>7358</v>
          </cell>
        </row>
        <row r="739">
          <cell r="I739" t="str">
            <v>跳转到发展方略界面技术改良【攻城掠地】</v>
          </cell>
          <cell r="J739">
            <v>7359</v>
          </cell>
        </row>
        <row r="740">
          <cell r="I740" t="str">
            <v>跳转到发展方略界面技术改良【伪装】</v>
          </cell>
          <cell r="J740">
            <v>7360</v>
          </cell>
        </row>
        <row r="741">
          <cell r="I741" t="str">
            <v>跳转到发展方略界面技术改良【农耕】</v>
          </cell>
          <cell r="J741">
            <v>7361</v>
          </cell>
        </row>
        <row r="742">
          <cell r="I742" t="str">
            <v>跳转到发展方略界面技术改良【伐木斧】</v>
          </cell>
          <cell r="J742">
            <v>7362</v>
          </cell>
        </row>
        <row r="743">
          <cell r="I743" t="str">
            <v>跳转到发展方略界面技术改良【安抚】</v>
          </cell>
          <cell r="J743">
            <v>7363</v>
          </cell>
        </row>
        <row r="744">
          <cell r="I744" t="str">
            <v>跳转到发展方略界面技术改良【决断力】</v>
          </cell>
          <cell r="J744">
            <v>7364</v>
          </cell>
        </row>
        <row r="745">
          <cell r="I745" t="str">
            <v>跳转到发展方略界面技术改良【野性呼唤】</v>
          </cell>
          <cell r="J745">
            <v>7365</v>
          </cell>
        </row>
        <row r="746">
          <cell r="I746" t="str">
            <v>跳转到发展方略界面技术改良【蛇行走位】</v>
          </cell>
          <cell r="J746">
            <v>7366</v>
          </cell>
        </row>
        <row r="747">
          <cell r="I747" t="str">
            <v>跳转到发展方略界面技术改良【采石术】</v>
          </cell>
          <cell r="J747">
            <v>7367</v>
          </cell>
        </row>
        <row r="748">
          <cell r="I748" t="str">
            <v>跳转到发展方略界面技术改良【淘金术】</v>
          </cell>
          <cell r="J748">
            <v>7368</v>
          </cell>
        </row>
        <row r="749">
          <cell r="I749" t="str">
            <v>跳转到发展方略界面技术改良【采集术】</v>
          </cell>
          <cell r="J749">
            <v>7369</v>
          </cell>
        </row>
        <row r="750">
          <cell r="I750" t="str">
            <v>跳转到发展方略界面技术改良【轮采】</v>
          </cell>
          <cell r="J750">
            <v>7370</v>
          </cell>
        </row>
        <row r="751">
          <cell r="I751" t="str">
            <v>跳转到发展方略界面技术改良【灌溉术】</v>
          </cell>
          <cell r="J751">
            <v>7371</v>
          </cell>
        </row>
        <row r="752">
          <cell r="I752" t="str">
            <v>跳转到发展方略界面技术改良【扦插术】</v>
          </cell>
          <cell r="J752">
            <v>7372</v>
          </cell>
        </row>
        <row r="753">
          <cell r="I753" t="str">
            <v>跳转到发展方略界面技术改良【进攻演习】</v>
          </cell>
          <cell r="J753">
            <v>7373</v>
          </cell>
        </row>
        <row r="754">
          <cell r="I754" t="str">
            <v>跳转到发展方略界面技术改良【防守演习】</v>
          </cell>
          <cell r="J754">
            <v>7374</v>
          </cell>
        </row>
        <row r="755">
          <cell r="I755" t="str">
            <v>跳转到发展方略界面技术改良【勘探术】</v>
          </cell>
          <cell r="J755">
            <v>7375</v>
          </cell>
        </row>
        <row r="756">
          <cell r="I756" t="str">
            <v>跳转到发展方略界面技术改良【提炼术】</v>
          </cell>
          <cell r="J756">
            <v>7376</v>
          </cell>
        </row>
        <row r="757">
          <cell r="I757" t="str">
            <v>跳转到发展方略界面技术改良【寻访恢复】</v>
          </cell>
          <cell r="J757">
            <v>7377</v>
          </cell>
        </row>
        <row r="758">
          <cell r="I758" t="str">
            <v>跳转到发展方略界面技术改良【工具研发】</v>
          </cell>
          <cell r="J758">
            <v>7378</v>
          </cell>
        </row>
        <row r="759">
          <cell r="I759" t="str">
            <v>跳转到发展方略界面文化改良【野外集训】</v>
          </cell>
          <cell r="J759">
            <v>7379</v>
          </cell>
        </row>
        <row r="760">
          <cell r="I760" t="str">
            <v>跳转到发展方略界面文化改良【空间管理】</v>
          </cell>
          <cell r="J760">
            <v>7380</v>
          </cell>
        </row>
        <row r="761">
          <cell r="I761" t="str">
            <v>跳转到发展方略界面文化改良【英雄理财】</v>
          </cell>
          <cell r="J761">
            <v>7381</v>
          </cell>
        </row>
        <row r="762">
          <cell r="I762" t="str">
            <v>跳转到发展方略界面文化改良【内政理财】</v>
          </cell>
          <cell r="J762">
            <v>7382</v>
          </cell>
        </row>
        <row r="763">
          <cell r="I763" t="str">
            <v>跳转到发展方略界面文化改良【战时急救】</v>
          </cell>
          <cell r="J763">
            <v>7383</v>
          </cell>
        </row>
        <row r="764">
          <cell r="I764" t="str">
            <v>跳转到发展方略界面文化改良【军医所】</v>
          </cell>
          <cell r="J764">
            <v>7384</v>
          </cell>
        </row>
        <row r="765">
          <cell r="I765" t="str">
            <v>跳转到发展方略界面文化改良【背水一战】</v>
          </cell>
          <cell r="J765">
            <v>7385</v>
          </cell>
        </row>
        <row r="766">
          <cell r="I766" t="str">
            <v>跳转到发展方略界面文化改良【战时守备】</v>
          </cell>
          <cell r="J766">
            <v>7386</v>
          </cell>
        </row>
        <row r="767">
          <cell r="I767" t="str">
            <v>跳转到发展方略界面文化改良【深水捕捞】</v>
          </cell>
          <cell r="J767">
            <v>7387</v>
          </cell>
        </row>
        <row r="768">
          <cell r="I768" t="str">
            <v>跳转到发展方略界面文化改良【渔网编织】</v>
          </cell>
          <cell r="J768">
            <v>7388</v>
          </cell>
        </row>
        <row r="769">
          <cell r="I769" t="str">
            <v>跳转到发展方略界面文化改良【独立作战】</v>
          </cell>
          <cell r="J769">
            <v>7389</v>
          </cell>
        </row>
        <row r="770">
          <cell r="I770" t="str">
            <v>跳转到发展方略界面文化改良【合击】</v>
          </cell>
          <cell r="J770">
            <v>7390</v>
          </cell>
        </row>
        <row r="771">
          <cell r="I771" t="str">
            <v>跳转到发展方略界面文化改良【城墙恢复】</v>
          </cell>
          <cell r="J771">
            <v>7391</v>
          </cell>
        </row>
        <row r="772">
          <cell r="I772" t="str">
            <v>跳转到发展方略界面文化改良【攻城祷告】</v>
          </cell>
          <cell r="J772">
            <v>7392</v>
          </cell>
        </row>
        <row r="773">
          <cell r="I773" t="str">
            <v>跳转到发展方略界面文化改良【练兵技巧】</v>
          </cell>
          <cell r="J773">
            <v>7393</v>
          </cell>
        </row>
        <row r="774">
          <cell r="I774" t="str">
            <v>跳转到发展方略界面文化改良【征兵】</v>
          </cell>
          <cell r="J774">
            <v>7394</v>
          </cell>
        </row>
        <row r="775">
          <cell r="I775" t="str">
            <v>跳转到发展方略界面文化改良【独立防护】</v>
          </cell>
          <cell r="J775">
            <v>7395</v>
          </cell>
        </row>
        <row r="776">
          <cell r="I776" t="str">
            <v>跳转到发展方略界面文化改良【联防】</v>
          </cell>
          <cell r="J776">
            <v>7396</v>
          </cell>
        </row>
        <row r="777">
          <cell r="I777" t="str">
            <v>跳转到发展方略界面文化改良【力量训练】</v>
          </cell>
          <cell r="J777">
            <v>7397</v>
          </cell>
        </row>
        <row r="778">
          <cell r="I778" t="str">
            <v>跳转到发展方略界面文化改良【狂欢派对】</v>
          </cell>
          <cell r="J778">
            <v>7398</v>
          </cell>
        </row>
        <row r="779">
          <cell r="I779" t="str">
            <v>跳转到活动页面【旅店活动】无箭头(废弃)</v>
          </cell>
          <cell r="J779">
            <v>7399</v>
          </cell>
        </row>
        <row r="780">
          <cell r="I780" t="str">
            <v>跳转到活动页面【英雄战役】(废弃)</v>
          </cell>
          <cell r="J780">
            <v>7400</v>
          </cell>
        </row>
        <row r="781">
          <cell r="I781" t="str">
            <v>跳转到活动页面【旅店活动】(废弃)</v>
          </cell>
          <cell r="J781">
            <v>7401</v>
          </cell>
        </row>
        <row r="782">
          <cell r="I782" t="str">
            <v>跳转到活动页面【英雄辈出】</v>
          </cell>
          <cell r="J782">
            <v>7402</v>
          </cell>
        </row>
        <row r="783">
          <cell r="I783" t="str">
            <v>跳转到聊天界面【联盟】选项</v>
          </cell>
          <cell r="J783">
            <v>7403</v>
          </cell>
        </row>
        <row r="784">
          <cell r="I784" t="str">
            <v>跳转到城镇中心【城池增益】菜单按钮</v>
          </cell>
          <cell r="J784">
            <v>7404</v>
          </cell>
        </row>
        <row r="785">
          <cell r="I785" t="str">
            <v>跳转到玩家城堡【城池增益】菜单按钮</v>
          </cell>
          <cell r="J785">
            <v>7405</v>
          </cell>
        </row>
        <row r="786">
          <cell r="I786" t="str">
            <v>跳转到当前占领最高级资源点【资源升级】按钮</v>
          </cell>
          <cell r="J786">
            <v>7406</v>
          </cell>
        </row>
        <row r="787">
          <cell r="I787" t="str">
            <v>跳转到主界面【蛮族集结活动】入口</v>
          </cell>
          <cell r="J787">
            <v>7407</v>
          </cell>
        </row>
        <row r="788">
          <cell r="I788" t="str">
            <v>跳转到主界面【英雄招募】入口</v>
          </cell>
          <cell r="J788">
            <v>7408</v>
          </cell>
        </row>
        <row r="789">
          <cell r="I789" t="str">
            <v>跳转到主界面英雄招募入口【铜钱招募】</v>
          </cell>
          <cell r="J789">
            <v>7409</v>
          </cell>
        </row>
        <row r="790">
          <cell r="I790" t="str">
            <v>跳转到主界面英雄招募入口【帝国币招募】</v>
          </cell>
          <cell r="J790">
            <v>7410</v>
          </cell>
        </row>
        <row r="791">
          <cell r="I791" t="str">
            <v>跳转到主界面英雄招募入口【赛季卡包】</v>
          </cell>
          <cell r="J791">
            <v>7411</v>
          </cell>
        </row>
        <row r="792">
          <cell r="I792" t="str">
            <v>跳转到主界面英雄招募入口【限时招募】</v>
          </cell>
          <cell r="J792">
            <v>7412</v>
          </cell>
        </row>
        <row r="793">
          <cell r="I793" t="str">
            <v>跳转到主界面英雄招募入口【新手招募】</v>
          </cell>
          <cell r="J793">
            <v>7413</v>
          </cell>
        </row>
        <row r="794">
          <cell r="I794" t="str">
            <v>跳转到活动页面【群英荟萃】</v>
          </cell>
          <cell r="J794">
            <v>7414</v>
          </cell>
        </row>
        <row r="795">
          <cell r="I795" t="str">
            <v>跳转到活动页面【每日签到】</v>
          </cell>
          <cell r="J795">
            <v>7415</v>
          </cell>
        </row>
        <row r="796">
          <cell r="I796" t="str">
            <v>跳转到商城【首充大礼】</v>
          </cell>
          <cell r="J796">
            <v>7416</v>
          </cell>
        </row>
        <row r="797">
          <cell r="I797" t="str">
            <v>跳转到主界面【行动令】入口</v>
          </cell>
          <cell r="J797">
            <v>7417</v>
          </cell>
        </row>
        <row r="798">
          <cell r="I798" t="str">
            <v>跳转到主界面【荣耀之路】按钮</v>
          </cell>
          <cell r="J798">
            <v>7418</v>
          </cell>
        </row>
        <row r="799">
          <cell r="I799" t="str">
            <v>跳转到攻打资源点或野怪根据英雄等级【5级】进行判断</v>
          </cell>
          <cell r="J799">
            <v>7419</v>
          </cell>
        </row>
        <row r="800">
          <cell r="I800" t="str">
            <v>跳转到攻打资源点或野怪根据英雄等级【10级】进行判断</v>
          </cell>
          <cell r="J800">
            <v>7420</v>
          </cell>
        </row>
        <row r="801">
          <cell r="I801" t="str">
            <v>跳转到攻打资源点或野怪根据英雄等级【20级】进行判断</v>
          </cell>
          <cell r="J801">
            <v>7421</v>
          </cell>
        </row>
        <row r="802">
          <cell r="I802" t="str">
            <v>跳转到攻打资源点或野怪根据英雄等级【35级】进行判断</v>
          </cell>
          <cell r="J802">
            <v>7422</v>
          </cell>
        </row>
        <row r="803">
          <cell r="I803" t="str">
            <v>跳转到攻打资源点或野怪根据英雄等级【45级】进行判断</v>
          </cell>
          <cell r="J803">
            <v>7423</v>
          </cell>
        </row>
        <row r="804">
          <cell r="I804" t="str">
            <v>跳转到城堡设施【攻击类】根据兵营等级进行判断</v>
          </cell>
          <cell r="J804">
            <v>7424</v>
          </cell>
        </row>
        <row r="805">
          <cell r="I805" t="str">
            <v>跳转到城堡设施【防御类】根据兵营等级进行判断</v>
          </cell>
          <cell r="J805">
            <v>7425</v>
          </cell>
        </row>
        <row r="806">
          <cell r="I806" t="str">
            <v>跳转到商城【霸王降世】</v>
          </cell>
          <cell r="J806">
            <v>7426</v>
          </cell>
        </row>
        <row r="807">
          <cell r="I807" t="str">
            <v>跳转到商城【累充】</v>
          </cell>
          <cell r="J807">
            <v>7427</v>
          </cell>
        </row>
        <row r="808">
          <cell r="I808" t="str">
            <v>跳转到商城【充值返赠】</v>
          </cell>
          <cell r="J808">
            <v>7428</v>
          </cell>
        </row>
        <row r="809">
          <cell r="I809" t="str">
            <v>跳转到商城【每日特惠】</v>
          </cell>
          <cell r="J809">
            <v>7429</v>
          </cell>
        </row>
        <row r="810">
          <cell r="I810" t="str">
            <v>跳转到商城【月卡活动】</v>
          </cell>
          <cell r="J810">
            <v>7430</v>
          </cell>
        </row>
        <row r="811">
          <cell r="I811" t="str">
            <v>跳转到商城【战令】</v>
          </cell>
          <cell r="J811">
            <v>7431</v>
          </cell>
        </row>
        <row r="812">
          <cell r="I812" t="str">
            <v>跳转到主界面【坐骑】按钮</v>
          </cell>
          <cell r="J812">
            <v>7432</v>
          </cell>
        </row>
        <row r="813">
          <cell r="I813" t="str">
            <v>跳转到主界面【领主】入口</v>
          </cell>
          <cell r="J813">
            <v>7433</v>
          </cell>
        </row>
        <row r="814">
          <cell r="I814" t="str">
            <v>跳转到野外主界面【搜索】</v>
          </cell>
          <cell r="J814">
            <v>7434</v>
          </cell>
        </row>
        <row r="815">
          <cell r="I815" t="str">
            <v>跳转到主界面【背包】按钮</v>
          </cell>
          <cell r="J815">
            <v>7435</v>
          </cell>
        </row>
        <row r="816">
          <cell r="I816" t="str">
            <v>跳转到可耕战【已占领最低级资源点】</v>
          </cell>
          <cell r="J816">
            <v>7436</v>
          </cell>
        </row>
        <row r="817">
          <cell r="I817" t="str">
            <v>跳转到1级【任意】资源点攻占按钮(手动出回城)</v>
          </cell>
          <cell r="J817">
            <v>7437</v>
          </cell>
        </row>
        <row r="818">
          <cell r="I818" t="str">
            <v>跳转到磨坊【建造】确认(手动出回城)</v>
          </cell>
          <cell r="J818">
            <v>7438</v>
          </cell>
        </row>
        <row r="819">
          <cell r="I819" t="str">
            <v>跳转到农田【建造】确认(手动出回城)</v>
          </cell>
          <cell r="J819">
            <v>7439</v>
          </cell>
        </row>
        <row r="820">
          <cell r="I820" t="str">
            <v>跳转到城镇中心【升级】菜单按钮(手动出回城)</v>
          </cell>
          <cell r="J820">
            <v>7440</v>
          </cell>
        </row>
        <row r="821">
          <cell r="I821" t="str">
            <v>跳转到居民房舍【建造】确认(手动出回城)</v>
          </cell>
          <cell r="J821">
            <v>7441</v>
          </cell>
        </row>
        <row r="822">
          <cell r="I822" t="str">
            <v>跳转到城镇中心【训练村民】菜单按钮(手动出回城)</v>
          </cell>
          <cell r="J822">
            <v>7442</v>
          </cell>
        </row>
        <row r="823">
          <cell r="I823" t="str">
            <v>跳转到居民房舍【村民调配】菜单按钮(手动出回城)</v>
          </cell>
          <cell r="J823">
            <v>7443</v>
          </cell>
        </row>
        <row r="824">
          <cell r="I824" t="str">
            <v>跳转到2级【食物】资源点攻占按钮(手动出回城)</v>
          </cell>
          <cell r="J824">
            <v>7444</v>
          </cell>
        </row>
        <row r="825">
          <cell r="I825" t="str">
            <v>跳转到居民房舍【升级】菜单按钮(手动出回城)</v>
          </cell>
          <cell r="J825">
            <v>7445</v>
          </cell>
        </row>
        <row r="826">
          <cell r="I826" t="str">
            <v>跳转到剑士营【升级】菜单按钮(手动出回城)</v>
          </cell>
          <cell r="J826">
            <v>7446</v>
          </cell>
        </row>
        <row r="827">
          <cell r="I827" t="str">
            <v>跳转到2级【任意】资源点攻占按钮(手动出回城)</v>
          </cell>
          <cell r="J827">
            <v>7447</v>
          </cell>
        </row>
        <row r="828">
          <cell r="I828" t="str">
            <v>跳转到3级【木材】资源点攻占按钮(手动出回城)</v>
          </cell>
          <cell r="J828">
            <v>7448</v>
          </cell>
        </row>
        <row r="829">
          <cell r="I829" t="str">
            <v>跳转到3级【任意】资源点攻占按钮(手动出回城)</v>
          </cell>
          <cell r="J829">
            <v>7449</v>
          </cell>
        </row>
        <row r="830">
          <cell r="I830" t="str">
            <v>跳转到治疗房舍【建造】确认(手动出回城)</v>
          </cell>
          <cell r="J830">
            <v>7450</v>
          </cell>
        </row>
        <row r="831">
          <cell r="I831" t="str">
            <v>跳转到治疗房舍【治疗】菜单按钮(手动出回城)</v>
          </cell>
          <cell r="J831">
            <v>7451</v>
          </cell>
        </row>
        <row r="832">
          <cell r="I832" t="str">
            <v>跳转到伐木场【建造】确认(手动出回城)</v>
          </cell>
          <cell r="J832">
            <v>7452</v>
          </cell>
        </row>
        <row r="833">
          <cell r="I833" t="str">
            <v>跳转到伐木场【升级】菜单按钮(手动出回城)</v>
          </cell>
          <cell r="J833">
            <v>7453</v>
          </cell>
        </row>
        <row r="834">
          <cell r="I834" t="str">
            <v>跳转到活动页面【开采富矿】</v>
          </cell>
          <cell r="J834">
            <v>7454</v>
          </cell>
        </row>
        <row r="835">
          <cell r="I835" t="str">
            <v>跳转到活动页面【蛮族集结】</v>
          </cell>
          <cell r="J835">
            <v>7455</v>
          </cell>
        </row>
        <row r="836">
          <cell r="I836" t="str">
            <v>跳转到活动页面【帝国军演】(废弃)</v>
          </cell>
          <cell r="J836">
            <v>7456</v>
          </cell>
        </row>
        <row r="837">
          <cell r="I837" t="str">
            <v>跳转到图文引导【提升等级】</v>
          </cell>
          <cell r="J837">
            <v>7457</v>
          </cell>
        </row>
        <row r="838">
          <cell r="I838" t="str">
            <v>跳转到皇城【民心所向】</v>
          </cell>
          <cell r="J838">
            <v>7458</v>
          </cell>
        </row>
        <row r="839">
          <cell r="I839" t="str">
            <v>跳转到商城【道具商城】</v>
          </cell>
          <cell r="J839">
            <v>7459</v>
          </cell>
        </row>
        <row r="840">
          <cell r="I840" t="str">
            <v>跳转到主线【英雄二选一】界面</v>
          </cell>
          <cell r="J840">
            <v>7460</v>
          </cell>
        </row>
        <row r="841">
          <cell r="I841" t="str">
            <v>跳转到编队自动选择【有空坑位】页面(直接跳转)</v>
          </cell>
          <cell r="J841">
            <v>7461</v>
          </cell>
        </row>
        <row r="842">
          <cell r="I842" t="str">
            <v>跳转到编队自动选择【有空坑位】页面(手动点编队)</v>
          </cell>
          <cell r="J842">
            <v>7462</v>
          </cell>
        </row>
        <row r="843">
          <cell r="I843" t="str">
            <v>任意2支部队士兵数达到【2000】弹出提升途径</v>
          </cell>
          <cell r="J843">
            <v>7463</v>
          </cell>
        </row>
        <row r="844">
          <cell r="I844" t="str">
            <v>任意2支部队士兵数达到【6000】弹出提升途径</v>
          </cell>
          <cell r="J844">
            <v>7464</v>
          </cell>
        </row>
        <row r="845">
          <cell r="I845" t="str">
            <v>任意2支部队士兵数达到【12000】弹出提升途径</v>
          </cell>
          <cell r="J845">
            <v>7465</v>
          </cell>
        </row>
        <row r="846">
          <cell r="I846" t="str">
            <v>任意2支部队士兵数达到【28000】弹出提升途径</v>
          </cell>
          <cell r="J846">
            <v>7466</v>
          </cell>
        </row>
        <row r="847">
          <cell r="I847" t="str">
            <v>任意2支部队士兵数达到【38000】弹出提升途径</v>
          </cell>
          <cell r="J847">
            <v>7467</v>
          </cell>
        </row>
        <row r="848">
          <cell r="I848" t="str">
            <v>任意2支部队士兵数达到【45000】弹出提升途径</v>
          </cell>
          <cell r="J848">
            <v>7468</v>
          </cell>
        </row>
        <row r="849">
          <cell r="I849" t="str">
            <v>任意2支部队士兵数达到【52000】弹出提升途径</v>
          </cell>
          <cell r="J849">
            <v>7469</v>
          </cell>
        </row>
        <row r="850">
          <cell r="I850" t="str">
            <v>任意2支部队士兵数达到【60000】弹出提升途径</v>
          </cell>
          <cell r="J850">
            <v>7470</v>
          </cell>
        </row>
        <row r="851">
          <cell r="I851" t="str">
            <v>任意2支部队士兵数达到【70000】弹出提升途径</v>
          </cell>
          <cell r="J851">
            <v>7471</v>
          </cell>
        </row>
        <row r="852">
          <cell r="I852" t="str">
            <v>任意2支部队士兵数达到【80000】弹出提升途径</v>
          </cell>
          <cell r="J852">
            <v>7472</v>
          </cell>
        </row>
        <row r="853">
          <cell r="I853" t="str">
            <v>任意2支部队士兵数达到【90000】弹出提升途径</v>
          </cell>
          <cell r="J853">
            <v>7473</v>
          </cell>
        </row>
        <row r="854">
          <cell r="I854" t="str">
            <v>任意2支部队士兵数达到【100000】弹出提升途径</v>
          </cell>
          <cell r="J854">
            <v>7474</v>
          </cell>
        </row>
        <row r="855">
          <cell r="I855" t="str">
            <v>跳转到主界面【微信】入口</v>
          </cell>
          <cell r="J855">
            <v>7475</v>
          </cell>
        </row>
        <row r="856">
          <cell r="I856" t="str">
            <v>跳转到主界面【QQ】入口</v>
          </cell>
          <cell r="J856">
            <v>7476</v>
          </cell>
        </row>
        <row r="857">
          <cell r="I857" t="str">
            <v>跳转到主界面【势力值】入口</v>
          </cell>
          <cell r="J857">
            <v>7477</v>
          </cell>
        </row>
        <row r="858">
          <cell r="I858" t="str">
            <v>跳转到4级【木材】资源点侦察按钮</v>
          </cell>
          <cell r="J858">
            <v>7478</v>
          </cell>
        </row>
        <row r="859">
          <cell r="I859" t="str">
            <v>跳转到主界面【QQ】左上方按钮</v>
          </cell>
          <cell r="J859">
            <v>7479</v>
          </cell>
        </row>
        <row r="860">
          <cell r="I860" t="str">
            <v>跳转到图文引导【5级及以下】</v>
          </cell>
          <cell r="J860">
            <v>7480</v>
          </cell>
        </row>
        <row r="861">
          <cell r="I861" t="str">
            <v>跳转到图文引导【6级及以上】</v>
          </cell>
          <cell r="J861">
            <v>7481</v>
          </cell>
        </row>
        <row r="862">
          <cell r="I862" t="str">
            <v>跳转排行榜界面-开荒</v>
          </cell>
          <cell r="J862">
            <v>7482</v>
          </cell>
        </row>
        <row r="863">
          <cell r="I863" t="str">
            <v>跳转排行榜界面-开荒</v>
          </cell>
          <cell r="J863">
            <v>7483</v>
          </cell>
        </row>
        <row r="864">
          <cell r="I864" t="str">
            <v>跳转到5级【任意】资源点无箭头</v>
          </cell>
          <cell r="J864">
            <v>7484</v>
          </cell>
        </row>
        <row r="865">
          <cell r="I865" t="str">
            <v>跳转到【隐私开启】界面</v>
          </cell>
          <cell r="J865">
            <v>7485</v>
          </cell>
        </row>
        <row r="866">
          <cell r="I866" t="str">
            <v>跳转到主界面【君主头像切换性别】</v>
          </cell>
          <cell r="J866">
            <v>7486</v>
          </cell>
        </row>
        <row r="867">
          <cell r="I867" t="str">
            <v>跳转到主界面【活动入口】</v>
          </cell>
          <cell r="J867">
            <v>7487</v>
          </cell>
        </row>
        <row r="868">
          <cell r="I868" t="str">
            <v>跳转到1级【木材】资源点(无引导)</v>
          </cell>
          <cell r="J868">
            <v>7488</v>
          </cell>
        </row>
        <row r="869">
          <cell r="I869" t="str">
            <v>跳转到2级【木材】资源点(无引导)</v>
          </cell>
          <cell r="J869">
            <v>7489</v>
          </cell>
        </row>
        <row r="870">
          <cell r="I870" t="str">
            <v>跳转到3级【木材】资源点(无引导)</v>
          </cell>
          <cell r="J870">
            <v>7490</v>
          </cell>
        </row>
        <row r="871">
          <cell r="I871" t="str">
            <v>跳转到4级【木材】资源点(无引导)</v>
          </cell>
          <cell r="J871">
            <v>7491</v>
          </cell>
        </row>
        <row r="872">
          <cell r="I872" t="str">
            <v>跳转到5级【木材】资源点(无引导)</v>
          </cell>
          <cell r="J872">
            <v>7492</v>
          </cell>
        </row>
        <row r="873">
          <cell r="I873" t="str">
            <v>跳转到6级【木材】资源点(无引导)</v>
          </cell>
          <cell r="J873">
            <v>7493</v>
          </cell>
        </row>
        <row r="874">
          <cell r="I874" t="str">
            <v>跳转到7级【木材】资源点(无引导)</v>
          </cell>
          <cell r="J874">
            <v>7494</v>
          </cell>
        </row>
        <row r="875">
          <cell r="I875" t="str">
            <v>跳转到8级【木材】资源点(无引导)</v>
          </cell>
          <cell r="J875">
            <v>7495</v>
          </cell>
        </row>
        <row r="876">
          <cell r="I876" t="str">
            <v>跳转到9级【木材】资源点(无引导)</v>
          </cell>
          <cell r="J876">
            <v>7496</v>
          </cell>
        </row>
        <row r="877">
          <cell r="I877" t="str">
            <v>跳转到10级【木材】资源点(无引导)</v>
          </cell>
          <cell r="J877">
            <v>7497</v>
          </cell>
        </row>
        <row r="878">
          <cell r="I878" t="str">
            <v>跳转到11级【木材】资源点(无引导)</v>
          </cell>
          <cell r="J878">
            <v>7498</v>
          </cell>
        </row>
        <row r="879">
          <cell r="I879" t="str">
            <v>跳转到12级【木材】资源点(无引导)</v>
          </cell>
          <cell r="J879">
            <v>7499</v>
          </cell>
        </row>
        <row r="880">
          <cell r="I880" t="str">
            <v>跳转到13级【木材】资源点(无引导)</v>
          </cell>
          <cell r="J880">
            <v>7500</v>
          </cell>
        </row>
        <row r="881">
          <cell r="I881" t="str">
            <v>跳转到14级【木材】资源点(无引导)</v>
          </cell>
          <cell r="J881">
            <v>7501</v>
          </cell>
        </row>
        <row r="882">
          <cell r="I882" t="str">
            <v>跳转到15级【木材】资源点(无引导)</v>
          </cell>
          <cell r="J882">
            <v>7502</v>
          </cell>
        </row>
        <row r="883">
          <cell r="I883" t="str">
            <v>跳转到1级【食物】资源点(无引导)</v>
          </cell>
          <cell r="J883">
            <v>7503</v>
          </cell>
        </row>
        <row r="884">
          <cell r="I884" t="str">
            <v>跳转到2级【食物】资源点(无引导)</v>
          </cell>
          <cell r="J884">
            <v>7504</v>
          </cell>
        </row>
        <row r="885">
          <cell r="I885" t="str">
            <v>跳转到3级【食物】资源点(无引导)</v>
          </cell>
          <cell r="J885">
            <v>7505</v>
          </cell>
        </row>
        <row r="886">
          <cell r="I886" t="str">
            <v>跳转到4级【食物】资源点(无引导)</v>
          </cell>
          <cell r="J886">
            <v>7506</v>
          </cell>
        </row>
        <row r="887">
          <cell r="I887" t="str">
            <v>跳转到5级【食物】资源点(无引导)</v>
          </cell>
          <cell r="J887">
            <v>7507</v>
          </cell>
        </row>
        <row r="888">
          <cell r="I888" t="str">
            <v>跳转到6级【食物】资源点(无引导)</v>
          </cell>
          <cell r="J888">
            <v>7508</v>
          </cell>
        </row>
        <row r="889">
          <cell r="I889" t="str">
            <v>跳转到7级【食物】资源点(无引导)</v>
          </cell>
          <cell r="J889">
            <v>7509</v>
          </cell>
        </row>
        <row r="890">
          <cell r="I890" t="str">
            <v>跳转到8级【食物】资源点(无引导)</v>
          </cell>
          <cell r="J890">
            <v>7510</v>
          </cell>
        </row>
        <row r="891">
          <cell r="I891" t="str">
            <v>跳转到9级【食物】资源点(无引导)</v>
          </cell>
          <cell r="J891">
            <v>7511</v>
          </cell>
        </row>
        <row r="892">
          <cell r="I892" t="str">
            <v>跳转到10级【食物】资源点(无引导)</v>
          </cell>
          <cell r="J892">
            <v>7512</v>
          </cell>
        </row>
        <row r="893">
          <cell r="I893" t="str">
            <v>跳转到11级【食物】资源点(无引导)</v>
          </cell>
          <cell r="J893">
            <v>7513</v>
          </cell>
        </row>
        <row r="894">
          <cell r="I894" t="str">
            <v>跳转到12级【食物】资源点(无引导)</v>
          </cell>
          <cell r="J894">
            <v>7514</v>
          </cell>
        </row>
        <row r="895">
          <cell r="I895" t="str">
            <v>跳转到13级【食物】资源点(无引导)</v>
          </cell>
          <cell r="J895">
            <v>7515</v>
          </cell>
        </row>
        <row r="896">
          <cell r="I896" t="str">
            <v>跳转到14级【食物】资源点(无引导)</v>
          </cell>
          <cell r="J896">
            <v>7516</v>
          </cell>
        </row>
        <row r="897">
          <cell r="I897" t="str">
            <v>跳转到15级【食物】资源点(无引导)</v>
          </cell>
          <cell r="J897">
            <v>7517</v>
          </cell>
        </row>
        <row r="898">
          <cell r="I898" t="str">
            <v>跳转到1级【石头】资源点(无引导)</v>
          </cell>
          <cell r="J898">
            <v>7518</v>
          </cell>
        </row>
        <row r="899">
          <cell r="I899" t="str">
            <v>跳转到2级【石头】资源点(无引导)</v>
          </cell>
          <cell r="J899">
            <v>7519</v>
          </cell>
        </row>
        <row r="900">
          <cell r="I900" t="str">
            <v>跳转到3级【石头】资源点(无引导)</v>
          </cell>
          <cell r="J900">
            <v>7520</v>
          </cell>
        </row>
        <row r="901">
          <cell r="I901" t="str">
            <v>跳转到4级【石头】资源点(无引导)</v>
          </cell>
          <cell r="J901">
            <v>7521</v>
          </cell>
        </row>
        <row r="902">
          <cell r="I902" t="str">
            <v>跳转到5级【石头】资源点(无引导)</v>
          </cell>
          <cell r="J902">
            <v>7522</v>
          </cell>
        </row>
        <row r="903">
          <cell r="I903" t="str">
            <v>跳转到6级【石头】资源点(无引导)</v>
          </cell>
          <cell r="J903">
            <v>7523</v>
          </cell>
        </row>
        <row r="904">
          <cell r="I904" t="str">
            <v>跳转到7级【石头】资源点(无引导)</v>
          </cell>
          <cell r="J904">
            <v>7524</v>
          </cell>
        </row>
        <row r="905">
          <cell r="I905" t="str">
            <v>跳转到8级【石头】资源点(无引导)</v>
          </cell>
          <cell r="J905">
            <v>7525</v>
          </cell>
        </row>
        <row r="906">
          <cell r="I906" t="str">
            <v>跳转到9级【石头】资源点(无引导)</v>
          </cell>
          <cell r="J906">
            <v>7526</v>
          </cell>
        </row>
        <row r="907">
          <cell r="I907" t="str">
            <v>跳转到10级【石头】资源点(无引导)</v>
          </cell>
          <cell r="J907">
            <v>7527</v>
          </cell>
        </row>
        <row r="908">
          <cell r="I908" t="str">
            <v>跳转到11级【石头】资源点(无引导)</v>
          </cell>
          <cell r="J908">
            <v>7528</v>
          </cell>
        </row>
        <row r="909">
          <cell r="I909" t="str">
            <v>跳转到12级【石头】资源点(无引导)</v>
          </cell>
          <cell r="J909">
            <v>7529</v>
          </cell>
        </row>
        <row r="910">
          <cell r="I910" t="str">
            <v>跳转到13级【石头】资源点(无引导)</v>
          </cell>
          <cell r="J910">
            <v>7530</v>
          </cell>
        </row>
        <row r="911">
          <cell r="I911" t="str">
            <v>跳转到14级【石头】资源点(无引导)</v>
          </cell>
          <cell r="J911">
            <v>7531</v>
          </cell>
        </row>
        <row r="912">
          <cell r="I912" t="str">
            <v>跳转到15级【石头】资源点(无引导)</v>
          </cell>
          <cell r="J912">
            <v>7532</v>
          </cell>
        </row>
        <row r="913">
          <cell r="I913" t="str">
            <v>跳转到1级【黄金】资源点(无引导)</v>
          </cell>
          <cell r="J913">
            <v>7533</v>
          </cell>
        </row>
        <row r="914">
          <cell r="I914" t="str">
            <v>跳转到2级【黄金】资源点(无引导)</v>
          </cell>
          <cell r="J914">
            <v>7534</v>
          </cell>
        </row>
        <row r="915">
          <cell r="I915" t="str">
            <v>跳转到3级【黄金】资源点(无引导)</v>
          </cell>
          <cell r="J915">
            <v>7535</v>
          </cell>
        </row>
        <row r="916">
          <cell r="I916" t="str">
            <v>跳转到4级【黄金】资源点(无引导)</v>
          </cell>
          <cell r="J916">
            <v>7536</v>
          </cell>
        </row>
        <row r="917">
          <cell r="I917" t="str">
            <v>跳转到5级【黄金】资源点(无引导)</v>
          </cell>
          <cell r="J917">
            <v>7537</v>
          </cell>
        </row>
        <row r="918">
          <cell r="I918" t="str">
            <v>跳转到6级【黄金】资源点(无引导)</v>
          </cell>
          <cell r="J918">
            <v>7538</v>
          </cell>
        </row>
        <row r="919">
          <cell r="I919" t="str">
            <v>跳转到7级【黄金】资源点(无引导)</v>
          </cell>
          <cell r="J919">
            <v>7539</v>
          </cell>
        </row>
        <row r="920">
          <cell r="I920" t="str">
            <v>跳转到8级【黄金】资源点(无引导)</v>
          </cell>
          <cell r="J920">
            <v>7540</v>
          </cell>
        </row>
        <row r="921">
          <cell r="I921" t="str">
            <v>跳转到9级【黄金】资源点(无引导)</v>
          </cell>
          <cell r="J921">
            <v>7541</v>
          </cell>
        </row>
        <row r="922">
          <cell r="I922" t="str">
            <v>跳转到10级【黄金】资源点(无引导)</v>
          </cell>
          <cell r="J922">
            <v>7542</v>
          </cell>
        </row>
        <row r="923">
          <cell r="I923" t="str">
            <v>跳转到11级【黄金】资源点(无引导)</v>
          </cell>
          <cell r="J923">
            <v>7543</v>
          </cell>
        </row>
        <row r="924">
          <cell r="I924" t="str">
            <v>跳转到12级【黄金】资源点(无引导)</v>
          </cell>
          <cell r="J924">
            <v>7544</v>
          </cell>
        </row>
        <row r="925">
          <cell r="I925" t="str">
            <v>跳转到13级【黄金】资源点(无引导)</v>
          </cell>
          <cell r="J925">
            <v>7545</v>
          </cell>
        </row>
        <row r="926">
          <cell r="I926" t="str">
            <v>跳转到14级【黄金】资源点(无引导)</v>
          </cell>
          <cell r="J926">
            <v>7546</v>
          </cell>
        </row>
        <row r="927">
          <cell r="I927" t="str">
            <v>跳转到15级【黄金】资源点(无引导)</v>
          </cell>
          <cell r="J927">
            <v>7547</v>
          </cell>
        </row>
        <row r="928">
          <cell r="I928" t="str">
            <v>跳转到1级【任意】资源点(无引导)</v>
          </cell>
          <cell r="J928">
            <v>7548</v>
          </cell>
        </row>
        <row r="929">
          <cell r="I929" t="str">
            <v>跳转到2级【任意】资源点(无引导)</v>
          </cell>
          <cell r="J929">
            <v>7549</v>
          </cell>
        </row>
        <row r="930">
          <cell r="I930" t="str">
            <v>跳转到3级【任意】资源点(无引导)</v>
          </cell>
          <cell r="J930">
            <v>7550</v>
          </cell>
        </row>
        <row r="931">
          <cell r="I931" t="str">
            <v>跳转到4级【任意】资源点(无引导)</v>
          </cell>
          <cell r="J931">
            <v>7551</v>
          </cell>
        </row>
        <row r="932">
          <cell r="I932" t="str">
            <v>跳转到5级【任意】资源点(无引导)</v>
          </cell>
          <cell r="J932">
            <v>7552</v>
          </cell>
        </row>
        <row r="933">
          <cell r="I933" t="str">
            <v>跳转到6级【任意】资源点(无引导)</v>
          </cell>
          <cell r="J933">
            <v>7553</v>
          </cell>
        </row>
        <row r="934">
          <cell r="I934" t="str">
            <v>跳转到7级【任意】资源点(无引导)</v>
          </cell>
          <cell r="J934">
            <v>7554</v>
          </cell>
        </row>
        <row r="935">
          <cell r="I935" t="str">
            <v>跳转到8级【任意】资源点(无引导)</v>
          </cell>
          <cell r="J935">
            <v>7555</v>
          </cell>
        </row>
        <row r="936">
          <cell r="I936" t="str">
            <v>跳转到9级【任意】资源点(无引导)</v>
          </cell>
          <cell r="J936">
            <v>7556</v>
          </cell>
        </row>
        <row r="937">
          <cell r="I937" t="str">
            <v>跳转到10级【任意】资源点(无引导)</v>
          </cell>
          <cell r="J937">
            <v>7557</v>
          </cell>
        </row>
        <row r="938">
          <cell r="I938" t="str">
            <v>跳转到11级【任意】资源点(无引导)</v>
          </cell>
          <cell r="J938">
            <v>7558</v>
          </cell>
        </row>
        <row r="939">
          <cell r="I939" t="str">
            <v>跳转到12级【任意】资源点(无引导)</v>
          </cell>
          <cell r="J939">
            <v>7559</v>
          </cell>
        </row>
        <row r="940">
          <cell r="I940" t="str">
            <v>跳转到13级【任意】资源点(无引导)</v>
          </cell>
          <cell r="J940">
            <v>7560</v>
          </cell>
        </row>
        <row r="941">
          <cell r="I941" t="str">
            <v>跳转到14级【任意】资源点(无引导)</v>
          </cell>
          <cell r="J941">
            <v>7561</v>
          </cell>
        </row>
        <row r="942">
          <cell r="I942" t="str">
            <v>跳转到15级【任意】资源点(无引导)</v>
          </cell>
          <cell r="J942">
            <v>7562</v>
          </cell>
        </row>
        <row r="943">
          <cell r="I943" t="str">
            <v>跳转到当前可攻打最高级【木材】资源点(无引导)</v>
          </cell>
          <cell r="J943">
            <v>7563</v>
          </cell>
        </row>
        <row r="944">
          <cell r="I944" t="str">
            <v>跳转到当前可攻打最高级【食物】资源点(无引导)</v>
          </cell>
          <cell r="J944">
            <v>7564</v>
          </cell>
        </row>
        <row r="945">
          <cell r="I945" t="str">
            <v>跳转到当前可攻打最高级【石材】资源点(无引导)</v>
          </cell>
          <cell r="J945">
            <v>7565</v>
          </cell>
        </row>
        <row r="946">
          <cell r="I946" t="str">
            <v>跳转到当前可攻打最高级【黄金】资源点(无引导)</v>
          </cell>
          <cell r="J946">
            <v>7566</v>
          </cell>
        </row>
        <row r="947">
          <cell r="I947" t="str">
            <v>跳转到当前可攻打最高级【任意】资源点(无引导)</v>
          </cell>
          <cell r="J947">
            <v>7567</v>
          </cell>
        </row>
        <row r="948">
          <cell r="I948" t="str">
            <v>跳转到士兵上限最高编队选中【士兵数最多】的兵种</v>
          </cell>
          <cell r="J948">
            <v>7568</v>
          </cell>
        </row>
        <row r="949">
          <cell r="I949" t="str">
            <v>跳转到城外【可打下一等级】野怪进攻按钮</v>
          </cell>
          <cell r="J949">
            <v>7569</v>
          </cell>
        </row>
        <row r="950">
          <cell r="I950" t="str">
            <v>跳转到城外【2队可打野怪】根据兵力选择低</v>
          </cell>
          <cell r="J950">
            <v>7570</v>
          </cell>
        </row>
        <row r="951">
          <cell r="I951" t="str">
            <v>跳转到城外【2队可打野怪】根据兵力选择高</v>
          </cell>
          <cell r="J951">
            <v>7571</v>
          </cell>
        </row>
        <row r="952">
          <cell r="I952" t="str">
            <v>跳转到主界面【微信】左上方按钮</v>
          </cell>
          <cell r="J952">
            <v>7572</v>
          </cell>
        </row>
        <row r="953">
          <cell r="I953" t="str">
            <v>跳转到联盟聊天</v>
          </cell>
          <cell r="J953">
            <v>7573</v>
          </cell>
        </row>
        <row r="954">
          <cell r="I954" t="str">
            <v>跳转到1级产量最低【任意】资源点无黄金</v>
          </cell>
          <cell r="J954">
            <v>7574</v>
          </cell>
        </row>
        <row r="955">
          <cell r="I955" t="str">
            <v>跳转到2级产量最低【任意】资源点无黄金</v>
          </cell>
          <cell r="J955">
            <v>7575</v>
          </cell>
        </row>
        <row r="956">
          <cell r="I956" t="str">
            <v>跳转到3级产量最低【任意】资源点无黄金</v>
          </cell>
          <cell r="J956">
            <v>7576</v>
          </cell>
        </row>
        <row r="957">
          <cell r="I957" t="str">
            <v>跳转到4级产量最低【任意】资源点无黄金</v>
          </cell>
          <cell r="J957">
            <v>7577</v>
          </cell>
        </row>
        <row r="958">
          <cell r="I958" t="str">
            <v>跳转到5级产量最低【任意】资源点</v>
          </cell>
          <cell r="J958">
            <v>7578</v>
          </cell>
        </row>
        <row r="959">
          <cell r="I959" t="str">
            <v>跳转到6级产量最低【任意】资源点</v>
          </cell>
          <cell r="J959">
            <v>7579</v>
          </cell>
        </row>
        <row r="960">
          <cell r="I960" t="str">
            <v>跳转到7级产量最低【任意】资源点</v>
          </cell>
          <cell r="J960">
            <v>7580</v>
          </cell>
        </row>
        <row r="961">
          <cell r="I961" t="str">
            <v>跳转到8级产量最低【任意】资源点</v>
          </cell>
          <cell r="J961">
            <v>7581</v>
          </cell>
        </row>
        <row r="962">
          <cell r="I962" t="str">
            <v>跳转到9级产量最低【任意】资源点</v>
          </cell>
          <cell r="J962">
            <v>7582</v>
          </cell>
        </row>
        <row r="963">
          <cell r="I963" t="str">
            <v>跳转到10级产量最低【任意】资源点</v>
          </cell>
          <cell r="J963">
            <v>7583</v>
          </cell>
        </row>
        <row r="964">
          <cell r="I964" t="str">
            <v>跳转到11级产量最低【任意】资源点</v>
          </cell>
          <cell r="J964">
            <v>7584</v>
          </cell>
        </row>
        <row r="965">
          <cell r="I965" t="str">
            <v>跳转到12级产量最低【任意】资源点</v>
          </cell>
          <cell r="J965">
            <v>7585</v>
          </cell>
        </row>
        <row r="966">
          <cell r="I966" t="str">
            <v>跳转到13级产量最低【任意】资源点</v>
          </cell>
          <cell r="J966">
            <v>7586</v>
          </cell>
        </row>
        <row r="967">
          <cell r="I967" t="str">
            <v>跳转到14级产量最低【任意】资源点</v>
          </cell>
          <cell r="J967">
            <v>7587</v>
          </cell>
        </row>
        <row r="968">
          <cell r="I968" t="str">
            <v>跳转到15级产量最低【任意】资源点</v>
          </cell>
          <cell r="J968">
            <v>7588</v>
          </cell>
        </row>
        <row r="969">
          <cell r="I969" t="str">
            <v>跳转到4级产量最低【任意】资源点无黄金无引导</v>
          </cell>
          <cell r="J969">
            <v>7589</v>
          </cell>
        </row>
        <row r="970">
          <cell r="I970" t="str">
            <v>跳转到5级产量最低【任意】资源点无引导</v>
          </cell>
          <cell r="J970">
            <v>7590</v>
          </cell>
        </row>
        <row r="971">
          <cell r="I971" t="str">
            <v>跳转到侦察6级产量最低【任意】资源点</v>
          </cell>
          <cell r="J971">
            <v>7591</v>
          </cell>
        </row>
        <row r="972">
          <cell r="I972" t="str">
            <v>跳转到主界面【内政官】按钮</v>
          </cell>
          <cell r="J972">
            <v>7592</v>
          </cell>
        </row>
        <row r="973">
          <cell r="I973" t="str">
            <v>跳转到聊天界面【所在州】选项</v>
          </cell>
          <cell r="J973">
            <v>7593</v>
          </cell>
        </row>
        <row r="974">
          <cell r="I974" t="str">
            <v>跳转到联盟【入盟申请】界面</v>
          </cell>
          <cell r="J974">
            <v>7594</v>
          </cell>
        </row>
        <row r="975">
          <cell r="I975" t="str">
            <v>跳转到联盟【群聊】按钮</v>
          </cell>
          <cell r="J975">
            <v>7595</v>
          </cell>
        </row>
        <row r="976">
          <cell r="I976" t="str">
            <v>跳转到联盟【官员架构】界面</v>
          </cell>
          <cell r="J976">
            <v>7596</v>
          </cell>
        </row>
        <row r="977">
          <cell r="I977" t="str">
            <v>跳转到联盟【器械建造】界面</v>
          </cell>
          <cell r="J977">
            <v>7597</v>
          </cell>
        </row>
        <row r="978">
          <cell r="I978" t="str">
            <v>跳转到最低级居民房舍【升级】菜单按钮</v>
          </cell>
          <cell r="J978">
            <v>7598</v>
          </cell>
        </row>
        <row r="979">
          <cell r="I979" t="str">
            <v>跳转到最低级磨坊【升级】菜单按钮</v>
          </cell>
          <cell r="J979">
            <v>7599</v>
          </cell>
        </row>
        <row r="980">
          <cell r="I980" t="str">
            <v>跳转到最低级伐木场【升级】菜单按钮</v>
          </cell>
          <cell r="J980">
            <v>7600</v>
          </cell>
        </row>
        <row r="981">
          <cell r="I981" t="str">
            <v>跳转到最低级石矿场【升级】菜单按钮</v>
          </cell>
          <cell r="J981">
            <v>7601</v>
          </cell>
        </row>
        <row r="982">
          <cell r="I982" t="str">
            <v>跳转到最低级金矿场【升级】菜单按钮</v>
          </cell>
          <cell r="J982">
            <v>7602</v>
          </cell>
        </row>
        <row r="983">
          <cell r="I983" t="str">
            <v>跳转到蛮族宝玉【获取途径】</v>
          </cell>
          <cell r="J983">
            <v>7603</v>
          </cell>
        </row>
        <row r="984">
          <cell r="I984" t="str">
            <v>跳转到商城【凤鸣九天】</v>
          </cell>
          <cell r="J984">
            <v>7604</v>
          </cell>
        </row>
        <row r="985">
          <cell r="I985" t="str">
            <v>直接跳转-联盟-仓库</v>
          </cell>
          <cell r="J985">
            <v>7605</v>
          </cell>
        </row>
        <row r="986">
          <cell r="I986" t="str">
            <v>跳转到城堡设施【马饰锻造所】</v>
          </cell>
          <cell r="J986">
            <v>7606</v>
          </cell>
        </row>
        <row r="987">
          <cell r="I987" t="str">
            <v>跳转到帝国里程碑页面</v>
          </cell>
          <cell r="J987">
            <v>7607</v>
          </cell>
        </row>
        <row r="988">
          <cell r="I988" t="str">
            <v>跳转到任务界面【帝国委托】</v>
          </cell>
          <cell r="J988">
            <v>7608</v>
          </cell>
        </row>
        <row r="989">
          <cell r="I989" t="str">
            <v>跳转到城堡【挂饰打造】菜单按钮(手动出回城)</v>
          </cell>
          <cell r="J989">
            <v>7609</v>
          </cell>
        </row>
        <row r="990">
          <cell r="I990" t="str">
            <v>城外（默认为当前屏幕中心位置并关闭UI）</v>
          </cell>
          <cell r="J990">
            <v>7610</v>
          </cell>
        </row>
        <row r="991">
          <cell r="I991" t="str">
            <v>跳转到当前等级最高【兵营建筑】训练按钮</v>
          </cell>
          <cell r="J991">
            <v>7611</v>
          </cell>
        </row>
        <row r="992">
          <cell r="I992" t="str">
            <v>任意2支部队士兵数达到【65000】弹出提升途径</v>
          </cell>
          <cell r="J992">
            <v>7612</v>
          </cell>
        </row>
        <row r="993">
          <cell r="I993" t="str">
            <v>跳转到联盟飞艇</v>
          </cell>
          <cell r="J993">
            <v>7613</v>
          </cell>
        </row>
        <row r="994">
          <cell r="I994" t="str">
            <v>跳转到奇迹主页面</v>
          </cell>
          <cell r="J994">
            <v>7614</v>
          </cell>
        </row>
        <row r="995">
          <cell r="I995" t="str">
            <v>跳转到城堡【城堡设施】菜单按钮打开马饰科技</v>
          </cell>
          <cell r="J995">
            <v>7615</v>
          </cell>
        </row>
        <row r="996">
          <cell r="I996" t="str">
            <v>跳转到城堡【挂饰打造】菜单按钮带tips</v>
          </cell>
          <cell r="J996">
            <v>7616</v>
          </cell>
        </row>
        <row r="997">
          <cell r="I997" t="str">
            <v>跳转到纪念碑【奇迹博览】菜单按钮</v>
          </cell>
          <cell r="J997">
            <v>7617</v>
          </cell>
        </row>
        <row r="998">
          <cell r="I998" t="str">
            <v>跳转到奇迹博览的规则页面</v>
          </cell>
          <cell r="J998">
            <v>7618</v>
          </cell>
        </row>
        <row r="999">
          <cell r="I999" t="str">
            <v>跳转到奇迹博览的展览页面</v>
          </cell>
          <cell r="J999">
            <v>7619</v>
          </cell>
        </row>
        <row r="1000">
          <cell r="I1000" t="str">
            <v>跳转到商城【每日特惠】</v>
          </cell>
          <cell r="J1000">
            <v>7620</v>
          </cell>
        </row>
        <row r="1001">
          <cell r="I1001" t="str">
            <v>跳转到商城【战令】</v>
          </cell>
          <cell r="J1001">
            <v>7621</v>
          </cell>
        </row>
        <row r="1002">
          <cell r="I1002" t="str">
            <v>跳转到城外二队克制【可打最高级】野怪进攻按钮</v>
          </cell>
          <cell r="J1002">
            <v>7622</v>
          </cell>
        </row>
        <row r="1003">
          <cell r="I1003" t="str">
            <v>跳转到城外二队克制【1级】野怪进攻按钮</v>
          </cell>
          <cell r="J1003">
            <v>7623</v>
          </cell>
        </row>
        <row r="1004">
          <cell r="I1004" t="str">
            <v>跳转到城外二队克制【2级】野怪进攻按钮</v>
          </cell>
          <cell r="J1004">
            <v>7624</v>
          </cell>
        </row>
        <row r="1005">
          <cell r="I1005" t="str">
            <v>跳转到城外二队克制【3级】野怪进攻按钮</v>
          </cell>
          <cell r="J1005">
            <v>7625</v>
          </cell>
        </row>
        <row r="1006">
          <cell r="I1006" t="str">
            <v>跳转到城外二队克制【4级】野怪进攻按钮</v>
          </cell>
          <cell r="J1006">
            <v>7626</v>
          </cell>
        </row>
        <row r="1007">
          <cell r="I1007" t="str">
            <v>跳转到城外二队克制【5级】野怪进攻按钮</v>
          </cell>
          <cell r="J1007">
            <v>7627</v>
          </cell>
        </row>
        <row r="1008">
          <cell r="I1008" t="str">
            <v>跳转到城外二队克制【6级】野怪进攻按钮</v>
          </cell>
          <cell r="J1008">
            <v>7628</v>
          </cell>
        </row>
        <row r="1009">
          <cell r="I1009" t="str">
            <v>跳转到城外二队克制【7级】野怪进攻按钮</v>
          </cell>
          <cell r="J1009">
            <v>7629</v>
          </cell>
        </row>
        <row r="1010">
          <cell r="I1010" t="str">
            <v>跳转到城外二队克制【8级】野怪进攻按钮</v>
          </cell>
          <cell r="J1010">
            <v>7630</v>
          </cell>
        </row>
        <row r="1011">
          <cell r="I1011" t="str">
            <v>跳转到城外二队克制【9级】野怪进攻按钮</v>
          </cell>
          <cell r="J1011">
            <v>7631</v>
          </cell>
        </row>
        <row r="1012">
          <cell r="I1012" t="str">
            <v>跳转到城外二队克制【10级】野怪进攻按钮</v>
          </cell>
          <cell r="J1012">
            <v>7632</v>
          </cell>
        </row>
        <row r="1013">
          <cell r="I1013" t="str">
            <v>跳转到城外二队克制【11级】野怪进攻按钮</v>
          </cell>
          <cell r="J1013">
            <v>7633</v>
          </cell>
        </row>
        <row r="1014">
          <cell r="I1014" t="str">
            <v>跳转到城外二队克制【12级】野怪进攻按钮</v>
          </cell>
          <cell r="J1014">
            <v>7634</v>
          </cell>
        </row>
        <row r="1015">
          <cell r="I1015" t="str">
            <v>跳转到城外二队克制【13级】野怪进攻按钮</v>
          </cell>
          <cell r="J1015">
            <v>7635</v>
          </cell>
        </row>
        <row r="1016">
          <cell r="I1016" t="str">
            <v>跳转到城外二队克制【14级】野怪进攻按钮</v>
          </cell>
          <cell r="J1016">
            <v>7636</v>
          </cell>
        </row>
        <row r="1017">
          <cell r="I1017" t="str">
            <v>跳转到城外二队克制【15级】野怪进攻按钮</v>
          </cell>
          <cell r="J1017">
            <v>7637</v>
          </cell>
        </row>
        <row r="1018">
          <cell r="I1018" t="str">
            <v>跳转到城外二队克制【16级】野怪进攻按钮</v>
          </cell>
          <cell r="J1018">
            <v>7638</v>
          </cell>
        </row>
        <row r="1019">
          <cell r="I1019" t="str">
            <v>跳转到城外二队克制【17级】野怪进攻按钮</v>
          </cell>
          <cell r="J1019">
            <v>7639</v>
          </cell>
        </row>
        <row r="1020">
          <cell r="I1020" t="str">
            <v>跳转到城外二队克制【18级】野怪进攻按钮</v>
          </cell>
          <cell r="J1020">
            <v>7640</v>
          </cell>
        </row>
        <row r="1021">
          <cell r="I1021" t="str">
            <v>任意2支部队士兵数达到【12000】弹出提升途径S2</v>
          </cell>
          <cell r="J1021">
            <v>7641</v>
          </cell>
        </row>
        <row r="1022">
          <cell r="I1022" t="str">
            <v>任意2支部队士兵数达到【28000】弹出提升途径S2</v>
          </cell>
          <cell r="J1022">
            <v>7642</v>
          </cell>
        </row>
        <row r="1023">
          <cell r="I1023" t="str">
            <v>任意2支部队士兵数达到【38000】弹出提升途径S2</v>
          </cell>
          <cell r="J1023">
            <v>7643</v>
          </cell>
        </row>
        <row r="1024">
          <cell r="I1024" t="str">
            <v>任意2支部队士兵数达到【48000】弹出提升途径S2</v>
          </cell>
          <cell r="J1024">
            <v>7644</v>
          </cell>
        </row>
        <row r="1025">
          <cell r="I1025" t="str">
            <v>任意2支部队士兵数达到【58000】弹出提升途径S2</v>
          </cell>
          <cell r="J1025">
            <v>7645</v>
          </cell>
        </row>
        <row r="1026">
          <cell r="I1026" t="str">
            <v>任意2支部队士兵数达到【70000】弹出提升途径S2</v>
          </cell>
          <cell r="J1026">
            <v>7646</v>
          </cell>
        </row>
        <row r="1027">
          <cell r="I1027" t="str">
            <v>任意2支部队士兵数达到【77000】弹出提升途径S2</v>
          </cell>
          <cell r="J1027">
            <v>7647</v>
          </cell>
        </row>
        <row r="1028">
          <cell r="I1028" t="str">
            <v>任意2支部队士兵数达到【85000】弹出提升途径S2</v>
          </cell>
          <cell r="J1028">
            <v>7648</v>
          </cell>
        </row>
        <row r="1029">
          <cell r="I1029" t="str">
            <v>任意2支部队士兵数达到【92000】弹出提升途径S2</v>
          </cell>
          <cell r="J1029">
            <v>7649</v>
          </cell>
        </row>
        <row r="1030">
          <cell r="I1030" t="str">
            <v>任意2支部队士兵数达到【100000】弹出提升途径S2</v>
          </cell>
          <cell r="J1030">
            <v>7650</v>
          </cell>
        </row>
        <row r="1031">
          <cell r="I1031" t="str">
            <v>跳转到奇迹【奇迹争夺】</v>
          </cell>
          <cell r="J1031">
            <v>7651</v>
          </cell>
        </row>
        <row r="1032">
          <cell r="I1032" t="str">
            <v>跳转到主界面【君主头像个人征程】</v>
          </cell>
          <cell r="J1032">
            <v>7652</v>
          </cell>
        </row>
        <row r="1033">
          <cell r="I1033" t="str">
            <v>跳转到城外【1队可打野怪】根据兵力选择低</v>
          </cell>
          <cell r="J1033">
            <v>7653</v>
          </cell>
        </row>
        <row r="1034">
          <cell r="I1034" t="str">
            <v>跳转到城外【1队可打野怪】根据兵力选择高</v>
          </cell>
          <cell r="J1034">
            <v>7654</v>
          </cell>
        </row>
        <row r="1035">
          <cell r="I1035" t="str">
            <v>跳转到君主头像【个人征程】直接打开</v>
          </cell>
          <cell r="J1035">
            <v>7655</v>
          </cell>
        </row>
        <row r="1036">
          <cell r="I1036" t="str">
            <v>跳转到主界面英雄征战后【帝国军演】按钮</v>
          </cell>
          <cell r="J1036">
            <v>7656</v>
          </cell>
        </row>
        <row r="1037">
          <cell r="I1037" t="str">
            <v>跳转注销</v>
          </cell>
          <cell r="J1037">
            <v>7657</v>
          </cell>
        </row>
        <row r="1038">
          <cell r="I1038" t="str">
            <v>跳转到城镇中心【城池增益】菜单按钮(安德莉亚开罩教学专用)</v>
          </cell>
          <cell r="J1038">
            <v>7658</v>
          </cell>
        </row>
        <row r="1039">
          <cell r="I1039" t="str">
            <v>跳转【英雄成就】主页面</v>
          </cell>
          <cell r="J1039">
            <v>7659</v>
          </cell>
        </row>
        <row r="1040">
          <cell r="I1040" t="str">
            <v>跳转到活动中心【手机绑定】</v>
          </cell>
          <cell r="J1040">
            <v>7660</v>
          </cell>
        </row>
        <row r="1041">
          <cell r="I1041" t="str">
            <v>跳转到主界面【战场模式】按钮</v>
          </cell>
          <cell r="J1041">
            <v>7661</v>
          </cell>
        </row>
        <row r="1042">
          <cell r="I1042" t="str">
            <v>跳转到资源点根据产量【10000】判断(支线)</v>
          </cell>
          <cell r="J1042">
            <v>7662</v>
          </cell>
        </row>
        <row r="1043">
          <cell r="I1043" t="str">
            <v>跳转到资源点根据产量【15000】判断(支线)</v>
          </cell>
          <cell r="J1043">
            <v>7663</v>
          </cell>
        </row>
        <row r="1044">
          <cell r="I1044" t="str">
            <v>跳转到资源点根据产量【20000】判断(支线)</v>
          </cell>
          <cell r="J1044">
            <v>7664</v>
          </cell>
        </row>
        <row r="1045">
          <cell r="I1045" t="str">
            <v>跳转到资源点根据产量【30000】判断(支线)</v>
          </cell>
          <cell r="J1045">
            <v>7665</v>
          </cell>
        </row>
        <row r="1046">
          <cell r="I1046" t="str">
            <v>跳转到资源点根据产量【40000】判断(支线)</v>
          </cell>
          <cell r="J1046">
            <v>7666</v>
          </cell>
        </row>
        <row r="1047">
          <cell r="I1047" t="str">
            <v>跳转到资源点根据产量【50000】判断(支线)</v>
          </cell>
          <cell r="J1047">
            <v>7667</v>
          </cell>
        </row>
        <row r="1048">
          <cell r="I1048" t="str">
            <v>跳转到资源点根据产量【60000】判断(支线)</v>
          </cell>
          <cell r="J1048">
            <v>7668</v>
          </cell>
        </row>
        <row r="1049">
          <cell r="I1049" t="str">
            <v>跳转到资源点根据产量【80000】判断(支线)</v>
          </cell>
          <cell r="J1049">
            <v>7669</v>
          </cell>
        </row>
        <row r="1050">
          <cell r="I1050" t="str">
            <v>跳转到资源点根据产量【100000】判断(支线)</v>
          </cell>
          <cell r="J1050">
            <v>7670</v>
          </cell>
        </row>
        <row r="1051">
          <cell r="I1051" t="str">
            <v>跳转到资源点根据产量【120000】判断(支线)</v>
          </cell>
          <cell r="J1051">
            <v>7671</v>
          </cell>
        </row>
        <row r="1052">
          <cell r="I1052" t="str">
            <v>跳转到资源点根据产量【150000】判断(支线)</v>
          </cell>
          <cell r="J1052">
            <v>7672</v>
          </cell>
        </row>
        <row r="1053">
          <cell r="I1053" t="str">
            <v>跳转到英雄界面【传奇殿堂】按钮(引导专用)</v>
          </cell>
          <cell r="J1053">
            <v>7673</v>
          </cell>
        </row>
        <row r="1054">
          <cell r="I1054" t="str">
            <v>跳转到英雄征战【锋线护送】界面</v>
          </cell>
          <cell r="J1054">
            <v>7674</v>
          </cell>
        </row>
        <row r="1055">
          <cell r="I1055" t="str">
            <v>直接打开【联盟礼物界面】</v>
          </cell>
          <cell r="J1055">
            <v>7675</v>
          </cell>
        </row>
        <row r="1056">
          <cell r="I1056" t="str">
            <v>直接打开【联盟帮助界面】</v>
          </cell>
          <cell r="J1056">
            <v>7676</v>
          </cell>
        </row>
        <row r="1057">
          <cell r="I1057" t="str">
            <v>直接打开【军演商店界面】</v>
          </cell>
          <cell r="J1057">
            <v>7677</v>
          </cell>
        </row>
        <row r="1058">
          <cell r="I1058" t="str">
            <v>直接打开【帝国军演界面】</v>
          </cell>
          <cell r="J1058">
            <v>7678</v>
          </cell>
        </row>
        <row r="1059">
          <cell r="I1059" t="str">
            <v>直接打开【联盟科技界面】</v>
          </cell>
          <cell r="J1059">
            <v>7679</v>
          </cell>
        </row>
        <row r="1060">
          <cell r="I1060" t="str">
            <v>直接打开【联盟领地界面】</v>
          </cell>
          <cell r="J1060">
            <v>7680</v>
          </cell>
        </row>
        <row r="1061">
          <cell r="I1061" t="str">
            <v>直接打开【探险界面】</v>
          </cell>
          <cell r="J1061">
            <v>7681</v>
          </cell>
        </row>
        <row r="1062">
          <cell r="I1062" t="str">
            <v>直接打开【兑换技能点界面】</v>
          </cell>
          <cell r="J1062">
            <v>7682</v>
          </cell>
        </row>
        <row r="1063">
          <cell r="I1063" t="str">
            <v>直接打开【英雄界面】</v>
          </cell>
          <cell r="J1063">
            <v>7683</v>
          </cell>
        </row>
        <row r="1064">
          <cell r="I1064" t="str">
            <v>直接打开【治疗伤兵界面】</v>
          </cell>
          <cell r="J1064">
            <v>7684</v>
          </cell>
        </row>
        <row r="1065">
          <cell r="I1065" t="str">
            <v>直接打开【捕鱼界面】</v>
          </cell>
          <cell r="J1065">
            <v>7685</v>
          </cell>
        </row>
        <row r="1066">
          <cell r="I1066" t="str">
            <v>直接打开【铜币招募】</v>
          </cell>
          <cell r="J1066">
            <v>7686</v>
          </cell>
        </row>
        <row r="1067">
          <cell r="I1067" t="str">
            <v>直接打开【传奇现世】</v>
          </cell>
          <cell r="J1067">
            <v>7687</v>
          </cell>
        </row>
        <row r="1068">
          <cell r="I1068" t="str">
            <v>直接打开【启程之光】</v>
          </cell>
          <cell r="J1068">
            <v>7688</v>
          </cell>
        </row>
        <row r="1069">
          <cell r="I1069" t="str">
            <v>直接打开【野外资源点采集界面】</v>
          </cell>
          <cell r="J1069">
            <v>7689</v>
          </cell>
        </row>
        <row r="1070">
          <cell r="I1070" t="str">
            <v>直接打开【训练士兵界面】</v>
          </cell>
          <cell r="J1070">
            <v>7690</v>
          </cell>
        </row>
        <row r="1071">
          <cell r="I1071" t="str">
            <v>直接打开【资源点采集界面】</v>
          </cell>
          <cell r="J1071">
            <v>7691</v>
          </cell>
        </row>
        <row r="1072">
          <cell r="I1072" t="str">
            <v>直接打开【中古时代战争核心界面】</v>
          </cell>
          <cell r="J1072">
            <v>7692</v>
          </cell>
        </row>
        <row r="1073">
          <cell r="I1073" t="str">
            <v>直接打开【启蒙时代战争核心界面】</v>
          </cell>
          <cell r="J1073">
            <v>7693</v>
          </cell>
        </row>
        <row r="1074">
          <cell r="I1074" t="str">
            <v>直接打开【研究科技界面】</v>
          </cell>
          <cell r="J1074">
            <v>7694</v>
          </cell>
        </row>
        <row r="1075">
          <cell r="I1075" t="str">
            <v>跳转到当前等级最低兵营建筑【升级】展开菜单</v>
          </cell>
          <cell r="J1075">
            <v>7695</v>
          </cell>
        </row>
        <row r="1076">
          <cell r="I1076" t="str">
            <v>直接打开S2云游商人</v>
          </cell>
          <cell r="J1076">
            <v>7696</v>
          </cell>
        </row>
        <row r="1077">
          <cell r="I1077" t="str">
            <v>跳转到商城【每日特惠】</v>
          </cell>
          <cell r="J1077">
            <v>7697</v>
          </cell>
        </row>
        <row r="1078">
          <cell r="I1078" t="str">
            <v>跳转到商城【战令】</v>
          </cell>
          <cell r="J1078">
            <v>7698</v>
          </cell>
        </row>
        <row r="1079">
          <cell r="I1079" t="str">
            <v>跳转到回流旧服主界面</v>
          </cell>
          <cell r="J1079">
            <v>7699</v>
          </cell>
        </row>
        <row r="1080">
          <cell r="I1080" t="str">
            <v>跳转到商城【神骥奇珍】</v>
          </cell>
          <cell r="J1080">
            <v>7700</v>
          </cell>
        </row>
        <row r="1081">
          <cell r="I1081"/>
        </row>
        <row r="1083">
          <cell r="I1083" t="str">
            <v>【海外】第一章采集木材1次</v>
          </cell>
          <cell r="J1083">
            <v>100001</v>
          </cell>
        </row>
        <row r="1084">
          <cell r="I1084" t="str">
            <v>【海外】修复内城城镇中心</v>
          </cell>
          <cell r="J1084">
            <v>100002</v>
          </cell>
        </row>
        <row r="1085">
          <cell r="I1085" t="str">
            <v>【海外】狩猎一只大象</v>
          </cell>
          <cell r="J1085">
            <v>100003</v>
          </cell>
        </row>
        <row r="1086">
          <cell r="I1086" t="str">
            <v>【海外】援助一次友军</v>
          </cell>
          <cell r="J1086">
            <v>100004</v>
          </cell>
        </row>
        <row r="1087">
          <cell r="I1087" t="str">
            <v>【海外】修复居民房舍</v>
          </cell>
          <cell r="J1087">
            <v>100005</v>
          </cell>
        </row>
        <row r="1088">
          <cell r="I1088" t="str">
            <v>【海外】第二章采集木材1次</v>
          </cell>
          <cell r="J1088">
            <v>100006</v>
          </cell>
        </row>
        <row r="1089">
          <cell r="I1089" t="str">
            <v>【海外】消灭一次游荡的蛮族</v>
          </cell>
          <cell r="J1089">
            <v>100007</v>
          </cell>
        </row>
        <row r="1090">
          <cell r="I1090" t="str">
            <v>【海外】狩猎一只熊</v>
          </cell>
          <cell r="J1090">
            <v>100008</v>
          </cell>
        </row>
        <row r="1091">
          <cell r="I1091" t="str">
            <v>【海外】占领剑士要塞</v>
          </cell>
          <cell r="J1091">
            <v>100009</v>
          </cell>
        </row>
        <row r="1092">
          <cell r="I1092" t="str">
            <v>【海外】修复剑士营</v>
          </cell>
          <cell r="J1092">
            <v>100010</v>
          </cell>
        </row>
        <row r="1093">
          <cell r="I1093" t="str">
            <v>【海外】占领枪兵要塞</v>
          </cell>
          <cell r="J1093">
            <v>100011</v>
          </cell>
        </row>
        <row r="1094">
          <cell r="I1094" t="str">
            <v>【海外】修复枪兵营</v>
          </cell>
          <cell r="J1094">
            <v>100012</v>
          </cell>
        </row>
        <row r="1095">
          <cell r="I1095" t="str">
            <v>【海外】清剿两支蛮族单位</v>
          </cell>
          <cell r="J1095">
            <v>100013</v>
          </cell>
        </row>
        <row r="1096">
          <cell r="I1096" t="str">
            <v>【海外】占领医疗要塞</v>
          </cell>
          <cell r="J1096">
            <v>100014</v>
          </cell>
        </row>
        <row r="1097">
          <cell r="I1097" t="str">
            <v>【海外】修复医疗房舍</v>
          </cell>
          <cell r="J1097">
            <v>100015</v>
          </cell>
        </row>
        <row r="1098">
          <cell r="I1098" t="str">
            <v>【海外】援助一次友军</v>
          </cell>
          <cell r="J1098">
            <v>100016</v>
          </cell>
        </row>
        <row r="1099">
          <cell r="I1099" t="str">
            <v>【海外】跳转到城堡【研究科技】菜单按钮</v>
          </cell>
          <cell r="J1099">
            <v>100017</v>
          </cell>
        </row>
        <row r="1100">
          <cell r="I1100" t="str">
            <v>【海外】跳转到攻打资源点或野怪根据英雄等级【5级】进行判断</v>
          </cell>
          <cell r="J1100">
            <v>100018</v>
          </cell>
        </row>
        <row r="1101">
          <cell r="I1101" t="str">
            <v>【海外】跳转到攻打资源点或野怪根据英雄等级【10级】进行判断</v>
          </cell>
          <cell r="J1101">
            <v>100019</v>
          </cell>
        </row>
        <row r="1102">
          <cell r="I1102" t="str">
            <v>【海外】跳转到攻打资源点或野怪根据英雄等级【20级】进行判断</v>
          </cell>
          <cell r="J1102">
            <v>100020</v>
          </cell>
        </row>
        <row r="1103">
          <cell r="I1103" t="str">
            <v>【海外】跳转到攻打资源点或野怪根据英雄等级【25级】进行判断</v>
          </cell>
          <cell r="J1103">
            <v>100021</v>
          </cell>
        </row>
        <row r="1104">
          <cell r="I1104" t="str">
            <v>【海外】跳转到攻打资源点或野怪根据英雄等级【30级】进行判断</v>
          </cell>
          <cell r="J1104">
            <v>100022</v>
          </cell>
        </row>
        <row r="1105">
          <cell r="I1105" t="str">
            <v>【海外】跳转到攻打资源点或野怪根据英雄等级【35级】进行判断</v>
          </cell>
          <cell r="J1105">
            <v>100023</v>
          </cell>
        </row>
        <row r="1106">
          <cell r="I1106" t="str">
            <v>【海外】跳转到攻打资源点或野怪根据英雄等级【40级】进行判断</v>
          </cell>
          <cell r="J1106">
            <v>100024</v>
          </cell>
        </row>
        <row r="1107">
          <cell r="I1107" t="str">
            <v>【海外】跳转到当前等级最低【兵营建筑】展开菜单</v>
          </cell>
          <cell r="J1107">
            <v>100025</v>
          </cell>
        </row>
        <row r="1108">
          <cell r="I1108" t="str">
            <v>【海外】跳转到主界面【建造】入口</v>
          </cell>
          <cell r="J1108">
            <v>100026</v>
          </cell>
        </row>
        <row r="1109">
          <cell r="I1109" t="str">
            <v>【海外】跳转到伐木区域【第一棵树】</v>
          </cell>
          <cell r="J1109">
            <v>100027</v>
          </cell>
        </row>
        <row r="1110">
          <cell r="I1110" t="str">
            <v>【海外】跳转到采集区域【第一个浆果】</v>
          </cell>
          <cell r="J1110">
            <v>100028</v>
          </cell>
        </row>
        <row r="1111">
          <cell r="I1111" t="str">
            <v>【海外】跳转到瞭望塔【修复按钮】</v>
          </cell>
          <cell r="J1111">
            <v>100010</v>
          </cell>
        </row>
        <row r="1112">
          <cell r="I1112" t="str">
            <v>【海外】跳转到点将台【修复按钮】</v>
          </cell>
          <cell r="J1112">
            <v>100010</v>
          </cell>
        </row>
        <row r="1113">
          <cell r="I1113" t="str">
            <v>【海外】跳转到城墙【修复按钮】</v>
          </cell>
          <cell r="J1113">
            <v>100010</v>
          </cell>
        </row>
        <row r="1114">
          <cell r="I1114" t="str">
            <v>【海外】跳转到剑士【精简造兵】</v>
          </cell>
          <cell r="J1114">
            <v>100010</v>
          </cell>
        </row>
        <row r="1115">
          <cell r="I1115" t="str">
            <v>【海外】跳转到弓兵【精简造兵】</v>
          </cell>
          <cell r="J1115">
            <v>100010</v>
          </cell>
        </row>
        <row r="1116">
          <cell r="I1116" t="str">
            <v>【海外】跳转到城外【1队可打野怪】根据兵力选择低</v>
          </cell>
          <cell r="J1116">
            <v>100034</v>
          </cell>
        </row>
        <row r="1117">
          <cell r="I1117" t="str">
            <v>【海外】跳转到城外【1队可打野怪】根据兵力选择高</v>
          </cell>
          <cell r="J1117">
            <v>100035</v>
          </cell>
        </row>
        <row r="1118">
          <cell r="I1118" t="str">
            <v>【海外】跳转到主界面【名将笔记】入口</v>
          </cell>
          <cell r="J1118">
            <v>100036</v>
          </cell>
        </row>
        <row r="1119">
          <cell r="I1119" t="str">
            <v>【海外】跳转到剑士营【训练】700名1级剑士</v>
          </cell>
          <cell r="J1119">
            <v>100037</v>
          </cell>
        </row>
        <row r="1120">
          <cell r="I1120" t="str">
            <v>【海外】跳转到低于等级8的前2个【兵营建筑】展开菜单</v>
          </cell>
          <cell r="J1120">
            <v>100038</v>
          </cell>
        </row>
        <row r="1121">
          <cell r="I1121" t="str">
            <v>【海外】跳转到低于等级10的前2个【兵营建筑】展开菜单</v>
          </cell>
          <cell r="J1121">
            <v>100039</v>
          </cell>
        </row>
        <row r="1122">
          <cell r="I1122" t="str">
            <v>【海外】跳转到低于等级12的前2个【兵营建筑】展开菜单</v>
          </cell>
          <cell r="J1122">
            <v>100040</v>
          </cell>
        </row>
        <row r="1123">
          <cell r="I1123" t="str">
            <v>【海外】跳转到低于等级14的前2个【兵营建筑】展开菜单</v>
          </cell>
          <cell r="J1123">
            <v>100041</v>
          </cell>
        </row>
        <row r="1124">
          <cell r="I1124" t="str">
            <v>【海外】跳转到低于等级15的前3个【兵营建筑】展开菜单</v>
          </cell>
          <cell r="J1124">
            <v>100042</v>
          </cell>
        </row>
        <row r="1125">
          <cell r="I1125" t="str">
            <v>【海外】跳转到低于等级16的前3个【兵营建筑】展开菜单</v>
          </cell>
          <cell r="J1125">
            <v>100043</v>
          </cell>
        </row>
        <row r="1126">
          <cell r="I1126" t="str">
            <v>【海外】跳转到低于等级17的前3个【兵营建筑】展开菜单</v>
          </cell>
          <cell r="J1126">
            <v>100044</v>
          </cell>
        </row>
        <row r="1127">
          <cell r="I1127" t="str">
            <v>【海外】跳转到海边区域【宝箱】</v>
          </cell>
          <cell r="J1127">
            <v>100045</v>
          </cell>
        </row>
        <row r="1128">
          <cell r="I1128" t="str">
            <v>【海外】跳转到海边区域【仓库】</v>
          </cell>
          <cell r="J1128">
            <v>100046</v>
          </cell>
        </row>
        <row r="1129">
          <cell r="I1129" t="str">
            <v>【海外】跳转到东南方【蛮族运输队宝箱】</v>
          </cell>
          <cell r="J1129">
            <v>100047</v>
          </cell>
        </row>
        <row r="1130">
          <cell r="I1130" t="str">
            <v>【海外】跳转到西南方树林【宝箱】</v>
          </cell>
          <cell r="J1130">
            <v>100048</v>
          </cell>
        </row>
        <row r="1131">
          <cell r="I1131" t="str">
            <v>【海外】跳转到北方资源区【名将笔记】</v>
          </cell>
          <cell r="J1131">
            <v>100049</v>
          </cell>
        </row>
        <row r="1132">
          <cell r="I1132" t="str">
            <v>【海外】跳转到城镇中心【蛮族部队】</v>
          </cell>
          <cell r="J1132">
            <v>100050</v>
          </cell>
        </row>
        <row r="1133">
          <cell r="I1133" t="str">
            <v>【海外】制造投石车【投石车】</v>
          </cell>
          <cell r="J1133">
            <v>100051</v>
          </cell>
        </row>
        <row r="1134">
          <cell r="I1134" t="str">
            <v>【海外】使用投石车摧毁寨门【投石车】</v>
          </cell>
          <cell r="J1134">
            <v>100052</v>
          </cell>
        </row>
        <row r="1135">
          <cell r="I1135" t="str">
            <v>【海外】击杀【蒙杜克】</v>
          </cell>
          <cell r="J1135">
            <v>100053</v>
          </cell>
        </row>
        <row r="1136">
          <cell r="I1136" t="str">
            <v>【海外】收回城堡中被蒙杜克搜刮的【资源】</v>
          </cell>
          <cell r="J1136">
            <v>100054</v>
          </cell>
        </row>
        <row r="1137">
          <cell r="I1137" t="str">
            <v>【海外】跳转到城镇中心【宝箱】</v>
          </cell>
          <cell r="J1137">
            <v>100055</v>
          </cell>
        </row>
        <row r="1138">
          <cell r="I1138" t="str">
            <v>【海外】跳转到主界面【荣耀之路】按钮</v>
          </cell>
          <cell r="J1138">
            <v>100056</v>
          </cell>
        </row>
        <row r="1139">
          <cell r="I1139" t="str">
            <v>【海外】直接选择并打开【蛮族要塞】集火按钮</v>
          </cell>
          <cell r="J1139">
            <v>100057</v>
          </cell>
        </row>
        <row r="1140">
          <cell r="I1140" t="str">
            <v>【海外】直接选择并打开【蛮族运输队】集火按钮</v>
          </cell>
          <cell r="J1140">
            <v>100060</v>
          </cell>
        </row>
        <row r="1141">
          <cell r="I1141" t="str">
            <v>【海外】直接选择并打开【蒙杜克】集火按钮</v>
          </cell>
          <cell r="J1141">
            <v>100058</v>
          </cell>
        </row>
        <row r="1142">
          <cell r="I1142" t="str">
            <v>【海外】摄像机跳转到投石车</v>
          </cell>
          <cell r="J1142">
            <v>100060</v>
          </cell>
        </row>
        <row r="1143">
          <cell r="I1143" t="str">
            <v>【海外】直接选择并打开【箭塔】集火按钮</v>
          </cell>
          <cell r="J1143">
            <v>100060</v>
          </cell>
        </row>
        <row r="1144">
          <cell r="I1144" t="str">
            <v>【海外】直接选择并打开【入侵蛮族】集火按钮</v>
          </cell>
          <cell r="J1144">
            <v>100061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界面跳转"/>
      <sheetName val="#参数说明表"/>
      <sheetName val="#跳转样例"/>
      <sheetName val="JumpCmd"/>
      <sheetName val="#命令说明"/>
      <sheetName val="#建筑表"/>
      <sheetName val="#建筑按钮表"/>
      <sheetName val="#地图按钮"/>
      <sheetName val="#配表参数"/>
      <sheetName val="#TID_base_up"/>
    </sheetNames>
    <sheetDataSet>
      <sheetData sheetId="0">
        <row r="2">
          <cell r="I2" t="str">
            <v>策划备注</v>
          </cell>
          <cell r="J2" t="str">
            <v>ID关联辅助</v>
          </cell>
        </row>
        <row r="4">
          <cell r="I4" t="str">
            <v>跳转到城外(默认为当前屏幕中心位置)</v>
          </cell>
          <cell r="J4">
            <v>1</v>
          </cell>
        </row>
        <row r="5">
          <cell r="I5" t="str">
            <v>跳转野外副本8级怪</v>
          </cell>
          <cell r="J5">
            <v>101</v>
          </cell>
        </row>
        <row r="6">
          <cell r="J6">
            <v>0</v>
          </cell>
        </row>
        <row r="7">
          <cell r="I7" t="str">
            <v>跳转野外副本9级怪</v>
          </cell>
          <cell r="J7">
            <v>102</v>
          </cell>
        </row>
        <row r="8">
          <cell r="J8">
            <v>0</v>
          </cell>
        </row>
        <row r="9">
          <cell r="I9" t="str">
            <v>跳转野外副本9级怪</v>
          </cell>
          <cell r="J9">
            <v>103</v>
          </cell>
        </row>
        <row r="10">
          <cell r="J10">
            <v>0</v>
          </cell>
        </row>
        <row r="11">
          <cell r="I11" t="str">
            <v>跳转野外副本9级怪</v>
          </cell>
          <cell r="J11">
            <v>104</v>
          </cell>
        </row>
        <row r="12">
          <cell r="J12">
            <v>0</v>
          </cell>
        </row>
        <row r="13">
          <cell r="I13" t="str">
            <v>跳转到(已废弃)【城镇中心】展开菜单无箭头</v>
          </cell>
          <cell r="J13">
            <v>201</v>
          </cell>
        </row>
        <row r="14">
          <cell r="I14" t="str">
            <v>跳转到(已废弃)【居民房舍】展开菜单无箭头</v>
          </cell>
          <cell r="J14">
            <v>202</v>
          </cell>
        </row>
        <row r="15">
          <cell r="I15" t="str">
            <v>跳转到(已废弃)【磨坊】展开菜单无箭头</v>
          </cell>
          <cell r="J15">
            <v>203</v>
          </cell>
        </row>
        <row r="16">
          <cell r="I16" t="str">
            <v>跳转到(已废弃)【伐木场】展开菜单无箭头</v>
          </cell>
          <cell r="J16">
            <v>204</v>
          </cell>
        </row>
        <row r="17">
          <cell r="I17" t="str">
            <v>跳转到(已废弃)【石矿场】展开菜单无箭头</v>
          </cell>
          <cell r="J17">
            <v>205</v>
          </cell>
        </row>
        <row r="18">
          <cell r="I18" t="str">
            <v>跳转到(已废弃)【剑士营】展开菜单无箭头</v>
          </cell>
          <cell r="J18">
            <v>206</v>
          </cell>
        </row>
        <row r="19">
          <cell r="I19" t="str">
            <v>跳转到(已废弃)【农田】展开菜单无箭头</v>
          </cell>
          <cell r="J19">
            <v>207</v>
          </cell>
        </row>
        <row r="20">
          <cell r="I20" t="str">
            <v>跳转到(已废弃)【城堡】展开菜单无箭头</v>
          </cell>
          <cell r="J20">
            <v>208</v>
          </cell>
        </row>
        <row r="21">
          <cell r="I21" t="str">
            <v>跳转到(已废弃)【马厩】展开菜单无箭头</v>
          </cell>
          <cell r="J21">
            <v>209</v>
          </cell>
        </row>
        <row r="22">
          <cell r="I22" t="str">
            <v>跳转到(已废弃)【学院】展开菜单无箭头</v>
          </cell>
          <cell r="J22">
            <v>211</v>
          </cell>
        </row>
        <row r="23">
          <cell r="I23" t="str">
            <v>跳转到(已废弃)【校场】展开菜单无箭头</v>
          </cell>
          <cell r="J23">
            <v>212</v>
          </cell>
        </row>
        <row r="24">
          <cell r="I24" t="str">
            <v>跳转到(已废弃)【码头】展开菜单无箭头</v>
          </cell>
          <cell r="J24">
            <v>213</v>
          </cell>
        </row>
        <row r="25">
          <cell r="I25" t="str">
            <v>跳转到(已废弃)【城墙】展开菜单无箭头</v>
          </cell>
          <cell r="J25">
            <v>215</v>
          </cell>
        </row>
        <row r="26">
          <cell r="I26" t="str">
            <v>跳转到(已废弃)【治疗房舍】展开菜单无箭头</v>
          </cell>
          <cell r="J26">
            <v>222</v>
          </cell>
        </row>
        <row r="27">
          <cell r="I27" t="str">
            <v>跳转到(已废弃)【征兵房舍】展开菜单无箭头</v>
          </cell>
          <cell r="J27">
            <v>223</v>
          </cell>
        </row>
        <row r="28">
          <cell r="I28" t="str">
            <v>跳转到(已废弃)【射箭场】展开菜单无箭头</v>
          </cell>
          <cell r="J28">
            <v>224</v>
          </cell>
        </row>
        <row r="29">
          <cell r="I29" t="str">
            <v>跳转到(已废弃)【瞭望塔】展开菜单无箭头</v>
          </cell>
          <cell r="J29">
            <v>226</v>
          </cell>
        </row>
        <row r="30">
          <cell r="I30" t="str">
            <v>跳转到(已废弃)【防卫塔】展开菜单无箭头</v>
          </cell>
          <cell r="J30">
            <v>227</v>
          </cell>
        </row>
        <row r="31">
          <cell r="I31" t="str">
            <v>跳转到(已废弃)【战争大厅】展开菜单无箭头</v>
          </cell>
          <cell r="J31">
            <v>229</v>
          </cell>
        </row>
        <row r="32">
          <cell r="I32" t="str">
            <v>跳转到(已废弃)【大使馆】展开菜单无箭头</v>
          </cell>
          <cell r="J32">
            <v>230</v>
          </cell>
        </row>
        <row r="33">
          <cell r="I33" t="str">
            <v>跳转到(已废弃)【市集】展开菜单无箭头</v>
          </cell>
          <cell r="J33">
            <v>231</v>
          </cell>
        </row>
        <row r="34">
          <cell r="I34" t="str">
            <v>跳转到(已废弃)【枪兵营】展开菜单无箭头</v>
          </cell>
          <cell r="J34">
            <v>232</v>
          </cell>
        </row>
        <row r="35">
          <cell r="I35" t="str">
            <v>跳转到(已废弃)【博物馆】展开菜单无箭头</v>
          </cell>
          <cell r="J35">
            <v>233</v>
          </cell>
        </row>
        <row r="36">
          <cell r="I36" t="str">
            <v>跳转到(已废弃)【金矿场】展开菜单无箭头</v>
          </cell>
          <cell r="J36">
            <v>234</v>
          </cell>
        </row>
        <row r="37">
          <cell r="I37" t="str">
            <v>跳转到(已废弃)【旅店】展开菜单无箭头</v>
          </cell>
          <cell r="J37">
            <v>237</v>
          </cell>
        </row>
        <row r="38">
          <cell r="I38" t="str">
            <v>跳转到(已废弃)【旅店】展开菜单无箭头</v>
          </cell>
          <cell r="J38">
            <v>239</v>
          </cell>
        </row>
        <row r="39">
          <cell r="I39" t="str">
            <v>跳转到(已废弃)【旅店】展开菜单无箭头</v>
          </cell>
          <cell r="J39">
            <v>240</v>
          </cell>
        </row>
        <row r="40">
          <cell r="I40" t="str">
            <v>跳转到(已废弃)【旅店】展开菜单无箭头</v>
          </cell>
          <cell r="J40">
            <v>241</v>
          </cell>
        </row>
        <row r="41">
          <cell r="I41" t="str">
            <v>跳转到(已废弃)【市集】展开菜单无箭头</v>
          </cell>
          <cell r="J41">
            <v>242</v>
          </cell>
        </row>
        <row r="42">
          <cell r="I42" t="str">
            <v>跳转到(已废弃)【市集】展开菜单无箭头</v>
          </cell>
          <cell r="J42">
            <v>243</v>
          </cell>
        </row>
        <row r="43">
          <cell r="I43" t="str">
            <v>跳转到(已废弃)【校场】展开菜单无箭头</v>
          </cell>
          <cell r="J43">
            <v>244</v>
          </cell>
        </row>
        <row r="44">
          <cell r="I44" t="str">
            <v>跳转到(已废弃)【纪念碑】展开菜单无箭头</v>
          </cell>
          <cell r="J44">
            <v>245</v>
          </cell>
        </row>
        <row r="45">
          <cell r="I45" t="str">
            <v>跳转到(已废弃)【纪念碑】展开菜单无箭头</v>
          </cell>
          <cell r="J45">
            <v>246</v>
          </cell>
        </row>
        <row r="46">
          <cell r="I46" t="str">
            <v>跳转到(已废弃)【剑士营】展开菜单无箭头</v>
          </cell>
          <cell r="J46">
            <v>251</v>
          </cell>
        </row>
        <row r="47">
          <cell r="I47" t="str">
            <v>跳转到(已废弃)【城镇中心】展开菜单无箭头</v>
          </cell>
          <cell r="J47">
            <v>252</v>
          </cell>
        </row>
        <row r="48">
          <cell r="I48" t="str">
            <v>跳转到(已废弃)【城镇中心】展开菜单无箭头</v>
          </cell>
          <cell r="J48">
            <v>253</v>
          </cell>
        </row>
        <row r="49">
          <cell r="I49" t="str">
            <v>跳转到(已废弃)【马厩】展开菜单无箭头</v>
          </cell>
          <cell r="J49">
            <v>254</v>
          </cell>
        </row>
        <row r="50">
          <cell r="I50" t="str">
            <v>跳转到(已废弃)【枪兵营】展开菜单无箭头</v>
          </cell>
          <cell r="J50">
            <v>255</v>
          </cell>
        </row>
        <row r="51">
          <cell r="I51" t="str">
            <v>跳转到(已废弃)【射箭场】展开菜单无箭头</v>
          </cell>
          <cell r="J51">
            <v>256</v>
          </cell>
        </row>
        <row r="52">
          <cell r="I52" t="str">
            <v>跳转到(已废弃)【伐木场】展开菜单无箭头</v>
          </cell>
          <cell r="J52">
            <v>257</v>
          </cell>
        </row>
        <row r="53">
          <cell r="I53" t="str">
            <v>跳转到(已废弃)【点将台】展开菜单无箭头</v>
          </cell>
          <cell r="J53">
            <v>258</v>
          </cell>
        </row>
        <row r="54">
          <cell r="I54" t="str">
            <v>跳转到(已废弃)【居民房舍】展开菜单无箭头</v>
          </cell>
          <cell r="J54">
            <v>259</v>
          </cell>
        </row>
        <row r="55">
          <cell r="I55" t="str">
            <v>跳转到(已废弃)【治疗房舍】展开菜单无箭头</v>
          </cell>
          <cell r="J55">
            <v>260</v>
          </cell>
        </row>
        <row r="56">
          <cell r="I56" t="str">
            <v>跳转到(已废弃)【学院】展开菜单无箭头</v>
          </cell>
          <cell r="J56">
            <v>261</v>
          </cell>
        </row>
        <row r="57">
          <cell r="I57" t="str">
            <v>跳转到(已废弃)【防卫塔】展开菜单无箭头</v>
          </cell>
          <cell r="J57">
            <v>262</v>
          </cell>
        </row>
        <row r="58">
          <cell r="I58" t="str">
            <v>跳转到(已废弃)【博物馆】展开菜单无箭头</v>
          </cell>
          <cell r="J58">
            <v>263</v>
          </cell>
        </row>
        <row r="59">
          <cell r="I59" t="str">
            <v>跳转到(已废弃)【博物馆】展开菜单无箭头</v>
          </cell>
          <cell r="J59">
            <v>264</v>
          </cell>
        </row>
        <row r="60">
          <cell r="I60" t="str">
            <v>跳转到(已废弃)【市集】展开菜单无箭头</v>
          </cell>
          <cell r="J60">
            <v>265</v>
          </cell>
        </row>
        <row r="61">
          <cell r="I61" t="str">
            <v>跳转到(已废弃)【城墙】展开菜单无箭头</v>
          </cell>
          <cell r="J61">
            <v>266</v>
          </cell>
        </row>
        <row r="62">
          <cell r="I62" t="str">
            <v>跳转到(已废弃)【点将台】展开菜单无箭头</v>
          </cell>
          <cell r="J62">
            <v>267</v>
          </cell>
        </row>
        <row r="63">
          <cell r="I63" t="str">
            <v>跳转到(已废弃)【校场】展开菜单无箭头</v>
          </cell>
          <cell r="J63">
            <v>268</v>
          </cell>
        </row>
        <row r="64">
          <cell r="I64" t="str">
            <v>跳转到(已废弃)【学院】展开菜单无箭头</v>
          </cell>
          <cell r="J64">
            <v>269</v>
          </cell>
        </row>
        <row r="65">
          <cell r="I65" t="str">
            <v>跳转到(已废弃)【城堡】展开菜单无箭头</v>
          </cell>
          <cell r="J65">
            <v>270</v>
          </cell>
        </row>
        <row r="66">
          <cell r="I66" t="str">
            <v>跳转到(已废弃)【城堡】展开菜单无箭头</v>
          </cell>
          <cell r="J66">
            <v>271</v>
          </cell>
        </row>
        <row r="67">
          <cell r="I67" t="str">
            <v>跳转到(已废弃)【城镇中心】展开菜单无箭头</v>
          </cell>
          <cell r="J67">
            <v>272</v>
          </cell>
        </row>
        <row r="68">
          <cell r="I68" t="str">
            <v>新手剧情任务界面（章节任务）</v>
          </cell>
          <cell r="J68">
            <v>301</v>
          </cell>
        </row>
        <row r="69">
          <cell r="I69" t="str">
            <v>武将总览界面</v>
          </cell>
          <cell r="J69">
            <v>302</v>
          </cell>
        </row>
        <row r="70">
          <cell r="I70" t="str">
            <v>武将界面（默认星级最高的武将）</v>
          </cell>
          <cell r="J70">
            <v>303</v>
          </cell>
        </row>
        <row r="71">
          <cell r="I71" t="str">
            <v>邮件总览界面-系统</v>
          </cell>
          <cell r="J71">
            <v>304</v>
          </cell>
        </row>
        <row r="72">
          <cell r="I72" t="str">
            <v>邮件总览界面-战争</v>
          </cell>
          <cell r="J72">
            <v>305</v>
          </cell>
        </row>
        <row r="73">
          <cell r="I73" t="str">
            <v>邮件总览界面-野外</v>
          </cell>
          <cell r="J73">
            <v>306</v>
          </cell>
        </row>
        <row r="74">
          <cell r="I74" t="str">
            <v>邮件总览界面-联盟</v>
          </cell>
          <cell r="J74">
            <v>307</v>
          </cell>
        </row>
        <row r="75">
          <cell r="I75" t="str">
            <v>主界面【联盟】</v>
          </cell>
          <cell r="J75">
            <v>308</v>
          </cell>
        </row>
        <row r="76">
          <cell r="I76" t="str">
            <v>文明时代升级界面</v>
          </cell>
          <cell r="J76">
            <v>309</v>
          </cell>
        </row>
        <row r="77">
          <cell r="I77" t="str">
            <v>跳转到建造【城镇中心】无箭头</v>
          </cell>
          <cell r="J77">
            <v>310</v>
          </cell>
        </row>
        <row r="78">
          <cell r="I78" t="str">
            <v>跳转到建造【居民房舍】无箭头</v>
          </cell>
          <cell r="J78">
            <v>311</v>
          </cell>
        </row>
        <row r="79">
          <cell r="I79" t="str">
            <v>跳转到建造【磨坊】无箭头</v>
          </cell>
          <cell r="J79">
            <v>312</v>
          </cell>
        </row>
        <row r="80">
          <cell r="I80" t="str">
            <v>跳转到建造【伐木场】无箭头</v>
          </cell>
          <cell r="J80">
            <v>313</v>
          </cell>
        </row>
        <row r="81">
          <cell r="I81" t="str">
            <v>跳转到建造【石矿场】无箭头</v>
          </cell>
          <cell r="J81">
            <v>314</v>
          </cell>
        </row>
        <row r="82">
          <cell r="I82" t="str">
            <v>跳转到建造【剑士营】无箭头</v>
          </cell>
          <cell r="J82">
            <v>315</v>
          </cell>
        </row>
        <row r="83">
          <cell r="I83" t="str">
            <v>跳转到建造【农田】无箭头</v>
          </cell>
          <cell r="J83">
            <v>316</v>
          </cell>
        </row>
        <row r="84">
          <cell r="I84" t="str">
            <v>跳转到建造【城堡】无箭头</v>
          </cell>
          <cell r="J84">
            <v>317</v>
          </cell>
        </row>
        <row r="85">
          <cell r="I85" t="str">
            <v>跳转到建造【马厩】无箭头</v>
          </cell>
          <cell r="J85">
            <v>318</v>
          </cell>
        </row>
        <row r="86">
          <cell r="I86" t="str">
            <v>跳转到建造【修道院】无箭头</v>
          </cell>
          <cell r="J86">
            <v>319</v>
          </cell>
        </row>
        <row r="87">
          <cell r="I87" t="str">
            <v>跳转到建造【学院】无箭头</v>
          </cell>
          <cell r="J87">
            <v>320</v>
          </cell>
        </row>
        <row r="88">
          <cell r="I88" t="str">
            <v>跳转到建造【校场】无箭头</v>
          </cell>
          <cell r="J88">
            <v>321</v>
          </cell>
        </row>
        <row r="89">
          <cell r="I89" t="str">
            <v>跳转到建造【码头】无箭头</v>
          </cell>
          <cell r="J89">
            <v>322</v>
          </cell>
        </row>
        <row r="90">
          <cell r="I90" t="str">
            <v>跳转到建造【渔网】无箭头</v>
          </cell>
          <cell r="J90">
            <v>323</v>
          </cell>
        </row>
        <row r="91">
          <cell r="I91" t="str">
            <v>跳转到建造【城墙】无箭头</v>
          </cell>
          <cell r="J91">
            <v>324</v>
          </cell>
        </row>
        <row r="92">
          <cell r="I92" t="str">
            <v>跳转到建造【治疗房舍】无箭头</v>
          </cell>
          <cell r="J92">
            <v>325</v>
          </cell>
        </row>
        <row r="93">
          <cell r="I93" t="str">
            <v>跳转到建造【征兵房舍】无箭头</v>
          </cell>
          <cell r="J93">
            <v>326</v>
          </cell>
        </row>
        <row r="94">
          <cell r="I94" t="str">
            <v>跳转到建造【射箭场】无箭头</v>
          </cell>
          <cell r="J94">
            <v>327</v>
          </cell>
        </row>
        <row r="95">
          <cell r="I95" t="str">
            <v>跳转到建造【攻城器械所】无箭头</v>
          </cell>
          <cell r="J95">
            <v>328</v>
          </cell>
        </row>
        <row r="96">
          <cell r="I96" t="str">
            <v>跳转到建造【瞭望塔】无箭头</v>
          </cell>
          <cell r="J96">
            <v>329</v>
          </cell>
        </row>
        <row r="97">
          <cell r="I97" t="str">
            <v>跳转到建造【防卫塔】无箭头</v>
          </cell>
          <cell r="J97">
            <v>330</v>
          </cell>
        </row>
        <row r="98">
          <cell r="I98" t="str">
            <v>跳转到建造【铁匠铺】无箭头</v>
          </cell>
          <cell r="J98">
            <v>331</v>
          </cell>
        </row>
        <row r="99">
          <cell r="I99" t="str">
            <v>跳转到建造【战争大厅】无箭头</v>
          </cell>
          <cell r="J99">
            <v>332</v>
          </cell>
        </row>
        <row r="100">
          <cell r="I100" t="str">
            <v>跳转到建造【大使馆】无箭头</v>
          </cell>
          <cell r="J100">
            <v>333</v>
          </cell>
        </row>
        <row r="101">
          <cell r="I101" t="str">
            <v>跳转到建造【市集】无箭头</v>
          </cell>
          <cell r="J101">
            <v>334</v>
          </cell>
        </row>
        <row r="102">
          <cell r="I102" t="str">
            <v>跳转到建造【枪兵营】无箭头</v>
          </cell>
          <cell r="J102">
            <v>335</v>
          </cell>
        </row>
        <row r="103">
          <cell r="I103" t="str">
            <v>福利中心-充值界面</v>
          </cell>
          <cell r="J103">
            <v>336</v>
          </cell>
        </row>
        <row r="104">
          <cell r="I104" t="str">
            <v>福利中心-每日特惠</v>
          </cell>
          <cell r="J104">
            <v>338</v>
          </cell>
        </row>
        <row r="105">
          <cell r="I105" t="str">
            <v>背包</v>
          </cell>
          <cell r="J105">
            <v>337</v>
          </cell>
        </row>
        <row r="106">
          <cell r="I106" t="str">
            <v>建造博物馆</v>
          </cell>
          <cell r="J106">
            <v>338</v>
          </cell>
        </row>
        <row r="107">
          <cell r="I107" t="str">
            <v>主界面【搜索】</v>
          </cell>
          <cell r="J107">
            <v>340</v>
          </cell>
        </row>
        <row r="108">
          <cell r="I108" t="str">
            <v>主界面【战役】</v>
          </cell>
          <cell r="J108">
            <v>341</v>
          </cell>
        </row>
        <row r="109">
          <cell r="I109" t="str">
            <v>主界面【战法】</v>
          </cell>
          <cell r="J109">
            <v>342</v>
          </cell>
        </row>
        <row r="110">
          <cell r="I110" t="str">
            <v>主界面【爬塔】</v>
          </cell>
          <cell r="J110">
            <v>343</v>
          </cell>
        </row>
        <row r="111">
          <cell r="I111" t="str">
            <v>主界面【虎牢关】</v>
          </cell>
          <cell r="J111">
            <v>344</v>
          </cell>
        </row>
        <row r="112">
          <cell r="I112" t="str">
            <v>主界面【英雄】</v>
          </cell>
          <cell r="J112">
            <v>355</v>
          </cell>
        </row>
        <row r="113">
          <cell r="I113" t="str">
            <v>主界面【联盟】</v>
          </cell>
          <cell r="J113">
            <v>353</v>
          </cell>
        </row>
        <row r="114">
          <cell r="I114" t="str">
            <v>主界面【物品】</v>
          </cell>
          <cell r="J114">
            <v>354</v>
          </cell>
        </row>
        <row r="115">
          <cell r="I115" t="str">
            <v>主界面【邮件】</v>
          </cell>
          <cell r="J115">
            <v>356</v>
          </cell>
        </row>
        <row r="116">
          <cell r="I116" t="str">
            <v>主界面【商城】</v>
          </cell>
          <cell r="J116">
            <v>357</v>
          </cell>
        </row>
        <row r="117">
          <cell r="I117" t="str">
            <v>科技界面-弓兵攻击 I</v>
          </cell>
          <cell r="J117">
            <v>370</v>
          </cell>
        </row>
        <row r="118">
          <cell r="I118" t="str">
            <v>跳转到文明选择</v>
          </cell>
          <cell r="J118">
            <v>371</v>
          </cell>
        </row>
        <row r="119">
          <cell r="I119" t="str">
            <v>跳转到城外搜索界面【蛮族】选项</v>
          </cell>
          <cell r="J119">
            <v>390</v>
          </cell>
        </row>
        <row r="120">
          <cell r="I120" t="str">
            <v>跳转到城外搜索界面【食物】选项</v>
          </cell>
          <cell r="J120">
            <v>391</v>
          </cell>
        </row>
        <row r="121">
          <cell r="I121" t="str">
            <v>跳转到城外搜索界面【木头】选项</v>
          </cell>
          <cell r="J121">
            <v>392</v>
          </cell>
        </row>
        <row r="122">
          <cell r="I122" t="str">
            <v>跳转到城外搜索界面【石头】选项</v>
          </cell>
          <cell r="J122">
            <v>393</v>
          </cell>
        </row>
        <row r="123">
          <cell r="I123" t="str">
            <v>跳转到城外搜索界面【黄金】选项</v>
          </cell>
          <cell r="J123">
            <v>394</v>
          </cell>
        </row>
        <row r="124">
          <cell r="I124" t="str">
            <v>跳转到城外搜索界面【铜矿】选项</v>
          </cell>
          <cell r="J124">
            <v>395</v>
          </cell>
        </row>
        <row r="125">
          <cell r="I125" t="str">
            <v>跳转排行榜界面-个人势力</v>
          </cell>
          <cell r="J125">
            <v>396</v>
          </cell>
        </row>
        <row r="126">
          <cell r="I126" t="str">
            <v>跳转排行榜界面-联盟势力</v>
          </cell>
          <cell r="J126">
            <v>397</v>
          </cell>
        </row>
        <row r="127">
          <cell r="I127" t="str">
            <v>直播组件</v>
          </cell>
          <cell r="J127">
            <v>398</v>
          </cell>
        </row>
        <row r="128">
          <cell r="I128" t="str">
            <v>城镇中心浆果</v>
          </cell>
          <cell r="J128">
            <v>401</v>
          </cell>
        </row>
        <row r="129">
          <cell r="I129" t="str">
            <v>城镇中心木头</v>
          </cell>
          <cell r="J129">
            <v>402</v>
          </cell>
        </row>
        <row r="130">
          <cell r="I130" t="str">
            <v>城镇中心石矿</v>
          </cell>
          <cell r="J130">
            <v>403</v>
          </cell>
        </row>
        <row r="131">
          <cell r="I131" t="str">
            <v>城镇中心金矿</v>
          </cell>
          <cell r="J131">
            <v>404</v>
          </cell>
        </row>
        <row r="132">
          <cell r="I132" t="str">
            <v>城镇中心遗迹</v>
          </cell>
          <cell r="J132">
            <v>405</v>
          </cell>
        </row>
        <row r="133">
          <cell r="I133" t="str">
            <v>城镇中心村民</v>
          </cell>
          <cell r="J133">
            <v>502</v>
          </cell>
        </row>
        <row r="134">
          <cell r="I134" t="str">
            <v>城镇中心巡逻士兵</v>
          </cell>
          <cell r="J134">
            <v>503</v>
          </cell>
        </row>
        <row r="135">
          <cell r="I135" t="str">
            <v>野外就近不限等级的野怪</v>
          </cell>
          <cell r="J135">
            <v>601</v>
          </cell>
        </row>
        <row r="136">
          <cell r="I136" t="str">
            <v>野外就近不限等级粮食</v>
          </cell>
          <cell r="J136">
            <v>602</v>
          </cell>
        </row>
        <row r="137">
          <cell r="I137" t="str">
            <v>野外就近不限等级木材</v>
          </cell>
          <cell r="J137">
            <v>603</v>
          </cell>
        </row>
        <row r="138">
          <cell r="I138" t="str">
            <v>野外就近不限等级石头</v>
          </cell>
          <cell r="J138">
            <v>604</v>
          </cell>
        </row>
        <row r="139">
          <cell r="I139" t="str">
            <v>野外就近不限等级金矿</v>
          </cell>
          <cell r="J139">
            <v>605</v>
          </cell>
        </row>
        <row r="140">
          <cell r="I140" t="str">
            <v>野外就近1等级的野怪</v>
          </cell>
          <cell r="J140">
            <v>606</v>
          </cell>
        </row>
        <row r="141">
          <cell r="I141" t="str">
            <v>野外就近2等级的野怪</v>
          </cell>
          <cell r="J141">
            <v>607</v>
          </cell>
        </row>
        <row r="142">
          <cell r="I142" t="str">
            <v>野外就近3等级的野怪</v>
          </cell>
          <cell r="J142">
            <v>608</v>
          </cell>
        </row>
        <row r="143">
          <cell r="I143" t="str">
            <v>野外就近4等级的野怪</v>
          </cell>
          <cell r="J143">
            <v>609</v>
          </cell>
        </row>
        <row r="144">
          <cell r="I144" t="str">
            <v>野外就近5等级的野怪</v>
          </cell>
          <cell r="J144">
            <v>610</v>
          </cell>
        </row>
        <row r="145">
          <cell r="J145">
            <v>0</v>
          </cell>
        </row>
        <row r="146">
          <cell r="I146" t="str">
            <v>野外就近1等级粮食</v>
          </cell>
          <cell r="J146">
            <v>611</v>
          </cell>
        </row>
        <row r="147">
          <cell r="I147" t="str">
            <v>野外就近任意等级可采集木材、粮食、石头</v>
          </cell>
          <cell r="J147">
            <v>612</v>
          </cell>
        </row>
        <row r="148">
          <cell r="I148" t="str">
            <v>野外就近任意等级可采集稀有资源</v>
          </cell>
          <cell r="J148">
            <v>613</v>
          </cell>
        </row>
        <row r="149">
          <cell r="J149">
            <v>0</v>
          </cell>
        </row>
        <row r="150">
          <cell r="I150" t="str">
            <v>野外就近哨塔</v>
          </cell>
          <cell r="J150">
            <v>628</v>
          </cell>
        </row>
        <row r="151">
          <cell r="I151" t="str">
            <v>野外就近名城</v>
          </cell>
          <cell r="J151">
            <v>629</v>
          </cell>
        </row>
        <row r="152">
          <cell r="I152" t="str">
            <v>直接跳转-野外就近迷雾</v>
          </cell>
          <cell r="J152">
            <v>630</v>
          </cell>
        </row>
        <row r="153">
          <cell r="J153">
            <v>0</v>
          </cell>
        </row>
        <row r="154">
          <cell r="I154" t="str">
            <v>野外就近5等级的野怪</v>
          </cell>
          <cell r="J154">
            <v>631</v>
          </cell>
        </row>
        <row r="155">
          <cell r="I155" t="str">
            <v>野外就近6等级的野怪</v>
          </cell>
          <cell r="J155">
            <v>632</v>
          </cell>
        </row>
        <row r="156">
          <cell r="I156" t="str">
            <v>野外就近7等级的野怪</v>
          </cell>
          <cell r="J156">
            <v>633</v>
          </cell>
        </row>
        <row r="157">
          <cell r="I157" t="str">
            <v>野外就近8等级的野怪</v>
          </cell>
          <cell r="J157">
            <v>634</v>
          </cell>
        </row>
        <row r="158">
          <cell r="I158" t="str">
            <v>野外就近9等级的野怪</v>
          </cell>
          <cell r="J158">
            <v>635</v>
          </cell>
        </row>
        <row r="159">
          <cell r="I159" t="str">
            <v>野外就近10等级的野怪</v>
          </cell>
          <cell r="J159">
            <v>636</v>
          </cell>
        </row>
        <row r="160">
          <cell r="I160" t="str">
            <v>野外就近11等级的野怪</v>
          </cell>
          <cell r="J160">
            <v>637</v>
          </cell>
        </row>
        <row r="161">
          <cell r="I161" t="str">
            <v>野外就近12等级的野怪</v>
          </cell>
          <cell r="J161">
            <v>638</v>
          </cell>
        </row>
        <row r="162">
          <cell r="I162" t="str">
            <v>野外就近13等级的野怪</v>
          </cell>
          <cell r="J162">
            <v>639</v>
          </cell>
        </row>
        <row r="163">
          <cell r="I163" t="str">
            <v>野外就近14等级的野怪</v>
          </cell>
          <cell r="J163">
            <v>640</v>
          </cell>
        </row>
        <row r="164">
          <cell r="I164" t="str">
            <v>野外就近15等级的野怪</v>
          </cell>
          <cell r="J164">
            <v>641</v>
          </cell>
        </row>
        <row r="165">
          <cell r="I165" t="str">
            <v>野外就近16等级的野怪</v>
          </cell>
          <cell r="J165">
            <v>642</v>
          </cell>
        </row>
        <row r="166">
          <cell r="I166" t="str">
            <v>野外就近17等级的野怪</v>
          </cell>
          <cell r="J166">
            <v>643</v>
          </cell>
        </row>
        <row r="167">
          <cell r="I167" t="str">
            <v>野外就近18等级的野怪</v>
          </cell>
          <cell r="J167">
            <v>644</v>
          </cell>
        </row>
        <row r="168">
          <cell r="I168" t="str">
            <v>野外就近19等级的野怪</v>
          </cell>
          <cell r="J168">
            <v>645</v>
          </cell>
        </row>
        <row r="169">
          <cell r="I169" t="str">
            <v>野外就近20等级的野怪</v>
          </cell>
          <cell r="J169">
            <v>646</v>
          </cell>
        </row>
        <row r="170">
          <cell r="I170" t="str">
            <v>野外就近21等级的野怪</v>
          </cell>
          <cell r="J170">
            <v>647</v>
          </cell>
        </row>
        <row r="171">
          <cell r="I171" t="str">
            <v>野外就近22等级的野怪</v>
          </cell>
          <cell r="J171">
            <v>648</v>
          </cell>
        </row>
        <row r="172">
          <cell r="I172" t="str">
            <v>野外就近23等级的野怪</v>
          </cell>
          <cell r="J172">
            <v>649</v>
          </cell>
        </row>
        <row r="173">
          <cell r="I173" t="str">
            <v>野外就近24等级的野怪</v>
          </cell>
          <cell r="J173">
            <v>650</v>
          </cell>
        </row>
        <row r="174">
          <cell r="I174" t="str">
            <v>野外就近25等级的野怪</v>
          </cell>
          <cell r="J174">
            <v>651</v>
          </cell>
        </row>
        <row r="175">
          <cell r="I175" t="str">
            <v>野外就近26等级的野怪</v>
          </cell>
          <cell r="J175">
            <v>652</v>
          </cell>
        </row>
        <row r="176">
          <cell r="I176" t="str">
            <v>野外就近27等级的野怪</v>
          </cell>
          <cell r="J176">
            <v>653</v>
          </cell>
        </row>
        <row r="177">
          <cell r="I177" t="str">
            <v>野外就近28等级的野怪</v>
          </cell>
          <cell r="J177">
            <v>654</v>
          </cell>
        </row>
        <row r="178">
          <cell r="I178" t="str">
            <v>野外就近29等级的野怪</v>
          </cell>
          <cell r="J178">
            <v>655</v>
          </cell>
        </row>
        <row r="179">
          <cell r="I179" t="str">
            <v>野外就近30等级的野怪</v>
          </cell>
          <cell r="J179">
            <v>656</v>
          </cell>
        </row>
        <row r="180">
          <cell r="J180">
            <v>0</v>
          </cell>
        </row>
        <row r="181">
          <cell r="J181">
            <v>0</v>
          </cell>
        </row>
        <row r="182">
          <cell r="I182" t="str">
            <v>跳转到建造【农田】无箭头</v>
          </cell>
          <cell r="J182">
            <v>701</v>
          </cell>
        </row>
        <row r="183">
          <cell r="I183" t="str">
            <v>跳转到建造【马厩】无箭头</v>
          </cell>
          <cell r="J183">
            <v>702</v>
          </cell>
        </row>
        <row r="184">
          <cell r="I184" t="str">
            <v>跳转到建造【学院】无箭头</v>
          </cell>
          <cell r="J184">
            <v>703</v>
          </cell>
        </row>
        <row r="185">
          <cell r="I185" t="str">
            <v>跳转到建造【码头】无箭头</v>
          </cell>
          <cell r="J185">
            <v>704</v>
          </cell>
        </row>
        <row r="186">
          <cell r="I186" t="str">
            <v>跳转到建造【渔网】无箭头</v>
          </cell>
          <cell r="J186">
            <v>705</v>
          </cell>
        </row>
        <row r="187">
          <cell r="I187" t="str">
            <v>跳转到建造【治疗房舍】无箭头</v>
          </cell>
          <cell r="J187">
            <v>706</v>
          </cell>
        </row>
        <row r="188">
          <cell r="I188" t="str">
            <v>跳转到建造【征兵房舍】无箭头</v>
          </cell>
          <cell r="J188">
            <v>707</v>
          </cell>
        </row>
        <row r="189">
          <cell r="I189" t="str">
            <v>跳转到建造【战争大厅】无箭头</v>
          </cell>
          <cell r="J189">
            <v>708</v>
          </cell>
        </row>
        <row r="190">
          <cell r="I190" t="str">
            <v>跳转到建造【射箭场】无箭头</v>
          </cell>
          <cell r="J190">
            <v>709</v>
          </cell>
        </row>
        <row r="191">
          <cell r="I191" t="str">
            <v>跳转到建造【攻城器械所】无箭头</v>
          </cell>
          <cell r="J191">
            <v>710</v>
          </cell>
        </row>
        <row r="192">
          <cell r="I192" t="str">
            <v>跳转到建造【瞭望塔】无箭头</v>
          </cell>
          <cell r="J192">
            <v>711</v>
          </cell>
        </row>
        <row r="193">
          <cell r="I193" t="str">
            <v>跳转到建造【大使馆】无箭头</v>
          </cell>
          <cell r="J193">
            <v>712</v>
          </cell>
        </row>
        <row r="194">
          <cell r="I194" t="str">
            <v>跳转到建造【市集】无箭头</v>
          </cell>
          <cell r="J194">
            <v>713</v>
          </cell>
        </row>
        <row r="195">
          <cell r="I195" t="str">
            <v>跳转到建造【博物馆】无箭头</v>
          </cell>
          <cell r="J195">
            <v>714</v>
          </cell>
        </row>
        <row r="196">
          <cell r="I196" t="str">
            <v>跳转到建造【旅店】无箭头</v>
          </cell>
          <cell r="J196">
            <v>715</v>
          </cell>
        </row>
        <row r="197">
          <cell r="I197" t="str">
            <v>跳转到建造【居民房舍】无箭头</v>
          </cell>
          <cell r="J197">
            <v>716</v>
          </cell>
        </row>
        <row r="198">
          <cell r="I198" t="str">
            <v>跳转到建造【磨坊】无箭头</v>
          </cell>
          <cell r="J198">
            <v>717</v>
          </cell>
        </row>
        <row r="199">
          <cell r="I199" t="str">
            <v>跳转到建造【伐木场】无箭头</v>
          </cell>
          <cell r="J199">
            <v>718</v>
          </cell>
        </row>
        <row r="200">
          <cell r="I200" t="str">
            <v>跳转到建造【石矿场】无箭头</v>
          </cell>
          <cell r="J200">
            <v>719</v>
          </cell>
        </row>
        <row r="201">
          <cell r="I201" t="str">
            <v>跳转到建造【金矿场】无箭头</v>
          </cell>
          <cell r="J201">
            <v>720</v>
          </cell>
        </row>
        <row r="202">
          <cell r="J202">
            <v>0</v>
          </cell>
        </row>
        <row r="203">
          <cell r="J203">
            <v>0</v>
          </cell>
        </row>
        <row r="204">
          <cell r="J204">
            <v>0</v>
          </cell>
        </row>
        <row r="205">
          <cell r="J205">
            <v>0</v>
          </cell>
        </row>
        <row r="206">
          <cell r="J206">
            <v>0</v>
          </cell>
        </row>
        <row r="207">
          <cell r="I207" t="str">
            <v>直接跳转-医疗界面</v>
          </cell>
          <cell r="J207">
            <v>1001</v>
          </cell>
        </row>
        <row r="208">
          <cell r="I208" t="str">
            <v>跳转-具体活动（需要邮件id）</v>
          </cell>
          <cell r="J208">
            <v>1002</v>
          </cell>
        </row>
        <row r="209">
          <cell r="I209" t="str">
            <v>跳转到具体建筑（需要建筑id）</v>
          </cell>
          <cell r="J209">
            <v>1003</v>
          </cell>
        </row>
        <row r="210">
          <cell r="I210" t="str">
            <v>博物馆马车运输完成</v>
          </cell>
          <cell r="J210">
            <v>1007</v>
          </cell>
        </row>
        <row r="211">
          <cell r="I211" t="str">
            <v>跳转-月签到</v>
          </cell>
          <cell r="J211">
            <v>1008</v>
          </cell>
        </row>
        <row r="212">
          <cell r="I212" t="str">
            <v>跳转-城镇中心</v>
          </cell>
          <cell r="J212">
            <v>1009</v>
          </cell>
        </row>
        <row r="213">
          <cell r="I213" t="str">
            <v>旅店-名人寻访</v>
          </cell>
          <cell r="J213">
            <v>1010</v>
          </cell>
        </row>
        <row r="214">
          <cell r="I214" t="str">
            <v>市集-兑换商店</v>
          </cell>
          <cell r="J214">
            <v>1011</v>
          </cell>
        </row>
        <row r="215">
          <cell r="I215" t="str">
            <v>野外-名城贸易（打开缩略图）</v>
          </cell>
          <cell r="J215">
            <v>2000</v>
          </cell>
        </row>
        <row r="216">
          <cell r="I216" t="str">
            <v>野外-玩家所占领的等级最高的1块地</v>
          </cell>
          <cell r="J216">
            <v>2001</v>
          </cell>
        </row>
        <row r="217">
          <cell r="I217" t="str">
            <v>商城-凤鸣九天</v>
          </cell>
          <cell r="J217">
            <v>2002</v>
          </cell>
        </row>
        <row r="218">
          <cell r="I218" t="str">
            <v>初级名城哨站</v>
          </cell>
          <cell r="J218">
            <v>3001</v>
          </cell>
        </row>
        <row r="219">
          <cell r="I219" t="str">
            <v>初级名城争夺</v>
          </cell>
          <cell r="J219">
            <v>3002</v>
          </cell>
        </row>
        <row r="220">
          <cell r="I220" t="str">
            <v>初级名城重新争夺</v>
          </cell>
          <cell r="J220">
            <v>3003</v>
          </cell>
        </row>
        <row r="221">
          <cell r="I221" t="str">
            <v>中级名城哨站</v>
          </cell>
          <cell r="J221">
            <v>3004</v>
          </cell>
        </row>
        <row r="222">
          <cell r="I222" t="str">
            <v>中级名城争夺</v>
          </cell>
          <cell r="J222">
            <v>3005</v>
          </cell>
        </row>
        <row r="223">
          <cell r="I223" t="str">
            <v>中级名城重新争夺</v>
          </cell>
          <cell r="J223">
            <v>3006</v>
          </cell>
        </row>
        <row r="224">
          <cell r="I224" t="str">
            <v>高级名城哨站</v>
          </cell>
          <cell r="J224">
            <v>3007</v>
          </cell>
        </row>
        <row r="225">
          <cell r="I225" t="str">
            <v>高级名城争夺</v>
          </cell>
          <cell r="J225">
            <v>3008</v>
          </cell>
        </row>
        <row r="226">
          <cell r="I226" t="str">
            <v>高级名城重新争夺</v>
          </cell>
          <cell r="J226">
            <v>3009</v>
          </cell>
        </row>
        <row r="227">
          <cell r="I227" t="str">
            <v>蛮族反击(名城外围开放)</v>
          </cell>
          <cell r="J227">
            <v>3010</v>
          </cell>
        </row>
        <row r="228">
          <cell r="I228" t="str">
            <v>蛮族反击(名城外围开放)</v>
          </cell>
          <cell r="J228">
            <v>3011</v>
          </cell>
        </row>
        <row r="229">
          <cell r="I229" t="str">
            <v>蛮族反击(名城外围开放)</v>
          </cell>
          <cell r="J229">
            <v>3012</v>
          </cell>
        </row>
        <row r="230">
          <cell r="I230" t="str">
            <v>蛮族反击(名城外围开放)</v>
          </cell>
          <cell r="J230">
            <v>3013</v>
          </cell>
        </row>
        <row r="231">
          <cell r="I231" t="str">
            <v>蛮族反击(调试用)</v>
          </cell>
          <cell r="J231">
            <v>3014</v>
          </cell>
        </row>
        <row r="232">
          <cell r="I232" t="str">
            <v>直接打开招募界面默认选中卡池</v>
          </cell>
          <cell r="J232">
            <v>3015</v>
          </cell>
        </row>
        <row r="233">
          <cell r="I233" t="str">
            <v>可以训练3级士兵的兵营</v>
          </cell>
          <cell r="J233">
            <v>4000</v>
          </cell>
        </row>
        <row r="234">
          <cell r="I234" t="str">
            <v>直接跳转-英雄召唤（高级）</v>
          </cell>
          <cell r="J234">
            <v>3016</v>
          </cell>
        </row>
        <row r="235">
          <cell r="I235" t="str">
            <v>直接跳转-天下大势</v>
          </cell>
          <cell r="J235">
            <v>3017</v>
          </cell>
        </row>
        <row r="236">
          <cell r="I236" t="str">
            <v>直接跳转-冒险</v>
          </cell>
          <cell r="J236">
            <v>3018</v>
          </cell>
        </row>
        <row r="237">
          <cell r="I237" t="str">
            <v>直接跳转-官职委任</v>
          </cell>
          <cell r="J237">
            <v>3019</v>
          </cell>
        </row>
        <row r="238">
          <cell r="I238" t="str">
            <v>直接跳转-英雄列表</v>
          </cell>
          <cell r="J238">
            <v>3020</v>
          </cell>
        </row>
        <row r="239">
          <cell r="I239" t="str">
            <v>直接跳转-充值界面</v>
          </cell>
          <cell r="J239">
            <v>3021</v>
          </cell>
        </row>
        <row r="240">
          <cell r="I240" t="str">
            <v>直接跳转-英雄召唤（活动）</v>
          </cell>
          <cell r="J240">
            <v>3022</v>
          </cell>
        </row>
        <row r="241">
          <cell r="I241" t="str">
            <v>直接跳转-英雄列表（活动）</v>
          </cell>
          <cell r="J241">
            <v>3033</v>
          </cell>
        </row>
        <row r="242">
          <cell r="I242" t="str">
            <v>直接跳转-典藏技能主界面</v>
          </cell>
          <cell r="J242">
            <v>3034</v>
          </cell>
        </row>
        <row r="243">
          <cell r="I243" t="str">
            <v>直接跳转-典藏技能主界面(英雄页签)</v>
          </cell>
          <cell r="J243">
            <v>3035</v>
          </cell>
        </row>
        <row r="244">
          <cell r="J244">
            <v>0</v>
          </cell>
        </row>
        <row r="245">
          <cell r="I245" t="str">
            <v>科技界面-推荐科技</v>
          </cell>
          <cell r="J245">
            <v>5032</v>
          </cell>
        </row>
        <row r="246">
          <cell r="I246" t="str">
            <v>直接跳转-旅店-寻访界面</v>
          </cell>
          <cell r="J246">
            <v>5041</v>
          </cell>
        </row>
        <row r="247">
          <cell r="I247" t="str">
            <v>直接跳转-旅店-名人列表界面</v>
          </cell>
          <cell r="J247">
            <v>5042</v>
          </cell>
        </row>
        <row r="248">
          <cell r="I248" t="str">
            <v>直接跳转-市集-大流克兑换界面</v>
          </cell>
          <cell r="J248">
            <v>5043</v>
          </cell>
        </row>
        <row r="249">
          <cell r="I249" t="str">
            <v>直接跳转-居民房舍-增产界面</v>
          </cell>
          <cell r="J249">
            <v>5044</v>
          </cell>
        </row>
        <row r="250">
          <cell r="I250" t="str">
            <v>直接跳转-联盟-宝库</v>
          </cell>
          <cell r="J250">
            <v>5045</v>
          </cell>
        </row>
        <row r="251">
          <cell r="I251" t="str">
            <v>直接跳转-好友界面</v>
          </cell>
          <cell r="J251">
            <v>5046</v>
          </cell>
        </row>
        <row r="252">
          <cell r="I252" t="str">
            <v>直接跳转-有正在研究的科技，直接进入科技研究界面并加速，无则进入选中推荐科技</v>
          </cell>
          <cell r="J252">
            <v>5048</v>
          </cell>
        </row>
        <row r="253">
          <cell r="I253" t="str">
            <v>直接跳转-赛季</v>
          </cell>
          <cell r="J253">
            <v>5047</v>
          </cell>
        </row>
        <row r="254">
          <cell r="I254" t="str">
            <v>直接跳转-战功商店</v>
          </cell>
          <cell r="J254">
            <v>5049</v>
          </cell>
        </row>
        <row r="255">
          <cell r="I255" t="str">
            <v>直接跳转-英雄技能分解</v>
          </cell>
          <cell r="J255">
            <v>5050</v>
          </cell>
        </row>
        <row r="256">
          <cell r="I256" t="str">
            <v>直接跳转-城镇中心征税</v>
          </cell>
          <cell r="J256">
            <v>5051</v>
          </cell>
        </row>
        <row r="257">
          <cell r="I257" t="str">
            <v>直接跳转-市集资源兑换</v>
          </cell>
          <cell r="J257">
            <v>5052</v>
          </cell>
        </row>
        <row r="258">
          <cell r="I258" t="str">
            <v>直接跳转-当前冒险队内政官培养</v>
          </cell>
          <cell r="J258">
            <v>5053</v>
          </cell>
        </row>
        <row r="259">
          <cell r="I259" t="str">
            <v>直接跳转-道具商店</v>
          </cell>
          <cell r="J259">
            <v>5054</v>
          </cell>
        </row>
        <row r="260">
          <cell r="J260">
            <v>0</v>
          </cell>
        </row>
        <row r="261">
          <cell r="I261" t="str">
            <v>跳转到科技界面【剑士攻击 I】科技</v>
          </cell>
          <cell r="J261">
            <v>5101</v>
          </cell>
        </row>
        <row r="262">
          <cell r="I262" t="str">
            <v>跳转到科技界面【枪兵攻击 I】科技</v>
          </cell>
          <cell r="J262">
            <v>5102</v>
          </cell>
        </row>
        <row r="263">
          <cell r="I263" t="str">
            <v>跳转到科技界面【骑士攻击 I】科技</v>
          </cell>
          <cell r="J263">
            <v>5103</v>
          </cell>
        </row>
        <row r="264">
          <cell r="I264" t="str">
            <v>跳转到科技界面【弓兵攻击 I】科技</v>
          </cell>
          <cell r="J264">
            <v>5104</v>
          </cell>
        </row>
        <row r="265">
          <cell r="I265" t="str">
            <v>跳转到科技界面【统御 I】科技</v>
          </cell>
          <cell r="J265">
            <v>5105</v>
          </cell>
        </row>
        <row r="266">
          <cell r="I266" t="str">
            <v>跳转到科技界面【剑士攻击 II】科技</v>
          </cell>
          <cell r="J266">
            <v>5106</v>
          </cell>
        </row>
        <row r="267">
          <cell r="I267" t="str">
            <v>跳转到科技界面【枪兵攻击 II】科技</v>
          </cell>
          <cell r="J267">
            <v>5107</v>
          </cell>
        </row>
        <row r="268">
          <cell r="I268" t="str">
            <v>跳转到科技界面【骑士攻击 II】科技</v>
          </cell>
          <cell r="J268">
            <v>5108</v>
          </cell>
        </row>
        <row r="269">
          <cell r="I269" t="str">
            <v>跳转到科技界面【弓兵攻击 II】科技</v>
          </cell>
          <cell r="J269">
            <v>5109</v>
          </cell>
        </row>
        <row r="270">
          <cell r="I270" t="str">
            <v>跳转到科技界面【剑士防御 I】科技</v>
          </cell>
          <cell r="J270">
            <v>5110</v>
          </cell>
        </row>
        <row r="271">
          <cell r="I271" t="str">
            <v>跳转到科技界面【枪兵防御 I】科技</v>
          </cell>
          <cell r="J271">
            <v>5111</v>
          </cell>
        </row>
        <row r="272">
          <cell r="I272" t="str">
            <v>跳转到科技界面【骑士防御 I】科技</v>
          </cell>
          <cell r="J272">
            <v>5112</v>
          </cell>
        </row>
        <row r="273">
          <cell r="I273" t="str">
            <v>跳转到科技界面【弓兵防御 I】科技</v>
          </cell>
          <cell r="J273">
            <v>5113</v>
          </cell>
        </row>
        <row r="274">
          <cell r="I274" t="str">
            <v>跳转到科技界面【统御 II】科技</v>
          </cell>
          <cell r="J274">
            <v>5114</v>
          </cell>
        </row>
        <row r="275">
          <cell r="I275" t="str">
            <v>跳转到科技界面【剑士攻击 III】科技</v>
          </cell>
          <cell r="J275">
            <v>5115</v>
          </cell>
        </row>
        <row r="276">
          <cell r="I276" t="str">
            <v>跳转到科技界面【枪兵攻击 III】科技</v>
          </cell>
          <cell r="J276">
            <v>5116</v>
          </cell>
        </row>
        <row r="277">
          <cell r="I277" t="str">
            <v>跳转到科技界面【骑士攻击 III】科技</v>
          </cell>
          <cell r="J277">
            <v>5117</v>
          </cell>
        </row>
        <row r="278">
          <cell r="I278" t="str">
            <v>跳转到科技界面【弓兵攻击 III】科技</v>
          </cell>
          <cell r="J278">
            <v>5118</v>
          </cell>
        </row>
        <row r="279">
          <cell r="I279" t="str">
            <v>跳转到科技界面【剑士防御 II】科技</v>
          </cell>
          <cell r="J279">
            <v>5119</v>
          </cell>
        </row>
        <row r="280">
          <cell r="I280" t="str">
            <v>跳转到科技界面【枪兵防御 II】科技</v>
          </cell>
          <cell r="J280">
            <v>5120</v>
          </cell>
        </row>
        <row r="281">
          <cell r="I281" t="str">
            <v>跳转到科技界面【骑士防御 II】科技</v>
          </cell>
          <cell r="J281">
            <v>5121</v>
          </cell>
        </row>
        <row r="282">
          <cell r="I282" t="str">
            <v>跳转到科技界面【弓兵防御 II】科技</v>
          </cell>
          <cell r="J282">
            <v>5122</v>
          </cell>
        </row>
        <row r="283">
          <cell r="I283" t="str">
            <v>跳转到科技界面【剑士生命】科技</v>
          </cell>
          <cell r="J283">
            <v>5123</v>
          </cell>
        </row>
        <row r="284">
          <cell r="I284" t="str">
            <v>跳转到科技界面【枪兵生命】科技</v>
          </cell>
          <cell r="J284">
            <v>5124</v>
          </cell>
        </row>
        <row r="285">
          <cell r="I285" t="str">
            <v>跳转到科技界面【骑士生命】科技</v>
          </cell>
          <cell r="J285">
            <v>5125</v>
          </cell>
        </row>
        <row r="286">
          <cell r="I286" t="str">
            <v>跳转到科技界面【弓兵生命】科技</v>
          </cell>
          <cell r="J286">
            <v>5126</v>
          </cell>
        </row>
        <row r="287">
          <cell r="I287" t="str">
            <v>跳转到科技界面【统御 III】科技</v>
          </cell>
          <cell r="J287">
            <v>5127</v>
          </cell>
        </row>
        <row r="288">
          <cell r="I288" t="str">
            <v>跳转到科技界面【磨坊产量 I】科技</v>
          </cell>
          <cell r="J288">
            <v>5128</v>
          </cell>
        </row>
        <row r="289">
          <cell r="I289" t="str">
            <v>跳转到科技界面【食物采集 I】科技</v>
          </cell>
          <cell r="J289">
            <v>5129</v>
          </cell>
        </row>
        <row r="290">
          <cell r="I290" t="str">
            <v>跳转到科技界面【伐木场产量 I】科技</v>
          </cell>
          <cell r="J290">
            <v>5130</v>
          </cell>
        </row>
        <row r="291">
          <cell r="I291" t="str">
            <v>跳转到科技界面【木材采集 I】科技</v>
          </cell>
          <cell r="J291">
            <v>5131</v>
          </cell>
        </row>
        <row r="292">
          <cell r="I292" t="str">
            <v>跳转到科技界面【村民效率 I】科技</v>
          </cell>
          <cell r="J292">
            <v>5132</v>
          </cell>
        </row>
        <row r="293">
          <cell r="I293" t="str">
            <v>跳转到科技界面【磨坊产量 II】科技</v>
          </cell>
          <cell r="J293">
            <v>5133</v>
          </cell>
        </row>
        <row r="294">
          <cell r="I294" t="str">
            <v>跳转到科技界面【石头采集 I】科技</v>
          </cell>
          <cell r="J294">
            <v>5134</v>
          </cell>
        </row>
        <row r="295">
          <cell r="I295" t="str">
            <v>跳转到科技界面【伐木场产量 II】科技</v>
          </cell>
          <cell r="J295">
            <v>5135</v>
          </cell>
        </row>
        <row r="296">
          <cell r="I296" t="str">
            <v>跳转到科技界面【黄金采集 I】科技</v>
          </cell>
          <cell r="J296">
            <v>5136</v>
          </cell>
        </row>
        <row r="297">
          <cell r="I297" t="str">
            <v>跳转到科技界面【采石场产量 I】科技</v>
          </cell>
          <cell r="J297">
            <v>5137</v>
          </cell>
        </row>
        <row r="298">
          <cell r="I298" t="str">
            <v>跳转到科技界面【采金场产量 I】科技</v>
          </cell>
          <cell r="J298">
            <v>5138</v>
          </cell>
        </row>
        <row r="299">
          <cell r="I299" t="str">
            <v>跳转到科技界面【村民效率 II】科技</v>
          </cell>
          <cell r="J299">
            <v>5139</v>
          </cell>
        </row>
        <row r="300">
          <cell r="I300" t="str">
            <v>跳转到科技界面【磨坊产量 III】科技</v>
          </cell>
          <cell r="J300">
            <v>5140</v>
          </cell>
        </row>
        <row r="301">
          <cell r="I301" t="str">
            <v>跳转到科技界面【食物采集 II】科技</v>
          </cell>
          <cell r="J301">
            <v>5141</v>
          </cell>
        </row>
        <row r="302">
          <cell r="I302" t="str">
            <v>跳转到科技界面【伐木场产量 III】科技</v>
          </cell>
          <cell r="J302">
            <v>5142</v>
          </cell>
        </row>
        <row r="303">
          <cell r="I303" t="str">
            <v>跳转到科技界面【木材采集 II】科技</v>
          </cell>
          <cell r="J303">
            <v>5143</v>
          </cell>
        </row>
        <row r="304">
          <cell r="I304" t="str">
            <v>跳转到科技界面【采石场产量 II】科技</v>
          </cell>
          <cell r="J304">
            <v>5144</v>
          </cell>
        </row>
        <row r="305">
          <cell r="I305" t="str">
            <v>跳转到科技界面【石头采集 II】科技</v>
          </cell>
          <cell r="J305">
            <v>5145</v>
          </cell>
        </row>
        <row r="306">
          <cell r="I306" t="str">
            <v>跳转到科技界面【采金场产量 II】科技</v>
          </cell>
          <cell r="J306">
            <v>5146</v>
          </cell>
        </row>
        <row r="307">
          <cell r="I307" t="str">
            <v>跳转到科技界面【黄金采集 II】科技</v>
          </cell>
          <cell r="J307">
            <v>5147</v>
          </cell>
        </row>
        <row r="308">
          <cell r="I308" t="str">
            <v>跳转到科技界面【铜币生产】科技</v>
          </cell>
          <cell r="J308">
            <v>5148</v>
          </cell>
        </row>
        <row r="309">
          <cell r="I309" t="str">
            <v>跳转到科技界面【资源存储】科技</v>
          </cell>
          <cell r="J309">
            <v>5149</v>
          </cell>
        </row>
        <row r="310">
          <cell r="I310" t="str">
            <v>跳转到科技界面【村民效率 III】科技</v>
          </cell>
          <cell r="J310">
            <v>5150</v>
          </cell>
        </row>
        <row r="311">
          <cell r="I311" t="str">
            <v>跳转到科技界面【剑士训练速度 I】科技</v>
          </cell>
          <cell r="J311">
            <v>5151</v>
          </cell>
        </row>
        <row r="312">
          <cell r="I312" t="str">
            <v>跳转到科技界面【枪兵训练速度 I】科技</v>
          </cell>
          <cell r="J312">
            <v>5152</v>
          </cell>
        </row>
        <row r="313">
          <cell r="I313" t="str">
            <v>跳转到科技界面【骑士训练速度 I】科技</v>
          </cell>
          <cell r="J313">
            <v>5153</v>
          </cell>
        </row>
        <row r="314">
          <cell r="I314" t="str">
            <v>跳转到科技界面【弓兵训练速度 I】科技</v>
          </cell>
          <cell r="J314">
            <v>5154</v>
          </cell>
        </row>
        <row r="315">
          <cell r="I315" t="str">
            <v>跳转到科技界面【伤兵容量 I】科技</v>
          </cell>
          <cell r="J315">
            <v>5155</v>
          </cell>
        </row>
        <row r="316">
          <cell r="I316" t="str">
            <v>跳转到科技界面【剑士训练速度 II】科技</v>
          </cell>
          <cell r="J316">
            <v>5156</v>
          </cell>
        </row>
        <row r="317">
          <cell r="I317" t="str">
            <v>跳转到科技界面【枪兵训练速度 II】科技</v>
          </cell>
          <cell r="J317">
            <v>5157</v>
          </cell>
        </row>
        <row r="318">
          <cell r="I318" t="str">
            <v>跳转到科技界面【骑士训练速度 II】科技</v>
          </cell>
          <cell r="J318">
            <v>5158</v>
          </cell>
        </row>
        <row r="319">
          <cell r="I319" t="str">
            <v>跳转到科技界面【弓兵训练速度 II】科技</v>
          </cell>
          <cell r="J319">
            <v>5159</v>
          </cell>
        </row>
        <row r="320">
          <cell r="I320" t="str">
            <v>跳转到科技界面【剑士训练数量 I】科技</v>
          </cell>
          <cell r="J320">
            <v>5160</v>
          </cell>
        </row>
        <row r="321">
          <cell r="I321" t="str">
            <v>跳转到科技界面【枪兵训练数量 I】科技</v>
          </cell>
          <cell r="J321">
            <v>5161</v>
          </cell>
        </row>
        <row r="322">
          <cell r="I322" t="str">
            <v>跳转到科技界面【骑士训练数量 I】科技</v>
          </cell>
          <cell r="J322">
            <v>5162</v>
          </cell>
        </row>
        <row r="323">
          <cell r="I323" t="str">
            <v>跳转到科技界面【弓兵训练数量 I】科技</v>
          </cell>
          <cell r="J323">
            <v>5163</v>
          </cell>
        </row>
        <row r="324">
          <cell r="I324" t="str">
            <v>跳转到科技界面【伤兵容量 II】科技</v>
          </cell>
          <cell r="J324">
            <v>5164</v>
          </cell>
        </row>
        <row r="325">
          <cell r="I325" t="str">
            <v>跳转到科技界面【剑士训练速度 III】科技</v>
          </cell>
          <cell r="J325">
            <v>5165</v>
          </cell>
        </row>
        <row r="326">
          <cell r="I326" t="str">
            <v>跳转到科技界面【枪兵训练速度 III】科技</v>
          </cell>
          <cell r="J326">
            <v>5166</v>
          </cell>
        </row>
        <row r="327">
          <cell r="I327" t="str">
            <v>跳转到科技界面【骑士训练速度 III】科技</v>
          </cell>
          <cell r="J327">
            <v>5167</v>
          </cell>
        </row>
        <row r="328">
          <cell r="I328" t="str">
            <v>跳转到科技界面【弓兵训练速度 III】科技</v>
          </cell>
          <cell r="J328">
            <v>5168</v>
          </cell>
        </row>
        <row r="329">
          <cell r="I329" t="str">
            <v>跳转到科技界面【剑士训练数量 II】科技</v>
          </cell>
          <cell r="J329">
            <v>5169</v>
          </cell>
        </row>
        <row r="330">
          <cell r="I330" t="str">
            <v>跳转到科技界面【枪兵训练数量 II】科技</v>
          </cell>
          <cell r="J330">
            <v>5170</v>
          </cell>
        </row>
        <row r="331">
          <cell r="I331" t="str">
            <v>跳转到科技界面【骑士训练数量 II】科技</v>
          </cell>
          <cell r="J331">
            <v>5171</v>
          </cell>
        </row>
        <row r="332">
          <cell r="I332" t="str">
            <v>跳转到科技界面【弓兵训练数量 II】科技</v>
          </cell>
          <cell r="J332">
            <v>5172</v>
          </cell>
        </row>
        <row r="333">
          <cell r="I333" t="str">
            <v>跳转到科技界面【体力上限】科技</v>
          </cell>
          <cell r="J333">
            <v>5173</v>
          </cell>
        </row>
        <row r="334">
          <cell r="I334" t="str">
            <v>跳转到科技界面【体力恢复】科技</v>
          </cell>
          <cell r="J334">
            <v>5174</v>
          </cell>
        </row>
        <row r="335">
          <cell r="I335" t="str">
            <v>跳转到科技界面【伤兵容量 III】科技</v>
          </cell>
          <cell r="J335">
            <v>5175</v>
          </cell>
        </row>
        <row r="336">
          <cell r="I336" t="str">
            <v>跳转到科技界面【攻城攻击 I】科技</v>
          </cell>
          <cell r="J336">
            <v>5176</v>
          </cell>
        </row>
        <row r="337">
          <cell r="I337" t="str">
            <v>跳转到科技界面【攻城防御 I】科技</v>
          </cell>
          <cell r="J337">
            <v>5177</v>
          </cell>
        </row>
        <row r="338">
          <cell r="I338" t="str">
            <v>跳转到科技界面【守城攻击 I】科技</v>
          </cell>
          <cell r="J338">
            <v>5178</v>
          </cell>
        </row>
        <row r="339">
          <cell r="I339" t="str">
            <v>跳转到科技界面【守城防御 I】科技</v>
          </cell>
          <cell r="J339">
            <v>5179</v>
          </cell>
        </row>
        <row r="340">
          <cell r="I340" t="str">
            <v>跳转到科技界面【城墙耐久 I】科技</v>
          </cell>
          <cell r="J340">
            <v>5180</v>
          </cell>
        </row>
        <row r="341">
          <cell r="I341" t="str">
            <v>跳转到科技界面【攻城攻击 II】科技</v>
          </cell>
          <cell r="J341">
            <v>5181</v>
          </cell>
        </row>
        <row r="342">
          <cell r="I342" t="str">
            <v>跳转到科技界面【攻城防御 II】科技</v>
          </cell>
          <cell r="J342">
            <v>5182</v>
          </cell>
        </row>
        <row r="343">
          <cell r="I343" t="str">
            <v>跳转到科技界面【守城攻击 II】科技</v>
          </cell>
          <cell r="J343">
            <v>5183</v>
          </cell>
        </row>
        <row r="344">
          <cell r="I344" t="str">
            <v>跳转到科技界面【守城防御 II】科技</v>
          </cell>
          <cell r="J344">
            <v>5184</v>
          </cell>
        </row>
        <row r="345">
          <cell r="I345" t="str">
            <v>跳转到科技界面【城防伤害 I】科技</v>
          </cell>
          <cell r="J345">
            <v>5185</v>
          </cell>
        </row>
        <row r="346">
          <cell r="I346" t="str">
            <v>跳转到科技界面【城墙修复速度 I】科技</v>
          </cell>
          <cell r="J346">
            <v>5186</v>
          </cell>
        </row>
        <row r="347">
          <cell r="I347" t="str">
            <v>跳转到科技界面【城墙耐久 II】科技</v>
          </cell>
          <cell r="J347">
            <v>5187</v>
          </cell>
        </row>
        <row r="348">
          <cell r="I348" t="str">
            <v>跳转到科技界面【攻城攻击 III】科技</v>
          </cell>
          <cell r="J348">
            <v>5188</v>
          </cell>
        </row>
        <row r="349">
          <cell r="I349" t="str">
            <v>跳转到科技界面【攻城防御 III】科技</v>
          </cell>
          <cell r="J349">
            <v>5189</v>
          </cell>
        </row>
        <row r="350">
          <cell r="I350" t="str">
            <v>跳转到科技界面【守城攻击 III】科技</v>
          </cell>
          <cell r="J350">
            <v>5190</v>
          </cell>
        </row>
        <row r="351">
          <cell r="I351" t="str">
            <v>跳转到科技界面【守城防御 III】科技</v>
          </cell>
          <cell r="J351">
            <v>5191</v>
          </cell>
        </row>
        <row r="352">
          <cell r="I352" t="str">
            <v>跳转到科技界面【城防伤害 II】科技</v>
          </cell>
          <cell r="J352">
            <v>5192</v>
          </cell>
        </row>
        <row r="353">
          <cell r="I353" t="str">
            <v>跳转到科技界面【城墙修复速度 II】科技</v>
          </cell>
          <cell r="J353">
            <v>5193</v>
          </cell>
        </row>
        <row r="354">
          <cell r="I354" t="str">
            <v>跳转到科技界面【防卫塔攻击】科技</v>
          </cell>
          <cell r="J354">
            <v>5194</v>
          </cell>
        </row>
        <row r="355">
          <cell r="I355" t="str">
            <v>跳转到科技界面【资源保护】科技</v>
          </cell>
          <cell r="J355">
            <v>5195</v>
          </cell>
        </row>
        <row r="356">
          <cell r="I356" t="str">
            <v>跳转到科技界面【城墙耐久 III】科技</v>
          </cell>
          <cell r="J356">
            <v>5196</v>
          </cell>
        </row>
        <row r="357">
          <cell r="J357">
            <v>0</v>
          </cell>
        </row>
        <row r="358">
          <cell r="J358">
            <v>0</v>
          </cell>
        </row>
        <row r="359">
          <cell r="I359" t="str">
            <v>城镇中心-升级</v>
          </cell>
          <cell r="J359">
            <v>5201</v>
          </cell>
        </row>
        <row r="360">
          <cell r="I360" t="str">
            <v>直接跳转-城镇中心-选中</v>
          </cell>
          <cell r="J360">
            <v>5300</v>
          </cell>
        </row>
        <row r="361">
          <cell r="J361">
            <v>0</v>
          </cell>
        </row>
        <row r="362">
          <cell r="I362" t="str">
            <v>跳转到【城镇中心】直接打开升级界面</v>
          </cell>
          <cell r="J362">
            <v>6201</v>
          </cell>
        </row>
        <row r="363">
          <cell r="I363" t="str">
            <v>跳转到【居民房舍】直接打开升级界面</v>
          </cell>
          <cell r="J363">
            <v>6202</v>
          </cell>
        </row>
        <row r="364">
          <cell r="I364" t="str">
            <v>跳转到【磨坊】直接打开升级界面</v>
          </cell>
          <cell r="J364">
            <v>6203</v>
          </cell>
        </row>
        <row r="365">
          <cell r="I365" t="str">
            <v>跳转到【伐木场】直接打开升级界面</v>
          </cell>
          <cell r="J365">
            <v>6204</v>
          </cell>
        </row>
        <row r="366">
          <cell r="I366" t="str">
            <v>跳转到【石矿场】直接打开升级界面</v>
          </cell>
          <cell r="J366">
            <v>6205</v>
          </cell>
        </row>
        <row r="367">
          <cell r="I367" t="str">
            <v>跳转到【剑士营】直接打开升级界面</v>
          </cell>
          <cell r="J367">
            <v>6206</v>
          </cell>
        </row>
        <row r="368">
          <cell r="I368" t="str">
            <v>跳转到【农田】直接打开升级界面</v>
          </cell>
          <cell r="J368">
            <v>6207</v>
          </cell>
        </row>
        <row r="369">
          <cell r="I369" t="str">
            <v>跳转到【城堡】直接打开升级界面</v>
          </cell>
          <cell r="J369">
            <v>6208</v>
          </cell>
        </row>
        <row r="370">
          <cell r="I370" t="str">
            <v>跳转到【马厩】直接打开升级界面</v>
          </cell>
          <cell r="J370">
            <v>6209</v>
          </cell>
        </row>
        <row r="371">
          <cell r="I371" t="str">
            <v>跳转到【学院】直接打开升级界面</v>
          </cell>
          <cell r="J371">
            <v>6211</v>
          </cell>
        </row>
        <row r="372">
          <cell r="I372" t="str">
            <v>跳转到【校场】直接打开升级界面</v>
          </cell>
          <cell r="J372">
            <v>6212</v>
          </cell>
        </row>
        <row r="373">
          <cell r="I373" t="str">
            <v>跳转到【码头】直接打开升级界面</v>
          </cell>
          <cell r="J373">
            <v>6213</v>
          </cell>
        </row>
        <row r="374">
          <cell r="I374" t="str">
            <v>跳转到【城墙】直接打开升级界面</v>
          </cell>
          <cell r="J374">
            <v>6215</v>
          </cell>
        </row>
        <row r="375">
          <cell r="I375" t="str">
            <v>跳转到【治疗房舍】直接打开升级界面</v>
          </cell>
          <cell r="J375">
            <v>6222</v>
          </cell>
        </row>
        <row r="376">
          <cell r="I376" t="str">
            <v>跳转到【射箭场】直接打开升级界面</v>
          </cell>
          <cell r="J376">
            <v>6224</v>
          </cell>
        </row>
        <row r="377">
          <cell r="I377" t="str">
            <v>跳转到【瞭望塔】直接打开升级界面</v>
          </cell>
          <cell r="J377">
            <v>6226</v>
          </cell>
        </row>
        <row r="378">
          <cell r="I378" t="str">
            <v>跳转到【防卫塔】直接打开升级界面</v>
          </cell>
          <cell r="J378">
            <v>6227</v>
          </cell>
        </row>
        <row r="379">
          <cell r="I379" t="str">
            <v>跳转到【战争大厅】直接打开升级界面</v>
          </cell>
          <cell r="J379">
            <v>6229</v>
          </cell>
        </row>
        <row r="380">
          <cell r="I380" t="str">
            <v>跳转到【大使馆】直接打开升级界面</v>
          </cell>
          <cell r="J380">
            <v>6230</v>
          </cell>
        </row>
        <row r="381">
          <cell r="I381" t="str">
            <v>跳转到【市级】直接打开升级界面</v>
          </cell>
          <cell r="J381">
            <v>6231</v>
          </cell>
        </row>
        <row r="382">
          <cell r="I382" t="str">
            <v>跳转到【枪兵营】直接打开升级界面</v>
          </cell>
          <cell r="J382">
            <v>6232</v>
          </cell>
        </row>
        <row r="383">
          <cell r="I383" t="str">
            <v>跳转到【博物馆】直接打开升级界面</v>
          </cell>
          <cell r="J383">
            <v>6233</v>
          </cell>
        </row>
        <row r="384">
          <cell r="I384" t="str">
            <v>跳转到【金矿场】直接打开升级界面</v>
          </cell>
          <cell r="J384">
            <v>6234</v>
          </cell>
        </row>
        <row r="385">
          <cell r="I385" t="str">
            <v>跳转到【点将台】直接打开升级界面</v>
          </cell>
          <cell r="J385">
            <v>6235</v>
          </cell>
        </row>
        <row r="386">
          <cell r="I386" t="str">
            <v>跳转到【纪念碑】直接打开升级界面</v>
          </cell>
          <cell r="J386">
            <v>6236</v>
          </cell>
        </row>
        <row r="387">
          <cell r="I387" t="str">
            <v>跳转到【旅店】直接打开升级界面</v>
          </cell>
          <cell r="J387">
            <v>6237</v>
          </cell>
        </row>
        <row r="388">
          <cell r="J388">
            <v>0</v>
          </cell>
        </row>
        <row r="389">
          <cell r="I389" t="str">
            <v>跳转打开联盟科技-官员推荐</v>
          </cell>
          <cell r="J389">
            <v>6300</v>
          </cell>
        </row>
        <row r="390">
          <cell r="I390" t="str">
            <v>跳转到最近的建造中的联盟建筑</v>
          </cell>
          <cell r="J390">
            <v>6301</v>
          </cell>
        </row>
        <row r="391">
          <cell r="I391" t="str">
            <v>跳转到城镇中心【升级】菜单按钮</v>
          </cell>
          <cell r="J391">
            <v>7001</v>
          </cell>
        </row>
        <row r="392">
          <cell r="I392" t="str">
            <v>跳转到城镇中心【训练村民】菜单按钮</v>
          </cell>
          <cell r="J392">
            <v>7002</v>
          </cell>
        </row>
        <row r="393">
          <cell r="I393" t="str">
            <v>跳转到城镇中心【升级时代】菜单按钮</v>
          </cell>
          <cell r="J393">
            <v>7003</v>
          </cell>
        </row>
        <row r="394">
          <cell r="I394" t="str">
            <v>跳转到城镇中心【城池增益】菜单按钮</v>
          </cell>
          <cell r="J394">
            <v>7004</v>
          </cell>
        </row>
        <row r="395">
          <cell r="I395" t="str">
            <v>跳转到城镇中心【征税】菜单按钮</v>
          </cell>
          <cell r="J395">
            <v>7005</v>
          </cell>
        </row>
        <row r="396">
          <cell r="I396" t="str">
            <v>跳转到居民房舍【升级】菜单按钮</v>
          </cell>
          <cell r="J396">
            <v>7006</v>
          </cell>
        </row>
        <row r="397">
          <cell r="I397" t="str">
            <v>跳转到居民房舍【村民调配】菜单按钮</v>
          </cell>
          <cell r="J397">
            <v>7007</v>
          </cell>
        </row>
        <row r="398">
          <cell r="I398" t="str">
            <v>跳转到居民房舍【移动】菜单按钮</v>
          </cell>
          <cell r="J398">
            <v>7008</v>
          </cell>
        </row>
        <row r="399">
          <cell r="I399" t="str">
            <v>跳转到磨坊【升级】菜单按钮</v>
          </cell>
          <cell r="J399">
            <v>7009</v>
          </cell>
        </row>
        <row r="400">
          <cell r="I400" t="str">
            <v>跳转到磨坊【移动】菜单按钮</v>
          </cell>
          <cell r="J400">
            <v>7010</v>
          </cell>
        </row>
        <row r="401">
          <cell r="I401" t="str">
            <v>跳转到伐木场【升级】菜单按钮</v>
          </cell>
          <cell r="J401">
            <v>7011</v>
          </cell>
        </row>
        <row r="402">
          <cell r="I402" t="str">
            <v>跳转到伐木场【移动】菜单按钮</v>
          </cell>
          <cell r="J402">
            <v>7012</v>
          </cell>
        </row>
        <row r="403">
          <cell r="I403" t="str">
            <v>跳转到石矿场【升级】菜单按钮</v>
          </cell>
          <cell r="J403">
            <v>7013</v>
          </cell>
        </row>
        <row r="404">
          <cell r="I404" t="str">
            <v>跳转到石矿场【移动】菜单按钮</v>
          </cell>
          <cell r="J404">
            <v>7014</v>
          </cell>
        </row>
        <row r="405">
          <cell r="I405" t="str">
            <v>跳转到剑士营【升级】菜单按钮</v>
          </cell>
          <cell r="J405">
            <v>7015</v>
          </cell>
        </row>
        <row r="406">
          <cell r="I406" t="str">
            <v>跳转到剑士营【训练】菜单按钮</v>
          </cell>
          <cell r="J406">
            <v>7016</v>
          </cell>
        </row>
        <row r="407">
          <cell r="I407" t="str">
            <v>跳转到剑士营【加速】菜单按钮</v>
          </cell>
          <cell r="J407">
            <v>7017</v>
          </cell>
        </row>
        <row r="408">
          <cell r="I408" t="str">
            <v>跳转到剑士营【移动】菜单按钮</v>
          </cell>
          <cell r="J408">
            <v>7018</v>
          </cell>
        </row>
        <row r="409">
          <cell r="I409" t="str">
            <v>跳转到农田【升级】菜单按钮</v>
          </cell>
          <cell r="J409">
            <v>7019</v>
          </cell>
        </row>
        <row r="410">
          <cell r="I410" t="str">
            <v>跳转到农田【移动】菜单按钮</v>
          </cell>
          <cell r="J410">
            <v>7020</v>
          </cell>
        </row>
        <row r="411">
          <cell r="I411" t="str">
            <v>跳转到城堡【升级】菜单按钮</v>
          </cell>
          <cell r="J411">
            <v>7021</v>
          </cell>
        </row>
        <row r="412">
          <cell r="I412" t="str">
            <v>跳转到城堡【训练】菜单按钮</v>
          </cell>
          <cell r="J412">
            <v>7022</v>
          </cell>
        </row>
        <row r="413">
          <cell r="I413" t="str">
            <v>跳转到城堡【加速】菜单按钮</v>
          </cell>
          <cell r="J413">
            <v>7023</v>
          </cell>
        </row>
        <row r="414">
          <cell r="I414" t="str">
            <v>跳转到城堡【研究科技】菜单按钮</v>
          </cell>
          <cell r="J414">
            <v>7024</v>
          </cell>
        </row>
        <row r="415">
          <cell r="I415" t="str">
            <v>跳转到马厩【升级】菜单按钮</v>
          </cell>
          <cell r="J415">
            <v>7025</v>
          </cell>
        </row>
        <row r="416">
          <cell r="I416" t="str">
            <v>跳转到马厩【训练】菜单按钮</v>
          </cell>
          <cell r="J416">
            <v>7026</v>
          </cell>
        </row>
        <row r="417">
          <cell r="I417" t="str">
            <v>跳转到马厩【加速】菜单按钮</v>
          </cell>
          <cell r="J417">
            <v>7027</v>
          </cell>
        </row>
        <row r="418">
          <cell r="I418" t="str">
            <v>跳转到马厩【移动】菜单按钮</v>
          </cell>
          <cell r="J418">
            <v>7028</v>
          </cell>
        </row>
        <row r="419">
          <cell r="I419" t="str">
            <v>跳转到学院【升级】菜单按钮</v>
          </cell>
          <cell r="J419">
            <v>7029</v>
          </cell>
        </row>
        <row r="420">
          <cell r="I420" t="str">
            <v>跳转到学院【研究科技】菜单按钮</v>
          </cell>
          <cell r="J420">
            <v>7030</v>
          </cell>
        </row>
        <row r="421">
          <cell r="I421" t="str">
            <v>跳转到学院【加速】菜单按钮</v>
          </cell>
          <cell r="J421">
            <v>7031</v>
          </cell>
        </row>
        <row r="422">
          <cell r="I422" t="str">
            <v>跳转到学院【移动】菜单按钮</v>
          </cell>
          <cell r="J422">
            <v>7032</v>
          </cell>
        </row>
        <row r="423">
          <cell r="I423" t="str">
            <v>跳转到校场【升级】菜单按钮</v>
          </cell>
          <cell r="J423">
            <v>7033</v>
          </cell>
        </row>
        <row r="424">
          <cell r="I424" t="str">
            <v>跳转到校场【部队编组】菜单按钮</v>
          </cell>
          <cell r="J424">
            <v>7034</v>
          </cell>
        </row>
        <row r="425">
          <cell r="I425" t="str">
            <v>跳转到校场【旗帜编辑】菜单按钮</v>
          </cell>
          <cell r="J425">
            <v>7035</v>
          </cell>
        </row>
        <row r="426">
          <cell r="I426" t="str">
            <v>跳转到校场【部队详情】菜单按钮</v>
          </cell>
          <cell r="J426">
            <v>7036</v>
          </cell>
        </row>
        <row r="427">
          <cell r="I427" t="str">
            <v>跳转到码头【升级】菜单按钮</v>
          </cell>
          <cell r="J427">
            <v>7037</v>
          </cell>
        </row>
        <row r="428">
          <cell r="I428" t="str">
            <v>跳转到码头【捕鱼】菜单按钮</v>
          </cell>
          <cell r="J428">
            <v>7038</v>
          </cell>
        </row>
        <row r="429">
          <cell r="I429" t="str">
            <v>跳转到城墙【升级】菜单按钮</v>
          </cell>
          <cell r="J429">
            <v>7039</v>
          </cell>
        </row>
        <row r="430">
          <cell r="I430" t="str">
            <v>跳转到城墙【城池防御】菜单按钮</v>
          </cell>
          <cell r="J430">
            <v>7040</v>
          </cell>
        </row>
        <row r="431">
          <cell r="I431" t="str">
            <v>跳转到治疗房舍【升级】菜单按钮</v>
          </cell>
          <cell r="J431">
            <v>7041</v>
          </cell>
        </row>
        <row r="432">
          <cell r="I432" t="str">
            <v>跳转到治疗房舍【治疗】菜单按钮</v>
          </cell>
          <cell r="J432">
            <v>7042</v>
          </cell>
        </row>
        <row r="433">
          <cell r="I433" t="str">
            <v>跳转到治疗房舍【移动】菜单按钮</v>
          </cell>
          <cell r="J433">
            <v>7043</v>
          </cell>
        </row>
        <row r="434">
          <cell r="I434" t="str">
            <v>跳转到征兵房舍【升级】菜单按钮</v>
          </cell>
          <cell r="J434">
            <v>7044</v>
          </cell>
        </row>
        <row r="435">
          <cell r="I435" t="str">
            <v>跳转到射箭场【升级】菜单按钮</v>
          </cell>
          <cell r="J435">
            <v>7045</v>
          </cell>
        </row>
        <row r="436">
          <cell r="I436" t="str">
            <v>跳转到射箭场【训练】菜单按钮</v>
          </cell>
          <cell r="J436">
            <v>7046</v>
          </cell>
        </row>
        <row r="437">
          <cell r="I437" t="str">
            <v>跳转到射箭场【加速】菜单按钮</v>
          </cell>
          <cell r="J437">
            <v>7047</v>
          </cell>
        </row>
        <row r="438">
          <cell r="I438" t="str">
            <v>跳转到射箭场【移动】菜单按钮</v>
          </cell>
          <cell r="J438">
            <v>7048</v>
          </cell>
        </row>
        <row r="439">
          <cell r="I439" t="str">
            <v>跳转到瞭望塔【升级】菜单按钮</v>
          </cell>
          <cell r="J439">
            <v>7049</v>
          </cell>
        </row>
        <row r="440">
          <cell r="I440" t="str">
            <v>跳转到瞭望塔【军事详情】菜单按钮</v>
          </cell>
          <cell r="J440">
            <v>7050</v>
          </cell>
        </row>
        <row r="441">
          <cell r="I441" t="str">
            <v>跳转到防卫塔【升级】菜单按钮</v>
          </cell>
          <cell r="J441">
            <v>7051</v>
          </cell>
        </row>
        <row r="442">
          <cell r="I442" t="str">
            <v>跳转到战争大厅【升级】菜单按钮</v>
          </cell>
          <cell r="J442">
            <v>7052</v>
          </cell>
        </row>
        <row r="443">
          <cell r="I443" t="str">
            <v>跳转到战争大厅【联盟战争】菜单按钮</v>
          </cell>
          <cell r="J443">
            <v>7053</v>
          </cell>
        </row>
        <row r="444">
          <cell r="I444" t="str">
            <v>跳转到战争大厅【移动】菜单按钮</v>
          </cell>
          <cell r="J444">
            <v>7054</v>
          </cell>
        </row>
        <row r="445">
          <cell r="I445" t="str">
            <v>跳转到大使馆【升级】菜单按钮</v>
          </cell>
          <cell r="J445">
            <v>7055</v>
          </cell>
        </row>
        <row r="446">
          <cell r="I446" t="str">
            <v>跳转到大使馆【士兵援助】菜单按钮</v>
          </cell>
          <cell r="J446">
            <v>7056</v>
          </cell>
        </row>
        <row r="447">
          <cell r="I447" t="str">
            <v>跳转到大使馆【移动】菜单按钮</v>
          </cell>
          <cell r="J447">
            <v>7057</v>
          </cell>
        </row>
        <row r="448">
          <cell r="I448" t="str">
            <v>跳转到市集【升级】菜单按钮</v>
          </cell>
          <cell r="J448">
            <v>7058</v>
          </cell>
        </row>
        <row r="449">
          <cell r="I449" t="str">
            <v>跳转到市集【移动】菜单按钮</v>
          </cell>
          <cell r="J449">
            <v>7059</v>
          </cell>
        </row>
        <row r="450">
          <cell r="I450" t="str">
            <v>跳转到市集【资源兑换】菜单按钮</v>
          </cell>
          <cell r="J450">
            <v>7060</v>
          </cell>
        </row>
        <row r="451">
          <cell r="I451" t="str">
            <v>跳转到枪兵营【升级】菜单按钮</v>
          </cell>
          <cell r="J451">
            <v>7061</v>
          </cell>
        </row>
        <row r="452">
          <cell r="I452" t="str">
            <v>跳转到枪兵营【训练】菜单按钮</v>
          </cell>
          <cell r="J452">
            <v>7062</v>
          </cell>
        </row>
        <row r="453">
          <cell r="I453" t="str">
            <v>跳转到枪兵营【加速】菜单按钮</v>
          </cell>
          <cell r="J453">
            <v>7063</v>
          </cell>
        </row>
        <row r="454">
          <cell r="I454" t="str">
            <v>跳转到枪兵营【移动】菜单按钮</v>
          </cell>
          <cell r="J454">
            <v>7064</v>
          </cell>
        </row>
        <row r="455">
          <cell r="I455" t="str">
            <v>跳转到博物馆【升级】菜单按钮</v>
          </cell>
          <cell r="J455">
            <v>7065</v>
          </cell>
        </row>
        <row r="456">
          <cell r="I456" t="str">
            <v>跳转到博物馆【移动】菜单按钮</v>
          </cell>
          <cell r="J456">
            <v>7066</v>
          </cell>
        </row>
        <row r="457">
          <cell r="I457" t="str">
            <v>跳转到金矿场【升级】菜单按钮</v>
          </cell>
          <cell r="J457">
            <v>7067</v>
          </cell>
        </row>
        <row r="458">
          <cell r="I458" t="str">
            <v>跳转到金矿场【移动】菜单按钮</v>
          </cell>
          <cell r="J458">
            <v>7068</v>
          </cell>
        </row>
        <row r="459">
          <cell r="I459" t="str">
            <v>跳转到点将台【升级】菜单按钮</v>
          </cell>
          <cell r="J459">
            <v>7069</v>
          </cell>
        </row>
        <row r="460">
          <cell r="I460" t="str">
            <v>跳转到点将台【招募】菜单按钮</v>
          </cell>
          <cell r="J460">
            <v>7070</v>
          </cell>
        </row>
        <row r="461">
          <cell r="I461" t="str">
            <v>跳转到纪念碑【升级】菜单按钮</v>
          </cell>
          <cell r="J461">
            <v>7071</v>
          </cell>
        </row>
        <row r="462">
          <cell r="I462" t="str">
            <v>跳转到纪念碑【天下大势】菜单按钮</v>
          </cell>
          <cell r="J462">
            <v>7072</v>
          </cell>
        </row>
        <row r="463">
          <cell r="I463" t="str">
            <v>跳转到旅店【升级】菜单按钮</v>
          </cell>
          <cell r="J463">
            <v>7073</v>
          </cell>
        </row>
        <row r="464">
          <cell r="I464" t="str">
            <v>跳转到【内政官寻访】菜单按钮</v>
          </cell>
          <cell r="J464">
            <v>7074</v>
          </cell>
        </row>
        <row r="465">
          <cell r="I465" t="str">
            <v>跳转到旅店【内政官列表】菜单按钮(废弃)</v>
          </cell>
          <cell r="J465">
            <v>7075</v>
          </cell>
        </row>
        <row r="466">
          <cell r="I466" t="str">
            <v>跳转到旅店【联协图谱】菜单按钮(废弃)</v>
          </cell>
          <cell r="J466">
            <v>7076</v>
          </cell>
        </row>
        <row r="467">
          <cell r="I467" t="str">
            <v>跳转到旅店【移动】菜单按钮</v>
          </cell>
          <cell r="J467">
            <v>7077</v>
          </cell>
        </row>
        <row r="468">
          <cell r="I468" t="str">
            <v>跳转到城镇中心【建造】确认</v>
          </cell>
          <cell r="J468">
            <v>7078</v>
          </cell>
        </row>
        <row r="469">
          <cell r="I469" t="str">
            <v>跳转到居民房舍【建造】确认</v>
          </cell>
          <cell r="J469">
            <v>7079</v>
          </cell>
        </row>
        <row r="470">
          <cell r="I470" t="str">
            <v>跳转到磨坊【建造】确认</v>
          </cell>
          <cell r="J470">
            <v>7080</v>
          </cell>
        </row>
        <row r="471">
          <cell r="I471" t="str">
            <v>跳转到伐木场【建造】确认</v>
          </cell>
          <cell r="J471">
            <v>7081</v>
          </cell>
        </row>
        <row r="472">
          <cell r="I472" t="str">
            <v>跳转到石矿场【建造】确认</v>
          </cell>
          <cell r="J472">
            <v>7082</v>
          </cell>
        </row>
        <row r="473">
          <cell r="I473" t="str">
            <v>跳转到剑士营【建造】确认</v>
          </cell>
          <cell r="J473">
            <v>7083</v>
          </cell>
        </row>
        <row r="474">
          <cell r="I474" t="str">
            <v>跳转到农田【建造】确认</v>
          </cell>
          <cell r="J474">
            <v>7084</v>
          </cell>
        </row>
        <row r="475">
          <cell r="I475" t="str">
            <v>跳转到城堡【建造】确认</v>
          </cell>
          <cell r="J475">
            <v>7085</v>
          </cell>
        </row>
        <row r="476">
          <cell r="I476" t="str">
            <v>跳转到马厩【建造】确认</v>
          </cell>
          <cell r="J476">
            <v>7086</v>
          </cell>
        </row>
        <row r="477">
          <cell r="I477" t="str">
            <v>跳转到学院【建造】确认</v>
          </cell>
          <cell r="J477">
            <v>7087</v>
          </cell>
        </row>
        <row r="478">
          <cell r="I478" t="str">
            <v>跳转到校场【建造】确认</v>
          </cell>
          <cell r="J478">
            <v>7088</v>
          </cell>
        </row>
        <row r="479">
          <cell r="I479" t="str">
            <v>跳转到码头【建造】确认</v>
          </cell>
          <cell r="J479">
            <v>7089</v>
          </cell>
        </row>
        <row r="480">
          <cell r="I480" t="str">
            <v>跳转到城墙【建造】确认</v>
          </cell>
          <cell r="J480">
            <v>7090</v>
          </cell>
        </row>
        <row r="481">
          <cell r="I481" t="str">
            <v>跳转到治疗房舍【建造】确认</v>
          </cell>
          <cell r="J481">
            <v>7091</v>
          </cell>
        </row>
        <row r="482">
          <cell r="I482" t="str">
            <v>跳转到征兵房舍【建造】确认</v>
          </cell>
          <cell r="J482">
            <v>7092</v>
          </cell>
        </row>
        <row r="483">
          <cell r="I483" t="str">
            <v>跳转到射箭场【建造】确认</v>
          </cell>
          <cell r="J483">
            <v>7093</v>
          </cell>
        </row>
        <row r="484">
          <cell r="I484" t="str">
            <v>跳转到瞭望塔【建造】确认</v>
          </cell>
          <cell r="J484">
            <v>7094</v>
          </cell>
        </row>
        <row r="485">
          <cell r="I485" t="str">
            <v>跳转到防卫塔【建造】确认</v>
          </cell>
          <cell r="J485">
            <v>7095</v>
          </cell>
        </row>
        <row r="486">
          <cell r="I486" t="str">
            <v>跳转到战争大厅【建造】确认</v>
          </cell>
          <cell r="J486">
            <v>7096</v>
          </cell>
        </row>
        <row r="487">
          <cell r="I487" t="str">
            <v>跳转到大使馆【建造】确认</v>
          </cell>
          <cell r="J487">
            <v>7097</v>
          </cell>
        </row>
        <row r="488">
          <cell r="I488" t="str">
            <v>跳转到市集【建造】确认</v>
          </cell>
          <cell r="J488">
            <v>7098</v>
          </cell>
        </row>
        <row r="489">
          <cell r="I489" t="str">
            <v>跳转到枪兵营【建造】确认</v>
          </cell>
          <cell r="J489">
            <v>7099</v>
          </cell>
        </row>
        <row r="490">
          <cell r="I490" t="str">
            <v>跳转到博物馆【建造】确认</v>
          </cell>
          <cell r="J490">
            <v>7100</v>
          </cell>
        </row>
        <row r="491">
          <cell r="I491" t="str">
            <v>跳转到金矿场【建造】确认</v>
          </cell>
          <cell r="J491">
            <v>7101</v>
          </cell>
        </row>
        <row r="492">
          <cell r="I492" t="str">
            <v>跳转到点将台【建造】确认</v>
          </cell>
          <cell r="J492">
            <v>7102</v>
          </cell>
        </row>
        <row r="493">
          <cell r="I493" t="str">
            <v>跳转到纪念碑【建造】确认</v>
          </cell>
          <cell r="J493">
            <v>7103</v>
          </cell>
        </row>
        <row r="494">
          <cell r="I494" t="str">
            <v>跳转到旅店【建造】确认</v>
          </cell>
          <cell r="J494">
            <v>7104</v>
          </cell>
        </row>
        <row r="495">
          <cell r="I495" t="str">
            <v>跳转到野外主界面【搜索】食物选项</v>
          </cell>
          <cell r="J495">
            <v>7105</v>
          </cell>
        </row>
        <row r="496">
          <cell r="I496" t="str">
            <v>跳转到玩家城堡【部队编排】菜单按钮</v>
          </cell>
          <cell r="J496">
            <v>7106</v>
          </cell>
        </row>
        <row r="497">
          <cell r="I497" t="str">
            <v>跳转到野外资源点【攻占】菜单按钮</v>
          </cell>
          <cell r="J497">
            <v>7107</v>
          </cell>
        </row>
        <row r="498">
          <cell r="I498" t="str">
            <v>跳转到主界面【编队】按钮</v>
          </cell>
          <cell r="J498">
            <v>7108</v>
          </cell>
        </row>
        <row r="499">
          <cell r="I499" t="str">
            <v>跳转到主界面【英雄】按钮</v>
          </cell>
          <cell r="J499">
            <v>7109</v>
          </cell>
        </row>
        <row r="500">
          <cell r="I500" t="str">
            <v>跳转到主界面【联盟】按钮</v>
          </cell>
          <cell r="J500">
            <v>7110</v>
          </cell>
        </row>
        <row r="501">
          <cell r="I501" t="str">
            <v>跳转到主界面【战役】按钮(废弃)</v>
          </cell>
          <cell r="J501">
            <v>7111</v>
          </cell>
        </row>
        <row r="502">
          <cell r="I502" t="str">
            <v>跳转到主界面【探险】按钮</v>
          </cell>
          <cell r="J502">
            <v>7112</v>
          </cell>
        </row>
        <row r="503">
          <cell r="I503" t="str">
            <v>跳转到主界面【发展战略】按钮</v>
          </cell>
          <cell r="J503">
            <v>7113</v>
          </cell>
        </row>
        <row r="504">
          <cell r="I504" t="str">
            <v>跳转到主界面【内政官】按钮(废弃)</v>
          </cell>
          <cell r="J504">
            <v>7114</v>
          </cell>
        </row>
        <row r="505">
          <cell r="I505" t="str">
            <v>跳转到主界面【技能】按钮</v>
          </cell>
          <cell r="J505">
            <v>7115</v>
          </cell>
        </row>
        <row r="506">
          <cell r="I506" t="str">
            <v>跳转到主界面【英雄征战】按钮</v>
          </cell>
          <cell r="J506">
            <v>7116</v>
          </cell>
        </row>
        <row r="507">
          <cell r="I507" t="str">
            <v>跳转到主界面【排行榜】按钮</v>
          </cell>
          <cell r="J507">
            <v>7117</v>
          </cell>
        </row>
        <row r="508">
          <cell r="I508" t="str">
            <v>跳转到主界面【好友】按钮</v>
          </cell>
          <cell r="J508">
            <v>7118</v>
          </cell>
        </row>
        <row r="509">
          <cell r="I509" t="str">
            <v>跳转到主界面【战功】按钮</v>
          </cell>
          <cell r="J509">
            <v>7119</v>
          </cell>
        </row>
        <row r="510">
          <cell r="I510" t="str">
            <v>跳转到主界面【繁荣度】入口</v>
          </cell>
          <cell r="J510">
            <v>7120</v>
          </cell>
        </row>
        <row r="511">
          <cell r="I511" t="str">
            <v>跳转到当前可训练1级兵【兵营建筑】展开菜单</v>
          </cell>
          <cell r="J511">
            <v>7121</v>
          </cell>
        </row>
        <row r="512">
          <cell r="I512" t="str">
            <v>跳转到当前可训练2级兵【兵营建筑】展开菜单</v>
          </cell>
          <cell r="J512">
            <v>7122</v>
          </cell>
        </row>
        <row r="513">
          <cell r="I513" t="str">
            <v>跳转到当前可训练3级兵【兵营建筑】展开菜单</v>
          </cell>
          <cell r="J513">
            <v>7123</v>
          </cell>
        </row>
        <row r="514">
          <cell r="I514" t="str">
            <v>跳转到当前可训练4级兵【兵营建筑】展开菜单</v>
          </cell>
          <cell r="J514">
            <v>7124</v>
          </cell>
        </row>
        <row r="515">
          <cell r="I515" t="str">
            <v>跳转到剑士营【训练】1级剑士</v>
          </cell>
          <cell r="J515">
            <v>7125</v>
          </cell>
        </row>
        <row r="516">
          <cell r="I516" t="str">
            <v>跳转到剑士营【训练】2级剑士</v>
          </cell>
          <cell r="J516">
            <v>7126</v>
          </cell>
        </row>
        <row r="517">
          <cell r="I517" t="str">
            <v>跳转到剑士营【训练】3级剑士</v>
          </cell>
          <cell r="J517">
            <v>7127</v>
          </cell>
        </row>
        <row r="518">
          <cell r="I518" t="str">
            <v>跳转到剑士营【训练】4级剑士</v>
          </cell>
          <cell r="J518">
            <v>7128</v>
          </cell>
        </row>
        <row r="519">
          <cell r="I519" t="str">
            <v>跳转到枪兵营【训练】1级枪兵</v>
          </cell>
          <cell r="J519">
            <v>7129</v>
          </cell>
        </row>
        <row r="520">
          <cell r="I520" t="str">
            <v>跳转到枪兵营【训练】2级枪兵</v>
          </cell>
          <cell r="J520">
            <v>7130</v>
          </cell>
        </row>
        <row r="521">
          <cell r="I521" t="str">
            <v>跳转到枪兵营【训练】3级枪兵</v>
          </cell>
          <cell r="J521">
            <v>7131</v>
          </cell>
        </row>
        <row r="522">
          <cell r="I522" t="str">
            <v>跳转到枪兵营【训练】4级枪兵</v>
          </cell>
          <cell r="J522">
            <v>7132</v>
          </cell>
        </row>
        <row r="523">
          <cell r="I523" t="str">
            <v>跳转到马厩【训练】1级骑士</v>
          </cell>
          <cell r="J523">
            <v>7133</v>
          </cell>
        </row>
        <row r="524">
          <cell r="I524" t="str">
            <v>跳转到马厩【训练】2级骑士</v>
          </cell>
          <cell r="J524">
            <v>7134</v>
          </cell>
        </row>
        <row r="525">
          <cell r="I525" t="str">
            <v>跳转到马厩【训练】3级骑士</v>
          </cell>
          <cell r="J525">
            <v>7135</v>
          </cell>
        </row>
        <row r="526">
          <cell r="I526" t="str">
            <v>跳转到马厩【训练】4级骑士</v>
          </cell>
          <cell r="J526">
            <v>7136</v>
          </cell>
        </row>
        <row r="527">
          <cell r="I527" t="str">
            <v>跳转到射箭场【训练】1级骑士</v>
          </cell>
          <cell r="J527">
            <v>7137</v>
          </cell>
        </row>
        <row r="528">
          <cell r="I528" t="str">
            <v>跳转到射箭场【训练】2级骑士</v>
          </cell>
          <cell r="J528">
            <v>7138</v>
          </cell>
        </row>
        <row r="529">
          <cell r="I529" t="str">
            <v>跳转到射箭场【训练】3级骑士</v>
          </cell>
          <cell r="J529">
            <v>7139</v>
          </cell>
        </row>
        <row r="530">
          <cell r="I530" t="str">
            <v>跳转到射箭场【训练】4级骑士</v>
          </cell>
          <cell r="J530">
            <v>7140</v>
          </cell>
        </row>
        <row r="531">
          <cell r="I531" t="str">
            <v>跳转到当前处于训练中【兵营建筑】展开菜单</v>
          </cell>
          <cell r="J531">
            <v>7141</v>
          </cell>
        </row>
        <row r="532">
          <cell r="I532" t="str">
            <v>跳转到当前士兵总数最多【兵营建筑】展开菜单</v>
          </cell>
          <cell r="J532">
            <v>7142</v>
          </cell>
        </row>
        <row r="533">
          <cell r="I533" t="str">
            <v>跳转到当前等级最高【兵营建筑】展开菜单</v>
          </cell>
          <cell r="J533">
            <v>7143</v>
          </cell>
        </row>
        <row r="534">
          <cell r="I534" t="str">
            <v>跳转到当前占领最高级【木材】资源点采集按钮</v>
          </cell>
          <cell r="J534">
            <v>7144</v>
          </cell>
        </row>
        <row r="535">
          <cell r="I535" t="str">
            <v>跳转到当前占领最高级【食物】资源点采集按钮</v>
          </cell>
          <cell r="J535">
            <v>7145</v>
          </cell>
        </row>
        <row r="536">
          <cell r="I536" t="str">
            <v>跳转到当前占领最高级【石材】资源点采集按钮</v>
          </cell>
          <cell r="J536">
            <v>7146</v>
          </cell>
        </row>
        <row r="537">
          <cell r="I537" t="str">
            <v>跳转到当前占领最高级【黄金】资源点采集按钮</v>
          </cell>
          <cell r="J537">
            <v>7147</v>
          </cell>
        </row>
        <row r="538">
          <cell r="I538" t="str">
            <v>跳转到当前占领最高级【任意】资源点采集按钮</v>
          </cell>
          <cell r="J538">
            <v>7148</v>
          </cell>
        </row>
        <row r="539">
          <cell r="I539" t="str">
            <v>跳转到当前占领最低级【木材】资源点放弃按钮</v>
          </cell>
          <cell r="J539">
            <v>7149</v>
          </cell>
        </row>
        <row r="540">
          <cell r="I540" t="str">
            <v>跳转到当前占领最低级【食物】资源点放弃按钮</v>
          </cell>
          <cell r="J540">
            <v>7150</v>
          </cell>
        </row>
        <row r="541">
          <cell r="I541" t="str">
            <v>跳转到当前占领最低级【石材】资源点放弃按钮</v>
          </cell>
          <cell r="J541">
            <v>7151</v>
          </cell>
        </row>
        <row r="542">
          <cell r="I542" t="str">
            <v>跳转到当前占领最低级【黄金】资源点放弃按钮</v>
          </cell>
          <cell r="J542">
            <v>7152</v>
          </cell>
        </row>
        <row r="543">
          <cell r="I543" t="str">
            <v>跳转到当前占领最低级【任意】资源点放弃按钮</v>
          </cell>
          <cell r="J543">
            <v>7153</v>
          </cell>
        </row>
        <row r="544">
          <cell r="I544" t="str">
            <v>跳转到当前占领最高级【木材】资源点练将按钮</v>
          </cell>
          <cell r="J544">
            <v>7154</v>
          </cell>
        </row>
        <row r="545">
          <cell r="I545" t="str">
            <v>跳转到当前占领最高级【食物】资源点练将按钮</v>
          </cell>
          <cell r="J545">
            <v>7155</v>
          </cell>
        </row>
        <row r="546">
          <cell r="I546" t="str">
            <v>跳转到当前占领最高级【石材】资源点练将按钮</v>
          </cell>
          <cell r="J546">
            <v>7156</v>
          </cell>
        </row>
        <row r="547">
          <cell r="I547" t="str">
            <v>跳转到当前占领最高级【黄金】资源点练将按钮</v>
          </cell>
          <cell r="J547">
            <v>7157</v>
          </cell>
        </row>
        <row r="548">
          <cell r="I548" t="str">
            <v>跳转到当前占领最高级【任意】资源点练将按钮</v>
          </cell>
          <cell r="J548">
            <v>7158</v>
          </cell>
        </row>
        <row r="549">
          <cell r="I549" t="str">
            <v>跳转到1级【木材】资源点攻占按钮</v>
          </cell>
          <cell r="J549">
            <v>7159</v>
          </cell>
        </row>
        <row r="550">
          <cell r="I550" t="str">
            <v>跳转到2级【木材】资源点攻占按钮</v>
          </cell>
          <cell r="J550">
            <v>7160</v>
          </cell>
        </row>
        <row r="551">
          <cell r="I551" t="str">
            <v>跳转到3级【木材】资源点攻占按钮</v>
          </cell>
          <cell r="J551">
            <v>7161</v>
          </cell>
        </row>
        <row r="552">
          <cell r="I552" t="str">
            <v>跳转到4级【木材】资源点攻占按钮</v>
          </cell>
          <cell r="J552">
            <v>7162</v>
          </cell>
        </row>
        <row r="553">
          <cell r="I553" t="str">
            <v>跳转到5级【木材】资源点攻占按钮</v>
          </cell>
          <cell r="J553">
            <v>7163</v>
          </cell>
        </row>
        <row r="554">
          <cell r="I554" t="str">
            <v>跳转到6级【木材】资源点攻占按钮</v>
          </cell>
          <cell r="J554">
            <v>7164</v>
          </cell>
        </row>
        <row r="555">
          <cell r="I555" t="str">
            <v>跳转到7级【木材】资源点攻占按钮</v>
          </cell>
          <cell r="J555">
            <v>7165</v>
          </cell>
        </row>
        <row r="556">
          <cell r="I556" t="str">
            <v>跳转到8级【木材】资源点攻占按钮</v>
          </cell>
          <cell r="J556">
            <v>7166</v>
          </cell>
        </row>
        <row r="557">
          <cell r="I557" t="str">
            <v>跳转到9级【木材】资源点攻占按钮</v>
          </cell>
          <cell r="J557">
            <v>7167</v>
          </cell>
        </row>
        <row r="558">
          <cell r="I558" t="str">
            <v>跳转到10级【木材】资源点攻占按钮</v>
          </cell>
          <cell r="J558">
            <v>7168</v>
          </cell>
        </row>
        <row r="559">
          <cell r="I559" t="str">
            <v>跳转到11级【木材】资源点攻占按钮</v>
          </cell>
          <cell r="J559">
            <v>7169</v>
          </cell>
        </row>
        <row r="560">
          <cell r="I560" t="str">
            <v>跳转到12级【木材】资源点攻占按钮</v>
          </cell>
          <cell r="J560">
            <v>7170</v>
          </cell>
        </row>
        <row r="561">
          <cell r="I561" t="str">
            <v>跳转到13级【木材】资源点攻占按钮</v>
          </cell>
          <cell r="J561">
            <v>7171</v>
          </cell>
        </row>
        <row r="562">
          <cell r="I562" t="str">
            <v>跳转到14级【木材】资源点攻占按钮</v>
          </cell>
          <cell r="J562">
            <v>7172</v>
          </cell>
        </row>
        <row r="563">
          <cell r="I563" t="str">
            <v>跳转到15级【木材】资源点攻占按钮</v>
          </cell>
          <cell r="J563">
            <v>7173</v>
          </cell>
        </row>
        <row r="564">
          <cell r="I564" t="str">
            <v>跳转到1级【食物】资源点攻占按钮</v>
          </cell>
          <cell r="J564">
            <v>7174</v>
          </cell>
        </row>
        <row r="565">
          <cell r="I565" t="str">
            <v>跳转到2级【食物】资源点攻占按钮</v>
          </cell>
          <cell r="J565">
            <v>7175</v>
          </cell>
        </row>
        <row r="566">
          <cell r="I566" t="str">
            <v>跳转到3级【食物】资源点攻占按钮</v>
          </cell>
          <cell r="J566">
            <v>7176</v>
          </cell>
        </row>
        <row r="567">
          <cell r="I567" t="str">
            <v>跳转到4级【食物】资源点攻占按钮</v>
          </cell>
          <cell r="J567">
            <v>7177</v>
          </cell>
        </row>
        <row r="568">
          <cell r="I568" t="str">
            <v>跳转到5级【食物】资源点攻占按钮</v>
          </cell>
          <cell r="J568">
            <v>7178</v>
          </cell>
        </row>
        <row r="569">
          <cell r="I569" t="str">
            <v>跳转到6级【食物】资源点攻占按钮</v>
          </cell>
          <cell r="J569">
            <v>7179</v>
          </cell>
        </row>
        <row r="570">
          <cell r="I570" t="str">
            <v>跳转到7级【食物】资源点攻占按钮</v>
          </cell>
          <cell r="J570">
            <v>7180</v>
          </cell>
        </row>
        <row r="571">
          <cell r="I571" t="str">
            <v>跳转到8级【食物】资源点攻占按钮</v>
          </cell>
          <cell r="J571">
            <v>7181</v>
          </cell>
        </row>
        <row r="572">
          <cell r="I572" t="str">
            <v>跳转到9级【食物】资源点攻占按钮</v>
          </cell>
          <cell r="J572">
            <v>7182</v>
          </cell>
        </row>
        <row r="573">
          <cell r="I573" t="str">
            <v>跳转到10级【食物】资源点攻占按钮</v>
          </cell>
          <cell r="J573">
            <v>7183</v>
          </cell>
        </row>
        <row r="574">
          <cell r="I574" t="str">
            <v>跳转到11级【食物】资源点攻占按钮</v>
          </cell>
          <cell r="J574">
            <v>7184</v>
          </cell>
        </row>
        <row r="575">
          <cell r="I575" t="str">
            <v>跳转到12级【食物】资源点攻占按钮</v>
          </cell>
          <cell r="J575">
            <v>7185</v>
          </cell>
        </row>
        <row r="576">
          <cell r="I576" t="str">
            <v>跳转到13级【食物】资源点攻占按钮</v>
          </cell>
          <cell r="J576">
            <v>7186</v>
          </cell>
        </row>
        <row r="577">
          <cell r="I577" t="str">
            <v>跳转到14级【食物】资源点攻占按钮</v>
          </cell>
          <cell r="J577">
            <v>7187</v>
          </cell>
        </row>
        <row r="578">
          <cell r="I578" t="str">
            <v>跳转到15级【食物】资源点攻占按钮</v>
          </cell>
          <cell r="J578">
            <v>7188</v>
          </cell>
        </row>
        <row r="579">
          <cell r="I579" t="str">
            <v>跳转到1级【石头】资源点攻占按钮</v>
          </cell>
          <cell r="J579">
            <v>7189</v>
          </cell>
        </row>
        <row r="580">
          <cell r="I580" t="str">
            <v>跳转到2级【石头】资源点攻占按钮</v>
          </cell>
          <cell r="J580">
            <v>7190</v>
          </cell>
        </row>
        <row r="581">
          <cell r="I581" t="str">
            <v>跳转到3级【石头】资源点攻占按钮</v>
          </cell>
          <cell r="J581">
            <v>7191</v>
          </cell>
        </row>
        <row r="582">
          <cell r="I582" t="str">
            <v>跳转到4级【石头】资源点攻占按钮</v>
          </cell>
          <cell r="J582">
            <v>7192</v>
          </cell>
        </row>
        <row r="583">
          <cell r="I583" t="str">
            <v>跳转到5级【石头】资源点攻占按钮</v>
          </cell>
          <cell r="J583">
            <v>7193</v>
          </cell>
        </row>
        <row r="584">
          <cell r="I584" t="str">
            <v>跳转到6级【石头】资源点攻占按钮</v>
          </cell>
          <cell r="J584">
            <v>7194</v>
          </cell>
        </row>
        <row r="585">
          <cell r="I585" t="str">
            <v>跳转到7级【石头】资源点攻占按钮</v>
          </cell>
          <cell r="J585">
            <v>7195</v>
          </cell>
        </row>
        <row r="586">
          <cell r="I586" t="str">
            <v>跳转到8级【石头】资源点攻占按钮</v>
          </cell>
          <cell r="J586">
            <v>7196</v>
          </cell>
        </row>
        <row r="587">
          <cell r="I587" t="str">
            <v>跳转到9级【石头】资源点攻占按钮</v>
          </cell>
          <cell r="J587">
            <v>7197</v>
          </cell>
        </row>
        <row r="588">
          <cell r="I588" t="str">
            <v>跳转到10级【石头】资源点攻占按钮</v>
          </cell>
          <cell r="J588">
            <v>7198</v>
          </cell>
        </row>
        <row r="589">
          <cell r="I589" t="str">
            <v>跳转到11级【石头】资源点攻占按钮</v>
          </cell>
          <cell r="J589">
            <v>7199</v>
          </cell>
        </row>
        <row r="590">
          <cell r="I590" t="str">
            <v>跳转到12级【石头】资源点攻占按钮</v>
          </cell>
          <cell r="J590">
            <v>7200</v>
          </cell>
        </row>
        <row r="591">
          <cell r="I591" t="str">
            <v>跳转到13级【石头】资源点攻占按钮</v>
          </cell>
          <cell r="J591">
            <v>7201</v>
          </cell>
        </row>
        <row r="592">
          <cell r="I592" t="str">
            <v>跳转到14级【石头】资源点攻占按钮</v>
          </cell>
          <cell r="J592">
            <v>7202</v>
          </cell>
        </row>
        <row r="593">
          <cell r="I593" t="str">
            <v>跳转到15级【石头】资源点攻占按钮</v>
          </cell>
          <cell r="J593">
            <v>7203</v>
          </cell>
        </row>
        <row r="594">
          <cell r="I594" t="str">
            <v>跳转到1级【黄金】资源点攻占按钮</v>
          </cell>
          <cell r="J594">
            <v>7204</v>
          </cell>
        </row>
        <row r="595">
          <cell r="I595" t="str">
            <v>跳转到2级【黄金】资源点攻占按钮</v>
          </cell>
          <cell r="J595">
            <v>7205</v>
          </cell>
        </row>
        <row r="596">
          <cell r="I596" t="str">
            <v>跳转到3级【黄金】资源点攻占按钮</v>
          </cell>
          <cell r="J596">
            <v>7206</v>
          </cell>
        </row>
        <row r="597">
          <cell r="I597" t="str">
            <v>跳转到4级【黄金】资源点攻占按钮</v>
          </cell>
          <cell r="J597">
            <v>7207</v>
          </cell>
        </row>
        <row r="598">
          <cell r="I598" t="str">
            <v>跳转到5级【黄金】资源点攻占按钮</v>
          </cell>
          <cell r="J598">
            <v>7208</v>
          </cell>
        </row>
        <row r="599">
          <cell r="I599" t="str">
            <v>跳转到6级【黄金】资源点攻占按钮</v>
          </cell>
          <cell r="J599">
            <v>7209</v>
          </cell>
        </row>
        <row r="600">
          <cell r="I600" t="str">
            <v>跳转到7级【黄金】资源点攻占按钮</v>
          </cell>
          <cell r="J600">
            <v>7210</v>
          </cell>
        </row>
        <row r="601">
          <cell r="I601" t="str">
            <v>跳转到8级【黄金】资源点攻占按钮</v>
          </cell>
          <cell r="J601">
            <v>7211</v>
          </cell>
        </row>
        <row r="602">
          <cell r="I602" t="str">
            <v>跳转到9级【黄金】资源点攻占按钮</v>
          </cell>
          <cell r="J602">
            <v>7212</v>
          </cell>
        </row>
        <row r="603">
          <cell r="I603" t="str">
            <v>跳转到10级【黄金】资源点攻占按钮</v>
          </cell>
          <cell r="J603">
            <v>7213</v>
          </cell>
        </row>
        <row r="604">
          <cell r="I604" t="str">
            <v>跳转到11级【黄金】资源点攻占按钮</v>
          </cell>
          <cell r="J604">
            <v>7214</v>
          </cell>
        </row>
        <row r="605">
          <cell r="I605" t="str">
            <v>跳转到12级【黄金】资源点攻占按钮</v>
          </cell>
          <cell r="J605">
            <v>7215</v>
          </cell>
        </row>
        <row r="606">
          <cell r="I606" t="str">
            <v>跳转到13级【黄金】资源点攻占按钮</v>
          </cell>
          <cell r="J606">
            <v>7216</v>
          </cell>
        </row>
        <row r="607">
          <cell r="I607" t="str">
            <v>跳转到14级【黄金】资源点攻占按钮</v>
          </cell>
          <cell r="J607">
            <v>7217</v>
          </cell>
        </row>
        <row r="608">
          <cell r="I608" t="str">
            <v>跳转到15级【黄金】资源点攻占按钮</v>
          </cell>
          <cell r="J608">
            <v>7218</v>
          </cell>
        </row>
        <row r="609">
          <cell r="I609" t="str">
            <v>跳转到1级【任意】资源点攻占按钮</v>
          </cell>
          <cell r="J609">
            <v>7219</v>
          </cell>
        </row>
        <row r="610">
          <cell r="I610" t="str">
            <v>跳转到2级【任意】资源点攻占按钮</v>
          </cell>
          <cell r="J610">
            <v>7220</v>
          </cell>
        </row>
        <row r="611">
          <cell r="I611" t="str">
            <v>跳转到3级【任意】资源点攻占按钮</v>
          </cell>
          <cell r="J611">
            <v>7221</v>
          </cell>
        </row>
        <row r="612">
          <cell r="I612" t="str">
            <v>跳转到4级【任意】资源点攻占按钮</v>
          </cell>
          <cell r="J612">
            <v>7222</v>
          </cell>
        </row>
        <row r="613">
          <cell r="I613" t="str">
            <v>跳转到5级【任意】资源点攻占按钮</v>
          </cell>
          <cell r="J613">
            <v>7223</v>
          </cell>
        </row>
        <row r="614">
          <cell r="I614" t="str">
            <v>跳转到6级【任意】资源点攻占按钮</v>
          </cell>
          <cell r="J614">
            <v>7224</v>
          </cell>
        </row>
        <row r="615">
          <cell r="I615" t="str">
            <v>跳转到7级【任意】资源点攻占按钮</v>
          </cell>
          <cell r="J615">
            <v>7225</v>
          </cell>
        </row>
        <row r="616">
          <cell r="I616" t="str">
            <v>跳转到8级【任意】资源点攻占按钮</v>
          </cell>
          <cell r="J616">
            <v>7226</v>
          </cell>
        </row>
        <row r="617">
          <cell r="I617" t="str">
            <v>跳转到9级【任意】资源点攻占按钮</v>
          </cell>
          <cell r="J617">
            <v>7227</v>
          </cell>
        </row>
        <row r="618">
          <cell r="I618" t="str">
            <v>跳转到10级【任意】资源点攻占按钮</v>
          </cell>
          <cell r="J618">
            <v>7228</v>
          </cell>
        </row>
        <row r="619">
          <cell r="I619" t="str">
            <v>跳转到11级【任意】资源点攻占按钮</v>
          </cell>
          <cell r="J619">
            <v>7229</v>
          </cell>
        </row>
        <row r="620">
          <cell r="I620" t="str">
            <v>跳转到12级【任意】资源点攻占按钮</v>
          </cell>
          <cell r="J620">
            <v>7230</v>
          </cell>
        </row>
        <row r="621">
          <cell r="I621" t="str">
            <v>跳转到13级【任意】资源点攻占按钮</v>
          </cell>
          <cell r="J621">
            <v>7231</v>
          </cell>
        </row>
        <row r="622">
          <cell r="I622" t="str">
            <v>跳转到14级【任意】资源点攻占按钮</v>
          </cell>
          <cell r="J622">
            <v>7232</v>
          </cell>
        </row>
        <row r="623">
          <cell r="I623" t="str">
            <v>跳转到15级【任意】资源点攻占按钮</v>
          </cell>
          <cell r="J623">
            <v>7233</v>
          </cell>
        </row>
        <row r="624">
          <cell r="I624" t="str">
            <v>跳转到1级【任意】资源点侦察按钮</v>
          </cell>
          <cell r="J624">
            <v>7234</v>
          </cell>
        </row>
        <row r="625">
          <cell r="I625" t="str">
            <v>跳转到2级【任意】资源点侦察按钮</v>
          </cell>
          <cell r="J625">
            <v>7235</v>
          </cell>
        </row>
        <row r="626">
          <cell r="I626" t="str">
            <v>跳转到3级【任意】资源点侦察按钮</v>
          </cell>
          <cell r="J626">
            <v>7236</v>
          </cell>
        </row>
        <row r="627">
          <cell r="I627" t="str">
            <v>跳转到4级【任意】资源点侦察按钮</v>
          </cell>
          <cell r="J627">
            <v>7237</v>
          </cell>
        </row>
        <row r="628">
          <cell r="I628" t="str">
            <v>跳转到5级【任意】资源点侦察按钮</v>
          </cell>
          <cell r="J628">
            <v>7238</v>
          </cell>
        </row>
        <row r="629">
          <cell r="I629" t="str">
            <v>跳转到6级【任意】资源点侦察按钮</v>
          </cell>
          <cell r="J629">
            <v>7239</v>
          </cell>
        </row>
        <row r="630">
          <cell r="I630" t="str">
            <v>跳转到7级【任意】资源点侦察按钮</v>
          </cell>
          <cell r="J630">
            <v>7240</v>
          </cell>
        </row>
        <row r="631">
          <cell r="I631" t="str">
            <v>跳转到8级【任意】资源点侦察按钮</v>
          </cell>
          <cell r="J631">
            <v>7241</v>
          </cell>
        </row>
        <row r="632">
          <cell r="I632" t="str">
            <v>跳转到9级【任意】资源点侦察按钮</v>
          </cell>
          <cell r="J632">
            <v>7242</v>
          </cell>
        </row>
        <row r="633">
          <cell r="I633" t="str">
            <v>跳转到10级【任意】资源点侦察按钮</v>
          </cell>
          <cell r="J633">
            <v>7243</v>
          </cell>
        </row>
        <row r="634">
          <cell r="I634" t="str">
            <v>跳转到11级【任意】资源点侦察按钮</v>
          </cell>
          <cell r="J634">
            <v>7244</v>
          </cell>
        </row>
        <row r="635">
          <cell r="I635" t="str">
            <v>跳转到12级【任意】资源点侦察按钮</v>
          </cell>
          <cell r="J635">
            <v>7245</v>
          </cell>
        </row>
        <row r="636">
          <cell r="I636" t="str">
            <v>跳转到13级【任意】资源点侦察按钮</v>
          </cell>
          <cell r="J636">
            <v>7246</v>
          </cell>
        </row>
        <row r="637">
          <cell r="I637" t="str">
            <v>跳转到14级【任意】资源点侦察按钮</v>
          </cell>
          <cell r="J637">
            <v>7247</v>
          </cell>
        </row>
        <row r="638">
          <cell r="I638" t="str">
            <v>跳转到15级【任意】资源点侦察按钮</v>
          </cell>
          <cell r="J638">
            <v>7248</v>
          </cell>
        </row>
        <row r="639">
          <cell r="I639" t="str">
            <v>跳转到当前可攻打最高级【木材】资源点攻占按钮</v>
          </cell>
          <cell r="J639">
            <v>7249</v>
          </cell>
        </row>
        <row r="640">
          <cell r="I640" t="str">
            <v>跳转到当前可攻打最高级【食物】资源点攻占按钮</v>
          </cell>
          <cell r="J640">
            <v>7250</v>
          </cell>
        </row>
        <row r="641">
          <cell r="I641" t="str">
            <v>跳转到当前可攻打最高级【石材】资源点攻占按钮</v>
          </cell>
          <cell r="J641">
            <v>7251</v>
          </cell>
        </row>
        <row r="642">
          <cell r="I642" t="str">
            <v>跳转到当前可攻打最高级【黄金】资源点攻占按钮</v>
          </cell>
          <cell r="J642">
            <v>7252</v>
          </cell>
        </row>
        <row r="643">
          <cell r="I643" t="str">
            <v>跳转到当前可攻打最高级【任意】资源点攻占按钮</v>
          </cell>
          <cell r="J643">
            <v>7253</v>
          </cell>
        </row>
        <row r="644">
          <cell r="I644" t="str">
            <v>跳转到城外【可打最高级】野怪进攻按钮</v>
          </cell>
          <cell r="J644">
            <v>7254</v>
          </cell>
        </row>
        <row r="645">
          <cell r="I645" t="str">
            <v>跳转到城外【1级】野怪进攻按钮</v>
          </cell>
          <cell r="J645">
            <v>7255</v>
          </cell>
        </row>
        <row r="646">
          <cell r="I646" t="str">
            <v>跳转到城外【2级】野怪进攻按钮</v>
          </cell>
          <cell r="J646">
            <v>7256</v>
          </cell>
        </row>
        <row r="647">
          <cell r="I647" t="str">
            <v>跳转到城外【3级】野怪进攻按钮</v>
          </cell>
          <cell r="J647">
            <v>7257</v>
          </cell>
        </row>
        <row r="648">
          <cell r="I648" t="str">
            <v>跳转到城外【4级】野怪进攻按钮</v>
          </cell>
          <cell r="J648">
            <v>7258</v>
          </cell>
        </row>
        <row r="649">
          <cell r="I649" t="str">
            <v>跳转到城外【5级】野怪进攻按钮</v>
          </cell>
          <cell r="J649">
            <v>7259</v>
          </cell>
        </row>
        <row r="650">
          <cell r="I650" t="str">
            <v>跳转到城外【6级】野怪进攻按钮</v>
          </cell>
          <cell r="J650">
            <v>7260</v>
          </cell>
        </row>
        <row r="651">
          <cell r="I651" t="str">
            <v>跳转到城外【7级】野怪进攻按钮</v>
          </cell>
          <cell r="J651">
            <v>7261</v>
          </cell>
        </row>
        <row r="652">
          <cell r="I652" t="str">
            <v>跳转到城外【8级】野怪进攻按钮</v>
          </cell>
          <cell r="J652">
            <v>7262</v>
          </cell>
        </row>
        <row r="653">
          <cell r="I653" t="str">
            <v>跳转到城外【9级】野怪进攻按钮</v>
          </cell>
          <cell r="J653">
            <v>7263</v>
          </cell>
        </row>
        <row r="654">
          <cell r="I654" t="str">
            <v>跳转到城外【10级】野怪进攻按钮</v>
          </cell>
          <cell r="J654">
            <v>7264</v>
          </cell>
        </row>
        <row r="655">
          <cell r="I655" t="str">
            <v>跳转到城外【11级】野怪进攻按钮</v>
          </cell>
          <cell r="J655">
            <v>7265</v>
          </cell>
        </row>
        <row r="656">
          <cell r="I656" t="str">
            <v>跳转到城外【12级】野怪进攻按钮</v>
          </cell>
          <cell r="J656">
            <v>7266</v>
          </cell>
        </row>
        <row r="657">
          <cell r="I657" t="str">
            <v>跳转到城外【13级】野怪进攻按钮</v>
          </cell>
          <cell r="J657">
            <v>7267</v>
          </cell>
        </row>
        <row r="658">
          <cell r="I658" t="str">
            <v>跳转到城外【14级】野怪进攻按钮</v>
          </cell>
          <cell r="J658">
            <v>7268</v>
          </cell>
        </row>
        <row r="659">
          <cell r="I659" t="str">
            <v>跳转到城外【15级】野怪进攻按钮</v>
          </cell>
          <cell r="J659">
            <v>7269</v>
          </cell>
        </row>
        <row r="660">
          <cell r="I660" t="str">
            <v>跳转到城外【16级】野怪进攻按钮</v>
          </cell>
          <cell r="J660">
            <v>7270</v>
          </cell>
        </row>
        <row r="661">
          <cell r="I661" t="str">
            <v>跳转到城外【17级】野怪进攻按钮</v>
          </cell>
          <cell r="J661">
            <v>7271</v>
          </cell>
        </row>
        <row r="662">
          <cell r="I662" t="str">
            <v>跳转到城外【18级】野怪进攻按钮</v>
          </cell>
          <cell r="J662">
            <v>7272</v>
          </cell>
        </row>
        <row r="663">
          <cell r="I663" t="str">
            <v>任意1支部队士兵数达到【2000】弹出提升途径</v>
          </cell>
          <cell r="J663">
            <v>7273</v>
          </cell>
        </row>
        <row r="664">
          <cell r="I664" t="str">
            <v>任意1支部队士兵数达到【6000】弹出提升途径</v>
          </cell>
          <cell r="J664">
            <v>7274</v>
          </cell>
        </row>
        <row r="665">
          <cell r="I665" t="str">
            <v>任意1支部队士兵数达到【10800】弹出提升途径</v>
          </cell>
          <cell r="J665">
            <v>7275</v>
          </cell>
        </row>
        <row r="666">
          <cell r="I666" t="str">
            <v>任意1支部队士兵数达到【13600】弹出提升途径</v>
          </cell>
          <cell r="J666">
            <v>7276</v>
          </cell>
        </row>
        <row r="667">
          <cell r="I667" t="str">
            <v>任意1支部队士兵数达到【35000】弹出提升途径</v>
          </cell>
          <cell r="J667">
            <v>7277</v>
          </cell>
        </row>
        <row r="668">
          <cell r="I668" t="str">
            <v>任意1支部队士兵数达到【45000】弹出提升途径</v>
          </cell>
          <cell r="J668">
            <v>7278</v>
          </cell>
        </row>
        <row r="669">
          <cell r="I669" t="str">
            <v>任意1支部队士兵数达到【55000】弹出提升途径</v>
          </cell>
          <cell r="J669">
            <v>7279</v>
          </cell>
        </row>
        <row r="670">
          <cell r="I670" t="str">
            <v>任意1支部队士兵数达到【60000】弹出提升途径</v>
          </cell>
          <cell r="J670">
            <v>7280</v>
          </cell>
        </row>
        <row r="671">
          <cell r="I671" t="str">
            <v>任意1支部队士兵数达到【70000】弹出提升途径</v>
          </cell>
          <cell r="J671">
            <v>7281</v>
          </cell>
        </row>
        <row r="672">
          <cell r="I672" t="str">
            <v>任意1支部队士兵数达到【80000】弹出提升途径</v>
          </cell>
          <cell r="J672">
            <v>7282</v>
          </cell>
        </row>
        <row r="673">
          <cell r="I673" t="str">
            <v>任意1支部队士兵数达到【90000】弹出提升途径</v>
          </cell>
          <cell r="J673">
            <v>7283</v>
          </cell>
        </row>
        <row r="674">
          <cell r="I674" t="str">
            <v>任意1支部队士兵数达到【100000】弹出提升途径</v>
          </cell>
          <cell r="J674">
            <v>7284</v>
          </cell>
        </row>
        <row r="675">
          <cell r="I675" t="str">
            <v>跳转到资源点根据产量【8000】判断选择不够的</v>
          </cell>
          <cell r="J675">
            <v>7285</v>
          </cell>
        </row>
        <row r="676">
          <cell r="I676" t="str">
            <v>跳转到资源点根据产量【25000】判断选择不够的</v>
          </cell>
          <cell r="J676">
            <v>7286</v>
          </cell>
        </row>
        <row r="677">
          <cell r="I677" t="str">
            <v>跳转到资源点根据产量【50000】判断选择不够的</v>
          </cell>
          <cell r="J677">
            <v>7287</v>
          </cell>
        </row>
        <row r="678">
          <cell r="I678" t="str">
            <v>跳转到城外【1级】精英怪</v>
          </cell>
          <cell r="J678">
            <v>7288</v>
          </cell>
        </row>
        <row r="679">
          <cell r="I679" t="str">
            <v>跳转到城外【2级】精英怪</v>
          </cell>
          <cell r="J679">
            <v>7289</v>
          </cell>
        </row>
        <row r="680">
          <cell r="I680" t="str">
            <v>跳转到城外【3级】精英怪</v>
          </cell>
          <cell r="J680">
            <v>7290</v>
          </cell>
        </row>
        <row r="681">
          <cell r="I681" t="str">
            <v>跳转到城外【4级】精英怪</v>
          </cell>
          <cell r="J681">
            <v>7291</v>
          </cell>
        </row>
        <row r="682">
          <cell r="I682" t="str">
            <v>跳转到城外【5级】精英怪</v>
          </cell>
          <cell r="J682">
            <v>7292</v>
          </cell>
        </row>
        <row r="683">
          <cell r="I683" t="str">
            <v>跳转到城外【6级】精英怪</v>
          </cell>
          <cell r="J683">
            <v>7293</v>
          </cell>
        </row>
        <row r="684">
          <cell r="I684" t="str">
            <v>跳转到城外【1级】稀有怪</v>
          </cell>
          <cell r="J684">
            <v>7294</v>
          </cell>
        </row>
        <row r="685">
          <cell r="I685" t="str">
            <v>跳转到城外【2级】稀有怪</v>
          </cell>
          <cell r="J685">
            <v>7295</v>
          </cell>
        </row>
        <row r="686">
          <cell r="I686" t="str">
            <v>跳转到城外【3级】稀有怪</v>
          </cell>
          <cell r="J686">
            <v>7296</v>
          </cell>
        </row>
        <row r="687">
          <cell r="I687" t="str">
            <v>跳转到城外【4级】稀有怪</v>
          </cell>
          <cell r="J687">
            <v>7297</v>
          </cell>
        </row>
        <row r="688">
          <cell r="I688" t="str">
            <v>跳转到城外【5级】稀有怪</v>
          </cell>
          <cell r="J688">
            <v>7298</v>
          </cell>
        </row>
        <row r="689">
          <cell r="I689" t="str">
            <v>跳转到城外【6级】稀有怪</v>
          </cell>
          <cell r="J689">
            <v>7299</v>
          </cell>
        </row>
        <row r="690">
          <cell r="I690" t="str">
            <v>跳转到城外【任意等级】稀有怪</v>
          </cell>
          <cell r="J690">
            <v>7301</v>
          </cell>
        </row>
        <row r="691">
          <cell r="I691" t="str">
            <v>跳转到6级【黄金】资源点侦察按钮</v>
          </cell>
          <cell r="J691">
            <v>7300</v>
          </cell>
        </row>
        <row r="692">
          <cell r="I692" t="str">
            <v>跳转到居民房舍【训练村民】直接打开界面</v>
          </cell>
          <cell r="J692">
            <v>7310</v>
          </cell>
        </row>
        <row r="693">
          <cell r="I693" t="str">
            <v>跳转到资源点根据产量【15000】判断选择不够的</v>
          </cell>
          <cell r="J693">
            <v>7311</v>
          </cell>
        </row>
        <row r="694">
          <cell r="I694" t="str">
            <v>跳转到资源点根据产量【23000】判断选择不够的</v>
          </cell>
          <cell r="J694">
            <v>7312</v>
          </cell>
        </row>
        <row r="695">
          <cell r="I695" t="str">
            <v>跳转到资源点根据产量【25000】判断选择不够的</v>
          </cell>
          <cell r="J695">
            <v>7313</v>
          </cell>
        </row>
        <row r="696">
          <cell r="I696" t="str">
            <v>跳转到任务界面【日常任务】</v>
          </cell>
          <cell r="J696">
            <v>7314</v>
          </cell>
        </row>
        <row r="697">
          <cell r="I697" t="str">
            <v>跳转到主界面【领地】入口</v>
          </cell>
          <cell r="J697">
            <v>7315</v>
          </cell>
        </row>
        <row r="698">
          <cell r="I698" t="str">
            <v>跳转到剑士营【训练】400名1级剑士</v>
          </cell>
          <cell r="J698">
            <v>7316</v>
          </cell>
        </row>
        <row r="699">
          <cell r="I699" t="str">
            <v>跳转到当前可训练2级兵【兵营建筑】训练500名士兵</v>
          </cell>
          <cell r="J699">
            <v>7317</v>
          </cell>
        </row>
        <row r="700">
          <cell r="I700" t="str">
            <v>跳转到当前可训练3级兵【兵营建筑】训练1000名士兵</v>
          </cell>
          <cell r="J700">
            <v>7318</v>
          </cell>
        </row>
        <row r="701">
          <cell r="I701" t="str">
            <v>跳转到当前可训练4级兵【兵营建筑】训练2000名士兵</v>
          </cell>
          <cell r="J701">
            <v>7319</v>
          </cell>
        </row>
        <row r="702">
          <cell r="I702" t="str">
            <v>跳转到内城主界面【建造】按钮</v>
          </cell>
          <cell r="J702">
            <v>7320</v>
          </cell>
        </row>
        <row r="703">
          <cell r="I703" t="str">
            <v>跳转到点将台英雄招募【铜钱招募】</v>
          </cell>
          <cell r="J703">
            <v>7321</v>
          </cell>
        </row>
        <row r="704">
          <cell r="I704" t="str">
            <v>跳转到点将台英雄招募【帝国币招募】</v>
          </cell>
          <cell r="J704">
            <v>7322</v>
          </cell>
        </row>
        <row r="705">
          <cell r="I705" t="str">
            <v>跳转到点将台英雄招募【赛季卡包】</v>
          </cell>
          <cell r="J705">
            <v>7323</v>
          </cell>
        </row>
        <row r="706">
          <cell r="I706" t="str">
            <v>跳转到点将台英雄招募【限时招募】</v>
          </cell>
          <cell r="J706">
            <v>7324</v>
          </cell>
        </row>
        <row r="707">
          <cell r="I707" t="str">
            <v>跳转到点将台英雄招募【新手招募】</v>
          </cell>
          <cell r="J707">
            <v>7325</v>
          </cell>
        </row>
        <row r="708">
          <cell r="I708" t="str">
            <v>跳转到可宣战1级村落【宣战】按钮</v>
          </cell>
          <cell r="J708">
            <v>7326</v>
          </cell>
        </row>
        <row r="709">
          <cell r="I709" t="str">
            <v>跳转到可建造地基【GuildID=1】按钮</v>
          </cell>
          <cell r="J709">
            <v>7327</v>
          </cell>
        </row>
        <row r="710">
          <cell r="I710" t="str">
            <v>跳转到当前士兵总数最多兵营建筑【训练】展开菜单</v>
          </cell>
          <cell r="J710">
            <v>7328</v>
          </cell>
        </row>
        <row r="711">
          <cell r="I711" t="str">
            <v>跳转到任务界面【剧情任务】</v>
          </cell>
          <cell r="J711">
            <v>7329</v>
          </cell>
        </row>
        <row r="712">
          <cell r="I712" t="str">
            <v>跳转到野外主界面【搜索】铜矿选项</v>
          </cell>
          <cell r="J712">
            <v>7330</v>
          </cell>
        </row>
        <row r="713">
          <cell r="I713" t="str">
            <v>跳转到当前占领最高级【黄金】资源点采集按钮</v>
          </cell>
          <cell r="J713">
            <v>7331</v>
          </cell>
        </row>
        <row r="714">
          <cell r="I714" t="str">
            <v>跳转到野外主界面【搜索】野怪选项</v>
          </cell>
          <cell r="J714">
            <v>7332</v>
          </cell>
        </row>
        <row r="715">
          <cell r="I715" t="str">
            <v>跳转到活动页面【英雄战役】(废弃)</v>
          </cell>
          <cell r="J715">
            <v>7333</v>
          </cell>
        </row>
        <row r="716">
          <cell r="I716" t="str">
            <v>跳转到活动页面【旅店活动】(废弃)</v>
          </cell>
          <cell r="J716">
            <v>7334</v>
          </cell>
        </row>
        <row r="717">
          <cell r="I717" t="str">
            <v>跳转到活动页面【英雄辈出】</v>
          </cell>
          <cell r="J717">
            <v>7335</v>
          </cell>
        </row>
        <row r="718">
          <cell r="I718" t="str">
            <v>跳转到活动页面【开垦土地】</v>
          </cell>
          <cell r="J718">
            <v>7336</v>
          </cell>
        </row>
        <row r="719">
          <cell r="I719" t="str">
            <v>跳转到活动页面【城市风格】</v>
          </cell>
          <cell r="J719">
            <v>7337</v>
          </cell>
        </row>
        <row r="720">
          <cell r="I720" t="str">
            <v>跳转到治疗房舍，处于治疗状态就选中【治疗气泡】</v>
          </cell>
          <cell r="J720">
            <v>7338</v>
          </cell>
        </row>
        <row r="721">
          <cell r="I721" t="str">
            <v>跳转到探险直接打开【探险队】编辑界面</v>
          </cell>
          <cell r="J721">
            <v>7339</v>
          </cell>
        </row>
        <row r="722">
          <cell r="I722" t="str">
            <v>跳转到城堡设施【后勤营】</v>
          </cell>
          <cell r="J722">
            <v>7340</v>
          </cell>
        </row>
        <row r="723">
          <cell r="I723" t="str">
            <v>跳转到城堡设施【英雄训练场】</v>
          </cell>
          <cell r="J723">
            <v>7341</v>
          </cell>
        </row>
        <row r="724">
          <cell r="I724" t="str">
            <v>跳转到城堡设施【英雄防具所】</v>
          </cell>
          <cell r="J724">
            <v>7342</v>
          </cell>
        </row>
        <row r="725">
          <cell r="I725" t="str">
            <v>跳转到城堡设施【英雄补给站】</v>
          </cell>
          <cell r="J725">
            <v>7343</v>
          </cell>
        </row>
        <row r="726">
          <cell r="I726" t="str">
            <v>跳转到城堡设施【兵工坊】</v>
          </cell>
          <cell r="J726">
            <v>7344</v>
          </cell>
        </row>
        <row r="727">
          <cell r="I727" t="str">
            <v>跳转到城堡设施【刀剑坊】</v>
          </cell>
          <cell r="J727">
            <v>7345</v>
          </cell>
        </row>
        <row r="728">
          <cell r="I728" t="str">
            <v>跳转到城堡设施【长枪坊】</v>
          </cell>
          <cell r="J728">
            <v>7346</v>
          </cell>
        </row>
        <row r="729">
          <cell r="I729" t="str">
            <v>跳转到城堡设施【战马营】</v>
          </cell>
          <cell r="J729">
            <v>7347</v>
          </cell>
        </row>
        <row r="730">
          <cell r="I730" t="str">
            <v>跳转到城堡设施【弓弩营】</v>
          </cell>
          <cell r="J730">
            <v>7348</v>
          </cell>
        </row>
        <row r="731">
          <cell r="I731" t="str">
            <v>跳转到城堡设施【英勇之剑】</v>
          </cell>
          <cell r="J731">
            <v>7349</v>
          </cell>
        </row>
        <row r="732">
          <cell r="I732" t="str">
            <v>跳转到城堡设施【统御皇冠】</v>
          </cell>
          <cell r="J732">
            <v>7350</v>
          </cell>
        </row>
        <row r="733">
          <cell r="I733" t="str">
            <v>跳转到城堡设施【谋略之杖】</v>
          </cell>
          <cell r="J733">
            <v>7351</v>
          </cell>
        </row>
        <row r="734">
          <cell r="I734" t="str">
            <v>跳转到城堡设施【高级兵工坊】</v>
          </cell>
          <cell r="J734">
            <v>7352</v>
          </cell>
        </row>
        <row r="735">
          <cell r="I735" t="str">
            <v>跳转到城堡设施【盾墙】</v>
          </cell>
          <cell r="J735">
            <v>7353</v>
          </cell>
        </row>
        <row r="736">
          <cell r="I736" t="str">
            <v>跳转到城堡设施【枪靶】</v>
          </cell>
          <cell r="J736">
            <v>7354</v>
          </cell>
        </row>
        <row r="737">
          <cell r="I737" t="str">
            <v>跳转到城堡设施【驰道】</v>
          </cell>
          <cell r="J737">
            <v>7355</v>
          </cell>
        </row>
        <row r="738">
          <cell r="I738" t="str">
            <v>跳转到城堡设施【箭垛】</v>
          </cell>
          <cell r="J738">
            <v>7356</v>
          </cell>
        </row>
        <row r="739">
          <cell r="I739" t="str">
            <v>跳转到主界面【活动】入口</v>
          </cell>
          <cell r="J739">
            <v>7357</v>
          </cell>
        </row>
        <row r="740">
          <cell r="I740" t="str">
            <v>跳转到主界面【商城】入口</v>
          </cell>
          <cell r="J740">
            <v>7358</v>
          </cell>
        </row>
        <row r="741">
          <cell r="I741" t="str">
            <v>跳转到发展方略界面技术改良【攻城掠地】</v>
          </cell>
          <cell r="J741">
            <v>7359</v>
          </cell>
        </row>
        <row r="742">
          <cell r="I742" t="str">
            <v>跳转到发展方略界面技术改良【伪装】</v>
          </cell>
          <cell r="J742">
            <v>7360</v>
          </cell>
        </row>
        <row r="743">
          <cell r="I743" t="str">
            <v>跳转到发展方略界面技术改良【农耕】</v>
          </cell>
          <cell r="J743">
            <v>7361</v>
          </cell>
        </row>
        <row r="744">
          <cell r="I744" t="str">
            <v>跳转到发展方略界面技术改良【伐木斧】</v>
          </cell>
          <cell r="J744">
            <v>7362</v>
          </cell>
        </row>
        <row r="745">
          <cell r="I745" t="str">
            <v>跳转到发展方略界面技术改良【安抚】</v>
          </cell>
          <cell r="J745">
            <v>7363</v>
          </cell>
        </row>
        <row r="746">
          <cell r="I746" t="str">
            <v>跳转到发展方略界面技术改良【决断力】</v>
          </cell>
          <cell r="J746">
            <v>7364</v>
          </cell>
        </row>
        <row r="747">
          <cell r="I747" t="str">
            <v>跳转到发展方略界面技术改良【野性呼唤】</v>
          </cell>
          <cell r="J747">
            <v>7365</v>
          </cell>
        </row>
        <row r="748">
          <cell r="I748" t="str">
            <v>跳转到发展方略界面技术改良【蛇行走位】</v>
          </cell>
          <cell r="J748">
            <v>7366</v>
          </cell>
        </row>
        <row r="749">
          <cell r="I749" t="str">
            <v>跳转到发展方略界面技术改良【采石术】</v>
          </cell>
          <cell r="J749">
            <v>7367</v>
          </cell>
        </row>
        <row r="750">
          <cell r="I750" t="str">
            <v>跳转到发展方略界面技术改良【淘金术】</v>
          </cell>
          <cell r="J750">
            <v>7368</v>
          </cell>
        </row>
        <row r="751">
          <cell r="I751" t="str">
            <v>跳转到发展方略界面技术改良【采集术】</v>
          </cell>
          <cell r="J751">
            <v>7369</v>
          </cell>
        </row>
        <row r="752">
          <cell r="I752" t="str">
            <v>跳转到发展方略界面技术改良【轮采】</v>
          </cell>
          <cell r="J752">
            <v>7370</v>
          </cell>
        </row>
        <row r="753">
          <cell r="I753" t="str">
            <v>跳转到发展方略界面技术改良【灌溉术】</v>
          </cell>
          <cell r="J753">
            <v>7371</v>
          </cell>
        </row>
        <row r="754">
          <cell r="I754" t="str">
            <v>跳转到发展方略界面技术改良【扦插术】</v>
          </cell>
          <cell r="J754">
            <v>7372</v>
          </cell>
        </row>
        <row r="755">
          <cell r="I755" t="str">
            <v>跳转到发展方略界面技术改良【进攻演习】</v>
          </cell>
          <cell r="J755">
            <v>7373</v>
          </cell>
        </row>
        <row r="756">
          <cell r="I756" t="str">
            <v>跳转到发展方略界面技术改良【防守演习】</v>
          </cell>
          <cell r="J756">
            <v>7374</v>
          </cell>
        </row>
        <row r="757">
          <cell r="I757" t="str">
            <v>跳转到发展方略界面技术改良【勘探术】</v>
          </cell>
          <cell r="J757">
            <v>7375</v>
          </cell>
        </row>
        <row r="758">
          <cell r="I758" t="str">
            <v>跳转到发展方略界面技术改良【提炼术】</v>
          </cell>
          <cell r="J758">
            <v>7376</v>
          </cell>
        </row>
        <row r="759">
          <cell r="I759" t="str">
            <v>跳转到发展方略界面技术改良【寻访恢复】</v>
          </cell>
          <cell r="J759">
            <v>7377</v>
          </cell>
        </row>
        <row r="760">
          <cell r="I760" t="str">
            <v>跳转到发展方略界面技术改良【工具研发】</v>
          </cell>
          <cell r="J760">
            <v>7378</v>
          </cell>
        </row>
        <row r="761">
          <cell r="I761" t="str">
            <v>跳转到发展方略界面文化改良【野外集训】</v>
          </cell>
          <cell r="J761">
            <v>7379</v>
          </cell>
        </row>
        <row r="762">
          <cell r="I762" t="str">
            <v>跳转到发展方略界面文化改良【空间管理】</v>
          </cell>
          <cell r="J762">
            <v>7380</v>
          </cell>
        </row>
        <row r="763">
          <cell r="I763" t="str">
            <v>跳转到发展方略界面文化改良【英雄理财】</v>
          </cell>
          <cell r="J763">
            <v>7381</v>
          </cell>
        </row>
        <row r="764">
          <cell r="I764" t="str">
            <v>跳转到发展方略界面文化改良【内政理财】</v>
          </cell>
          <cell r="J764">
            <v>7382</v>
          </cell>
        </row>
        <row r="765">
          <cell r="I765" t="str">
            <v>跳转到发展方略界面文化改良【战时急救】</v>
          </cell>
          <cell r="J765">
            <v>7383</v>
          </cell>
        </row>
        <row r="766">
          <cell r="I766" t="str">
            <v>跳转到发展方略界面文化改良【军医所】</v>
          </cell>
          <cell r="J766">
            <v>7384</v>
          </cell>
        </row>
        <row r="767">
          <cell r="I767" t="str">
            <v>跳转到发展方略界面文化改良【背水一战】</v>
          </cell>
          <cell r="J767">
            <v>7385</v>
          </cell>
        </row>
        <row r="768">
          <cell r="I768" t="str">
            <v>跳转到发展方略界面文化改良【战时守备】</v>
          </cell>
          <cell r="J768">
            <v>7386</v>
          </cell>
        </row>
        <row r="769">
          <cell r="I769" t="str">
            <v>跳转到发展方略界面文化改良【深水捕捞】</v>
          </cell>
          <cell r="J769">
            <v>7387</v>
          </cell>
        </row>
        <row r="770">
          <cell r="I770" t="str">
            <v>跳转到发展方略界面文化改良【渔网编织】</v>
          </cell>
          <cell r="J770">
            <v>7388</v>
          </cell>
        </row>
        <row r="771">
          <cell r="I771" t="str">
            <v>跳转到发展方略界面文化改良【独立作战】</v>
          </cell>
          <cell r="J771">
            <v>7389</v>
          </cell>
        </row>
        <row r="772">
          <cell r="I772" t="str">
            <v>跳转到发展方略界面文化改良【合击】</v>
          </cell>
          <cell r="J772">
            <v>7390</v>
          </cell>
        </row>
        <row r="773">
          <cell r="I773" t="str">
            <v>跳转到发展方略界面文化改良【城墙恢复】</v>
          </cell>
          <cell r="J773">
            <v>7391</v>
          </cell>
        </row>
        <row r="774">
          <cell r="I774" t="str">
            <v>跳转到发展方略界面文化改良【攻城祷告】</v>
          </cell>
          <cell r="J774">
            <v>7392</v>
          </cell>
        </row>
        <row r="775">
          <cell r="I775" t="str">
            <v>跳转到发展方略界面文化改良【练兵技巧】</v>
          </cell>
          <cell r="J775">
            <v>7393</v>
          </cell>
        </row>
        <row r="776">
          <cell r="I776" t="str">
            <v>跳转到发展方略界面文化改良【征兵】</v>
          </cell>
          <cell r="J776">
            <v>7394</v>
          </cell>
        </row>
        <row r="777">
          <cell r="I777" t="str">
            <v>跳转到发展方略界面文化改良【独立防护】</v>
          </cell>
          <cell r="J777">
            <v>7395</v>
          </cell>
        </row>
        <row r="778">
          <cell r="I778" t="str">
            <v>跳转到发展方略界面文化改良【联防】</v>
          </cell>
          <cell r="J778">
            <v>7396</v>
          </cell>
        </row>
        <row r="779">
          <cell r="I779" t="str">
            <v>跳转到发展方略界面文化改良【力量训练】</v>
          </cell>
          <cell r="J779">
            <v>7397</v>
          </cell>
        </row>
        <row r="780">
          <cell r="I780" t="str">
            <v>跳转到发展方略界面文化改良【狂欢派对】</v>
          </cell>
          <cell r="J780">
            <v>7398</v>
          </cell>
        </row>
        <row r="781">
          <cell r="I781" t="str">
            <v>跳转到活动页面【旅店活动】无箭头(废弃)</v>
          </cell>
          <cell r="J781">
            <v>7399</v>
          </cell>
        </row>
        <row r="782">
          <cell r="I782" t="str">
            <v>跳转到活动页面【英雄战役】(废弃)</v>
          </cell>
          <cell r="J782">
            <v>7400</v>
          </cell>
        </row>
        <row r="783">
          <cell r="I783" t="str">
            <v>跳转到活动页面【旅店活动】(废弃)</v>
          </cell>
          <cell r="J783">
            <v>7401</v>
          </cell>
        </row>
        <row r="784">
          <cell r="I784" t="str">
            <v>跳转到活动页面【英雄辈出】</v>
          </cell>
          <cell r="J784">
            <v>7402</v>
          </cell>
        </row>
        <row r="785">
          <cell r="I785" t="str">
            <v>跳转到聊天界面【联盟】选项</v>
          </cell>
          <cell r="J785">
            <v>7403</v>
          </cell>
        </row>
        <row r="786">
          <cell r="I786" t="str">
            <v>跳转到城镇中心【城池增益】菜单按钮</v>
          </cell>
          <cell r="J786">
            <v>7404</v>
          </cell>
        </row>
        <row r="787">
          <cell r="I787" t="str">
            <v>跳转到玩家城堡【城池增益】菜单按钮</v>
          </cell>
          <cell r="J787">
            <v>7405</v>
          </cell>
        </row>
        <row r="788">
          <cell r="I788" t="str">
            <v>跳转到当前占领最高级资源点【资源升级】按钮</v>
          </cell>
          <cell r="J788">
            <v>7406</v>
          </cell>
        </row>
        <row r="789">
          <cell r="I789" t="str">
            <v>跳转到主界面【蛮族集结活动】入口</v>
          </cell>
          <cell r="J789">
            <v>7407</v>
          </cell>
        </row>
        <row r="790">
          <cell r="I790" t="str">
            <v>跳转到主界面【英雄招募】入口</v>
          </cell>
          <cell r="J790">
            <v>7408</v>
          </cell>
        </row>
        <row r="791">
          <cell r="I791" t="str">
            <v>跳转到主界面英雄招募入口【铜钱招募】</v>
          </cell>
          <cell r="J791">
            <v>7409</v>
          </cell>
        </row>
        <row r="792">
          <cell r="I792" t="str">
            <v>跳转到主界面英雄招募入口【帝国币招募】</v>
          </cell>
          <cell r="J792">
            <v>7410</v>
          </cell>
        </row>
        <row r="793">
          <cell r="I793" t="str">
            <v>跳转到主界面英雄招募入口【赛季卡包】</v>
          </cell>
          <cell r="J793">
            <v>7411</v>
          </cell>
        </row>
        <row r="794">
          <cell r="I794" t="str">
            <v>跳转到主界面英雄招募入口【限时招募】</v>
          </cell>
          <cell r="J794">
            <v>7412</v>
          </cell>
        </row>
        <row r="795">
          <cell r="I795" t="str">
            <v>跳转到主界面英雄招募入口【新手招募】</v>
          </cell>
          <cell r="J795">
            <v>7413</v>
          </cell>
        </row>
        <row r="796">
          <cell r="I796" t="str">
            <v>跳转到活动页面【群英荟萃】</v>
          </cell>
          <cell r="J796">
            <v>7414</v>
          </cell>
        </row>
        <row r="797">
          <cell r="I797" t="str">
            <v>跳转到活动页面【每日签到】</v>
          </cell>
          <cell r="J797">
            <v>7415</v>
          </cell>
        </row>
        <row r="798">
          <cell r="I798" t="str">
            <v>跳转到商城【首充大礼】</v>
          </cell>
          <cell r="J798">
            <v>7416</v>
          </cell>
        </row>
        <row r="799">
          <cell r="I799" t="str">
            <v>跳转到主界面【行动令】入口</v>
          </cell>
          <cell r="J799">
            <v>7417</v>
          </cell>
        </row>
        <row r="800">
          <cell r="I800" t="str">
            <v>跳转到主界面【荣耀之路】按钮</v>
          </cell>
          <cell r="J800">
            <v>7418</v>
          </cell>
        </row>
        <row r="801">
          <cell r="I801" t="str">
            <v>跳转到攻打资源点或野怪根据英雄等级【5级】进行判断</v>
          </cell>
          <cell r="J801">
            <v>7419</v>
          </cell>
        </row>
        <row r="802">
          <cell r="I802" t="str">
            <v>跳转到攻打资源点或野怪根据英雄等级【10级】进行判断</v>
          </cell>
          <cell r="J802">
            <v>7420</v>
          </cell>
        </row>
        <row r="803">
          <cell r="I803" t="str">
            <v>跳转到攻打资源点或野怪根据英雄等级【20级】进行判断</v>
          </cell>
          <cell r="J803">
            <v>7421</v>
          </cell>
        </row>
        <row r="804">
          <cell r="I804" t="str">
            <v>跳转到攻打资源点或野怪根据英雄等级【35级】进行判断</v>
          </cell>
          <cell r="J804">
            <v>7422</v>
          </cell>
        </row>
        <row r="805">
          <cell r="I805" t="str">
            <v>跳转到攻打资源点或野怪根据英雄等级【45级】进行判断</v>
          </cell>
          <cell r="J805">
            <v>7423</v>
          </cell>
        </row>
        <row r="806">
          <cell r="I806" t="str">
            <v>跳转到城堡设施【攻击类】根据兵营等级进行判断</v>
          </cell>
          <cell r="J806">
            <v>7424</v>
          </cell>
        </row>
        <row r="807">
          <cell r="I807" t="str">
            <v>跳转到城堡设施【防御类】根据兵营等级进行判断</v>
          </cell>
          <cell r="J807">
            <v>7425</v>
          </cell>
        </row>
        <row r="808">
          <cell r="I808" t="str">
            <v>跳转到商城【霸王降世】</v>
          </cell>
          <cell r="J808">
            <v>7426</v>
          </cell>
        </row>
        <row r="809">
          <cell r="I809" t="str">
            <v>跳转到商城【累充】</v>
          </cell>
          <cell r="J809">
            <v>7427</v>
          </cell>
        </row>
        <row r="810">
          <cell r="I810" t="str">
            <v>跳转到商城【充值返赠】</v>
          </cell>
          <cell r="J810">
            <v>7428</v>
          </cell>
        </row>
        <row r="811">
          <cell r="I811" t="str">
            <v>跳转到商城【每日特惠】</v>
          </cell>
          <cell r="J811">
            <v>7429</v>
          </cell>
        </row>
        <row r="812">
          <cell r="I812" t="str">
            <v>跳转到商城【月卡活动】</v>
          </cell>
          <cell r="J812">
            <v>7430</v>
          </cell>
        </row>
        <row r="813">
          <cell r="I813" t="str">
            <v>跳转到商城【战令】</v>
          </cell>
          <cell r="J813">
            <v>7431</v>
          </cell>
        </row>
        <row r="814">
          <cell r="I814" t="str">
            <v>跳转到主界面【坐骑】按钮</v>
          </cell>
          <cell r="J814">
            <v>7432</v>
          </cell>
        </row>
        <row r="815">
          <cell r="I815" t="str">
            <v>跳转到主界面【领主】入口</v>
          </cell>
          <cell r="J815">
            <v>7433</v>
          </cell>
        </row>
        <row r="816">
          <cell r="I816" t="str">
            <v>跳转到野外主界面【搜索】</v>
          </cell>
          <cell r="J816">
            <v>7434</v>
          </cell>
        </row>
        <row r="817">
          <cell r="I817" t="str">
            <v>跳转到主界面【背包】按钮</v>
          </cell>
          <cell r="J817">
            <v>7435</v>
          </cell>
        </row>
        <row r="818">
          <cell r="I818" t="str">
            <v>跳转到可耕战【已占领最低级资源点】</v>
          </cell>
          <cell r="J818">
            <v>7436</v>
          </cell>
        </row>
        <row r="819">
          <cell r="I819" t="str">
            <v>跳转到1级【任意】资源点攻占按钮(手动出回城)</v>
          </cell>
          <cell r="J819">
            <v>7437</v>
          </cell>
        </row>
        <row r="820">
          <cell r="I820" t="str">
            <v>跳转到磨坊【建造】确认(手动出回城)</v>
          </cell>
          <cell r="J820">
            <v>7438</v>
          </cell>
        </row>
        <row r="821">
          <cell r="I821" t="str">
            <v>跳转到农田【建造】确认(手动出回城)</v>
          </cell>
          <cell r="J821">
            <v>7439</v>
          </cell>
        </row>
        <row r="822">
          <cell r="I822" t="str">
            <v>跳转到城镇中心【升级】菜单按钮(手动出回城)</v>
          </cell>
          <cell r="J822">
            <v>7440</v>
          </cell>
        </row>
        <row r="823">
          <cell r="I823" t="str">
            <v>跳转到居民房舍【建造】确认(手动出回城)</v>
          </cell>
          <cell r="J823">
            <v>7441</v>
          </cell>
        </row>
        <row r="824">
          <cell r="I824" t="str">
            <v>跳转到城镇中心【训练村民】菜单按钮(手动出回城)</v>
          </cell>
          <cell r="J824">
            <v>7442</v>
          </cell>
        </row>
        <row r="825">
          <cell r="I825" t="str">
            <v>跳转到居民房舍【村民调配】菜单按钮(手动出回城)</v>
          </cell>
          <cell r="J825">
            <v>7443</v>
          </cell>
        </row>
        <row r="826">
          <cell r="I826" t="str">
            <v>跳转到2级【食物】资源点攻占按钮(手动出回城)</v>
          </cell>
          <cell r="J826">
            <v>7444</v>
          </cell>
        </row>
        <row r="827">
          <cell r="I827" t="str">
            <v>跳转到居民房舍【升级】菜单按钮(手动出回城)</v>
          </cell>
          <cell r="J827">
            <v>7445</v>
          </cell>
        </row>
        <row r="828">
          <cell r="I828" t="str">
            <v>跳转到剑士营【升级】菜单按钮(手动出回城)</v>
          </cell>
          <cell r="J828">
            <v>7446</v>
          </cell>
        </row>
        <row r="829">
          <cell r="I829" t="str">
            <v>跳转到2级【任意】资源点攻占按钮(手动出回城)</v>
          </cell>
          <cell r="J829">
            <v>7447</v>
          </cell>
        </row>
        <row r="830">
          <cell r="I830" t="str">
            <v>跳转到3级【木材】资源点攻占按钮(手动出回城)</v>
          </cell>
          <cell r="J830">
            <v>7448</v>
          </cell>
        </row>
        <row r="831">
          <cell r="I831" t="str">
            <v>跳转到3级【任意】资源点攻占按钮(手动出回城)</v>
          </cell>
          <cell r="J831">
            <v>7449</v>
          </cell>
        </row>
        <row r="832">
          <cell r="I832" t="str">
            <v>跳转到治疗房舍【建造】确认(手动出回城)</v>
          </cell>
          <cell r="J832">
            <v>7450</v>
          </cell>
        </row>
        <row r="833">
          <cell r="I833" t="str">
            <v>跳转到治疗房舍【治疗】菜单按钮(手动出回城)</v>
          </cell>
          <cell r="J833">
            <v>7451</v>
          </cell>
        </row>
        <row r="834">
          <cell r="I834" t="str">
            <v>跳转到伐木场【建造】确认(手动出回城)</v>
          </cell>
          <cell r="J834">
            <v>7452</v>
          </cell>
        </row>
        <row r="835">
          <cell r="I835" t="str">
            <v>跳转到伐木场【升级】菜单按钮(手动出回城)</v>
          </cell>
          <cell r="J835">
            <v>7453</v>
          </cell>
        </row>
        <row r="836">
          <cell r="I836" t="str">
            <v>跳转到活动页面【开采富矿】</v>
          </cell>
          <cell r="J836">
            <v>7454</v>
          </cell>
        </row>
        <row r="837">
          <cell r="I837" t="str">
            <v>跳转到活动页面【蛮族集结】</v>
          </cell>
          <cell r="J837">
            <v>7455</v>
          </cell>
        </row>
        <row r="838">
          <cell r="I838" t="str">
            <v>跳转到活动页面【帝国军演】(废弃)</v>
          </cell>
          <cell r="J838">
            <v>7456</v>
          </cell>
        </row>
        <row r="839">
          <cell r="I839" t="str">
            <v>跳转到图文引导【提升等级】</v>
          </cell>
          <cell r="J839">
            <v>7457</v>
          </cell>
        </row>
        <row r="840">
          <cell r="I840" t="str">
            <v>跳转到皇城【民心所向】</v>
          </cell>
          <cell r="J840">
            <v>7458</v>
          </cell>
        </row>
        <row r="841">
          <cell r="I841" t="str">
            <v>跳转到商城【道具商城】</v>
          </cell>
          <cell r="J841">
            <v>7459</v>
          </cell>
        </row>
        <row r="842">
          <cell r="I842" t="str">
            <v>跳转到主线【英雄二选一】界面</v>
          </cell>
          <cell r="J842">
            <v>7460</v>
          </cell>
        </row>
        <row r="843">
          <cell r="I843" t="str">
            <v>跳转到编队自动选择【有空坑位】页面(直接跳转)</v>
          </cell>
          <cell r="J843">
            <v>7461</v>
          </cell>
        </row>
        <row r="844">
          <cell r="I844" t="str">
            <v>跳转到编队自动选择【有空坑位】页面(手动点编队)</v>
          </cell>
          <cell r="J844">
            <v>7462</v>
          </cell>
        </row>
        <row r="845">
          <cell r="I845" t="str">
            <v>任意2支部队士兵数达到【2000】弹出提升途径</v>
          </cell>
          <cell r="J845">
            <v>7463</v>
          </cell>
        </row>
        <row r="846">
          <cell r="I846" t="str">
            <v>任意2支部队士兵数达到【6000】弹出提升途径</v>
          </cell>
          <cell r="J846">
            <v>7464</v>
          </cell>
        </row>
        <row r="847">
          <cell r="I847" t="str">
            <v>任意2支部队士兵数达到【12000】弹出提升途径</v>
          </cell>
          <cell r="J847">
            <v>7465</v>
          </cell>
        </row>
        <row r="848">
          <cell r="I848" t="str">
            <v>任意2支部队士兵数达到【28000】弹出提升途径</v>
          </cell>
          <cell r="J848">
            <v>7466</v>
          </cell>
        </row>
        <row r="849">
          <cell r="I849" t="str">
            <v>任意2支部队士兵数达到【38000】弹出提升途径</v>
          </cell>
          <cell r="J849">
            <v>7467</v>
          </cell>
        </row>
        <row r="850">
          <cell r="I850" t="str">
            <v>任意2支部队士兵数达到【45000】弹出提升途径</v>
          </cell>
          <cell r="J850">
            <v>7468</v>
          </cell>
        </row>
        <row r="851">
          <cell r="I851" t="str">
            <v>任意2支部队士兵数达到【52000】弹出提升途径</v>
          </cell>
          <cell r="J851">
            <v>7469</v>
          </cell>
        </row>
        <row r="852">
          <cell r="I852" t="str">
            <v>任意2支部队士兵数达到【60000】弹出提升途径</v>
          </cell>
          <cell r="J852">
            <v>7470</v>
          </cell>
        </row>
        <row r="853">
          <cell r="I853" t="str">
            <v>任意2支部队士兵数达到【70000】弹出提升途径</v>
          </cell>
          <cell r="J853">
            <v>7471</v>
          </cell>
        </row>
        <row r="854">
          <cell r="I854" t="str">
            <v>任意2支部队士兵数达到【80000】弹出提升途径</v>
          </cell>
          <cell r="J854">
            <v>7472</v>
          </cell>
        </row>
        <row r="855">
          <cell r="I855" t="str">
            <v>任意2支部队士兵数达到【90000】弹出提升途径</v>
          </cell>
          <cell r="J855">
            <v>7473</v>
          </cell>
        </row>
        <row r="856">
          <cell r="I856" t="str">
            <v>任意2支部队士兵数达到【100000】弹出提升途径</v>
          </cell>
          <cell r="J856">
            <v>7474</v>
          </cell>
        </row>
        <row r="857">
          <cell r="I857" t="str">
            <v>跳转到主界面【微信】入口</v>
          </cell>
          <cell r="J857">
            <v>7475</v>
          </cell>
        </row>
        <row r="858">
          <cell r="I858" t="str">
            <v>跳转到主界面【QQ】入口</v>
          </cell>
          <cell r="J858">
            <v>7476</v>
          </cell>
        </row>
        <row r="859">
          <cell r="I859" t="str">
            <v>跳转到主界面【势力值】入口</v>
          </cell>
          <cell r="J859">
            <v>7477</v>
          </cell>
        </row>
        <row r="860">
          <cell r="I860" t="str">
            <v>跳转到4级【木材】资源点侦察按钮</v>
          </cell>
          <cell r="J860">
            <v>7478</v>
          </cell>
        </row>
        <row r="861">
          <cell r="I861" t="str">
            <v>跳转到主界面【QQ】左上方按钮</v>
          </cell>
          <cell r="J861">
            <v>7479</v>
          </cell>
        </row>
        <row r="862">
          <cell r="I862" t="str">
            <v>跳转到图文引导【5级及以下】</v>
          </cell>
          <cell r="J862">
            <v>7480</v>
          </cell>
        </row>
        <row r="863">
          <cell r="I863" t="str">
            <v>跳转到图文引导【6级及以上】</v>
          </cell>
          <cell r="J863">
            <v>7481</v>
          </cell>
        </row>
        <row r="864">
          <cell r="I864" t="str">
            <v>跳转排行榜界面-开荒</v>
          </cell>
          <cell r="J864">
            <v>7482</v>
          </cell>
        </row>
        <row r="865">
          <cell r="I865" t="str">
            <v>跳转排行榜界面-开荒</v>
          </cell>
          <cell r="J865">
            <v>7483</v>
          </cell>
        </row>
        <row r="866">
          <cell r="I866" t="str">
            <v>跳转到5级【任意】资源点无箭头</v>
          </cell>
          <cell r="J866">
            <v>7484</v>
          </cell>
        </row>
        <row r="867">
          <cell r="I867" t="str">
            <v>跳转到【隐私开启】界面</v>
          </cell>
          <cell r="J867">
            <v>7485</v>
          </cell>
        </row>
        <row r="868">
          <cell r="I868" t="str">
            <v>跳转到主界面【君主头像切换性别】</v>
          </cell>
          <cell r="J868">
            <v>7486</v>
          </cell>
        </row>
        <row r="869">
          <cell r="I869" t="str">
            <v>跳转到主界面【活动入口】</v>
          </cell>
          <cell r="J869">
            <v>7487</v>
          </cell>
        </row>
        <row r="870">
          <cell r="I870" t="str">
            <v>跳转到1级【木材】资源点(无引导)</v>
          </cell>
          <cell r="J870">
            <v>7488</v>
          </cell>
        </row>
        <row r="871">
          <cell r="I871" t="str">
            <v>跳转到2级【木材】资源点(无引导)</v>
          </cell>
          <cell r="J871">
            <v>7489</v>
          </cell>
        </row>
        <row r="872">
          <cell r="I872" t="str">
            <v>跳转到3级【木材】资源点(无引导)</v>
          </cell>
          <cell r="J872">
            <v>7490</v>
          </cell>
        </row>
        <row r="873">
          <cell r="I873" t="str">
            <v>跳转到4级【木材】资源点(无引导)</v>
          </cell>
          <cell r="J873">
            <v>7491</v>
          </cell>
        </row>
        <row r="874">
          <cell r="I874" t="str">
            <v>跳转到5级【木材】资源点(无引导)</v>
          </cell>
          <cell r="J874">
            <v>7492</v>
          </cell>
        </row>
        <row r="875">
          <cell r="I875" t="str">
            <v>跳转到6级【木材】资源点(无引导)</v>
          </cell>
          <cell r="J875">
            <v>7493</v>
          </cell>
        </row>
        <row r="876">
          <cell r="I876" t="str">
            <v>跳转到7级【木材】资源点(无引导)</v>
          </cell>
          <cell r="J876">
            <v>7494</v>
          </cell>
        </row>
        <row r="877">
          <cell r="I877" t="str">
            <v>跳转到8级【木材】资源点(无引导)</v>
          </cell>
          <cell r="J877">
            <v>7495</v>
          </cell>
        </row>
        <row r="878">
          <cell r="I878" t="str">
            <v>跳转到9级【木材】资源点(无引导)</v>
          </cell>
          <cell r="J878">
            <v>7496</v>
          </cell>
        </row>
        <row r="879">
          <cell r="I879" t="str">
            <v>跳转到10级【木材】资源点(无引导)</v>
          </cell>
          <cell r="J879">
            <v>7497</v>
          </cell>
        </row>
        <row r="880">
          <cell r="I880" t="str">
            <v>跳转到11级【木材】资源点(无引导)</v>
          </cell>
          <cell r="J880">
            <v>7498</v>
          </cell>
        </row>
        <row r="881">
          <cell r="I881" t="str">
            <v>跳转到12级【木材】资源点(无引导)</v>
          </cell>
          <cell r="J881">
            <v>7499</v>
          </cell>
        </row>
        <row r="882">
          <cell r="I882" t="str">
            <v>跳转到13级【木材】资源点(无引导)</v>
          </cell>
          <cell r="J882">
            <v>7500</v>
          </cell>
        </row>
        <row r="883">
          <cell r="I883" t="str">
            <v>跳转到14级【木材】资源点(无引导)</v>
          </cell>
          <cell r="J883">
            <v>7501</v>
          </cell>
        </row>
        <row r="884">
          <cell r="I884" t="str">
            <v>跳转到15级【木材】资源点(无引导)</v>
          </cell>
          <cell r="J884">
            <v>7502</v>
          </cell>
        </row>
        <row r="885">
          <cell r="I885" t="str">
            <v>跳转到1级【食物】资源点(无引导)</v>
          </cell>
          <cell r="J885">
            <v>7503</v>
          </cell>
        </row>
        <row r="886">
          <cell r="I886" t="str">
            <v>跳转到2级【食物】资源点(无引导)</v>
          </cell>
          <cell r="J886">
            <v>7504</v>
          </cell>
        </row>
        <row r="887">
          <cell r="I887" t="str">
            <v>跳转到3级【食物】资源点(无引导)</v>
          </cell>
          <cell r="J887">
            <v>7505</v>
          </cell>
        </row>
        <row r="888">
          <cell r="I888" t="str">
            <v>跳转到4级【食物】资源点(无引导)</v>
          </cell>
          <cell r="J888">
            <v>7506</v>
          </cell>
        </row>
        <row r="889">
          <cell r="I889" t="str">
            <v>跳转到5级【食物】资源点(无引导)</v>
          </cell>
          <cell r="J889">
            <v>7507</v>
          </cell>
        </row>
        <row r="890">
          <cell r="I890" t="str">
            <v>跳转到6级【食物】资源点(无引导)</v>
          </cell>
          <cell r="J890">
            <v>7508</v>
          </cell>
        </row>
        <row r="891">
          <cell r="I891" t="str">
            <v>跳转到7级【食物】资源点(无引导)</v>
          </cell>
          <cell r="J891">
            <v>7509</v>
          </cell>
        </row>
        <row r="892">
          <cell r="I892" t="str">
            <v>跳转到8级【食物】资源点(无引导)</v>
          </cell>
          <cell r="J892">
            <v>7510</v>
          </cell>
        </row>
        <row r="893">
          <cell r="I893" t="str">
            <v>跳转到9级【食物】资源点(无引导)</v>
          </cell>
          <cell r="J893">
            <v>7511</v>
          </cell>
        </row>
        <row r="894">
          <cell r="I894" t="str">
            <v>跳转到10级【食物】资源点(无引导)</v>
          </cell>
          <cell r="J894">
            <v>7512</v>
          </cell>
        </row>
        <row r="895">
          <cell r="I895" t="str">
            <v>跳转到11级【食物】资源点(无引导)</v>
          </cell>
          <cell r="J895">
            <v>7513</v>
          </cell>
        </row>
        <row r="896">
          <cell r="I896" t="str">
            <v>跳转到12级【食物】资源点(无引导)</v>
          </cell>
          <cell r="J896">
            <v>7514</v>
          </cell>
        </row>
        <row r="897">
          <cell r="I897" t="str">
            <v>跳转到13级【食物】资源点(无引导)</v>
          </cell>
          <cell r="J897">
            <v>7515</v>
          </cell>
        </row>
        <row r="898">
          <cell r="I898" t="str">
            <v>跳转到14级【食物】资源点(无引导)</v>
          </cell>
          <cell r="J898">
            <v>7516</v>
          </cell>
        </row>
        <row r="899">
          <cell r="I899" t="str">
            <v>跳转到15级【食物】资源点(无引导)</v>
          </cell>
          <cell r="J899">
            <v>7517</v>
          </cell>
        </row>
        <row r="900">
          <cell r="I900" t="str">
            <v>跳转到1级【石头】资源点(无引导)</v>
          </cell>
          <cell r="J900">
            <v>7518</v>
          </cell>
        </row>
        <row r="901">
          <cell r="I901" t="str">
            <v>跳转到2级【石头】资源点(无引导)</v>
          </cell>
          <cell r="J901">
            <v>7519</v>
          </cell>
        </row>
        <row r="902">
          <cell r="I902" t="str">
            <v>跳转到3级【石头】资源点(无引导)</v>
          </cell>
          <cell r="J902">
            <v>7520</v>
          </cell>
        </row>
        <row r="903">
          <cell r="I903" t="str">
            <v>跳转到4级【石头】资源点(无引导)</v>
          </cell>
          <cell r="J903">
            <v>7521</v>
          </cell>
        </row>
        <row r="904">
          <cell r="I904" t="str">
            <v>跳转到5级【石头】资源点(无引导)</v>
          </cell>
          <cell r="J904">
            <v>7522</v>
          </cell>
        </row>
        <row r="905">
          <cell r="I905" t="str">
            <v>跳转到6级【石头】资源点(无引导)</v>
          </cell>
          <cell r="J905">
            <v>7523</v>
          </cell>
        </row>
        <row r="906">
          <cell r="I906" t="str">
            <v>跳转到7级【石头】资源点(无引导)</v>
          </cell>
          <cell r="J906">
            <v>7524</v>
          </cell>
        </row>
        <row r="907">
          <cell r="I907" t="str">
            <v>跳转到8级【石头】资源点(无引导)</v>
          </cell>
          <cell r="J907">
            <v>7525</v>
          </cell>
        </row>
        <row r="908">
          <cell r="I908" t="str">
            <v>跳转到9级【石头】资源点(无引导)</v>
          </cell>
          <cell r="J908">
            <v>7526</v>
          </cell>
        </row>
        <row r="909">
          <cell r="I909" t="str">
            <v>跳转到10级【石头】资源点(无引导)</v>
          </cell>
          <cell r="J909">
            <v>7527</v>
          </cell>
        </row>
        <row r="910">
          <cell r="I910" t="str">
            <v>跳转到11级【石头】资源点(无引导)</v>
          </cell>
          <cell r="J910">
            <v>7528</v>
          </cell>
        </row>
        <row r="911">
          <cell r="I911" t="str">
            <v>跳转到12级【石头】资源点(无引导)</v>
          </cell>
          <cell r="J911">
            <v>7529</v>
          </cell>
        </row>
        <row r="912">
          <cell r="I912" t="str">
            <v>跳转到13级【石头】资源点(无引导)</v>
          </cell>
          <cell r="J912">
            <v>7530</v>
          </cell>
        </row>
        <row r="913">
          <cell r="I913" t="str">
            <v>跳转到14级【石头】资源点(无引导)</v>
          </cell>
          <cell r="J913">
            <v>7531</v>
          </cell>
        </row>
        <row r="914">
          <cell r="I914" t="str">
            <v>跳转到15级【石头】资源点(无引导)</v>
          </cell>
          <cell r="J914">
            <v>7532</v>
          </cell>
        </row>
        <row r="915">
          <cell r="I915" t="str">
            <v>跳转到1级【黄金】资源点(无引导)</v>
          </cell>
          <cell r="J915">
            <v>7533</v>
          </cell>
        </row>
        <row r="916">
          <cell r="I916" t="str">
            <v>跳转到2级【黄金】资源点(无引导)</v>
          </cell>
          <cell r="J916">
            <v>7534</v>
          </cell>
        </row>
        <row r="917">
          <cell r="I917" t="str">
            <v>跳转到3级【黄金】资源点(无引导)</v>
          </cell>
          <cell r="J917">
            <v>7535</v>
          </cell>
        </row>
        <row r="918">
          <cell r="I918" t="str">
            <v>跳转到4级【黄金】资源点(无引导)</v>
          </cell>
          <cell r="J918">
            <v>7536</v>
          </cell>
        </row>
        <row r="919">
          <cell r="I919" t="str">
            <v>跳转到5级【黄金】资源点(无引导)</v>
          </cell>
          <cell r="J919">
            <v>7537</v>
          </cell>
        </row>
        <row r="920">
          <cell r="I920" t="str">
            <v>跳转到6级【黄金】资源点(无引导)</v>
          </cell>
          <cell r="J920">
            <v>7538</v>
          </cell>
        </row>
        <row r="921">
          <cell r="I921" t="str">
            <v>跳转到7级【黄金】资源点(无引导)</v>
          </cell>
          <cell r="J921">
            <v>7539</v>
          </cell>
        </row>
        <row r="922">
          <cell r="I922" t="str">
            <v>跳转到8级【黄金】资源点(无引导)</v>
          </cell>
          <cell r="J922">
            <v>7540</v>
          </cell>
        </row>
        <row r="923">
          <cell r="I923" t="str">
            <v>跳转到9级【黄金】资源点(无引导)</v>
          </cell>
          <cell r="J923">
            <v>7541</v>
          </cell>
        </row>
        <row r="924">
          <cell r="I924" t="str">
            <v>跳转到10级【黄金】资源点(无引导)</v>
          </cell>
          <cell r="J924">
            <v>7542</v>
          </cell>
        </row>
        <row r="925">
          <cell r="I925" t="str">
            <v>跳转到11级【黄金】资源点(无引导)</v>
          </cell>
          <cell r="J925">
            <v>7543</v>
          </cell>
        </row>
        <row r="926">
          <cell r="I926" t="str">
            <v>跳转到12级【黄金】资源点(无引导)</v>
          </cell>
          <cell r="J926">
            <v>7544</v>
          </cell>
        </row>
        <row r="927">
          <cell r="I927" t="str">
            <v>跳转到13级【黄金】资源点(无引导)</v>
          </cell>
          <cell r="J927">
            <v>7545</v>
          </cell>
        </row>
        <row r="928">
          <cell r="I928" t="str">
            <v>跳转到14级【黄金】资源点(无引导)</v>
          </cell>
          <cell r="J928">
            <v>7546</v>
          </cell>
        </row>
        <row r="929">
          <cell r="I929" t="str">
            <v>跳转到15级【黄金】资源点(无引导)</v>
          </cell>
          <cell r="J929">
            <v>7547</v>
          </cell>
        </row>
        <row r="930">
          <cell r="I930" t="str">
            <v>跳转到1级【任意】资源点(无引导)</v>
          </cell>
          <cell r="J930">
            <v>7548</v>
          </cell>
        </row>
        <row r="931">
          <cell r="I931" t="str">
            <v>跳转到2级【任意】资源点(无引导)</v>
          </cell>
          <cell r="J931">
            <v>7549</v>
          </cell>
        </row>
        <row r="932">
          <cell r="I932" t="str">
            <v>跳转到3级【任意】资源点(无引导)</v>
          </cell>
          <cell r="J932">
            <v>7550</v>
          </cell>
        </row>
        <row r="933">
          <cell r="I933" t="str">
            <v>跳转到4级【任意】资源点(无引导)</v>
          </cell>
          <cell r="J933">
            <v>7551</v>
          </cell>
        </row>
        <row r="934">
          <cell r="I934" t="str">
            <v>跳转到5级【任意】资源点(无引导)</v>
          </cell>
          <cell r="J934">
            <v>7552</v>
          </cell>
        </row>
        <row r="935">
          <cell r="I935" t="str">
            <v>跳转到6级【任意】资源点(无引导)</v>
          </cell>
          <cell r="J935">
            <v>7553</v>
          </cell>
        </row>
        <row r="936">
          <cell r="I936" t="str">
            <v>跳转到7级【任意】资源点(无引导)</v>
          </cell>
          <cell r="J936">
            <v>7554</v>
          </cell>
        </row>
        <row r="937">
          <cell r="I937" t="str">
            <v>跳转到8级【任意】资源点(无引导)</v>
          </cell>
          <cell r="J937">
            <v>7555</v>
          </cell>
        </row>
        <row r="938">
          <cell r="I938" t="str">
            <v>跳转到9级【任意】资源点(无引导)</v>
          </cell>
          <cell r="J938">
            <v>7556</v>
          </cell>
        </row>
        <row r="939">
          <cell r="I939" t="str">
            <v>跳转到10级【任意】资源点(无引导)</v>
          </cell>
          <cell r="J939">
            <v>7557</v>
          </cell>
        </row>
        <row r="940">
          <cell r="I940" t="str">
            <v>跳转到11级【任意】资源点(无引导)</v>
          </cell>
          <cell r="J940">
            <v>7558</v>
          </cell>
        </row>
        <row r="941">
          <cell r="I941" t="str">
            <v>跳转到12级【任意】资源点(无引导)</v>
          </cell>
          <cell r="J941">
            <v>7559</v>
          </cell>
        </row>
        <row r="942">
          <cell r="I942" t="str">
            <v>跳转到13级【任意】资源点(无引导)</v>
          </cell>
          <cell r="J942">
            <v>7560</v>
          </cell>
        </row>
        <row r="943">
          <cell r="I943" t="str">
            <v>跳转到14级【任意】资源点(无引导)</v>
          </cell>
          <cell r="J943">
            <v>7561</v>
          </cell>
        </row>
        <row r="944">
          <cell r="I944" t="str">
            <v>跳转到15级【任意】资源点(无引导)</v>
          </cell>
          <cell r="J944">
            <v>7562</v>
          </cell>
        </row>
        <row r="945">
          <cell r="I945" t="str">
            <v>跳转到当前可攻打最高级【木材】资源点(无引导)</v>
          </cell>
          <cell r="J945">
            <v>7563</v>
          </cell>
        </row>
        <row r="946">
          <cell r="I946" t="str">
            <v>跳转到当前可攻打最高级【食物】资源点(无引导)</v>
          </cell>
          <cell r="J946">
            <v>7564</v>
          </cell>
        </row>
        <row r="947">
          <cell r="I947" t="str">
            <v>跳转到当前可攻打最高级【石材】资源点(无引导)</v>
          </cell>
          <cell r="J947">
            <v>7565</v>
          </cell>
        </row>
        <row r="948">
          <cell r="I948" t="str">
            <v>跳转到当前可攻打最高级【黄金】资源点(无引导)</v>
          </cell>
          <cell r="J948">
            <v>7566</v>
          </cell>
        </row>
        <row r="949">
          <cell r="I949" t="str">
            <v>跳转到当前可攻打最高级【任意】资源点(无引导)</v>
          </cell>
          <cell r="J949">
            <v>7567</v>
          </cell>
        </row>
        <row r="950">
          <cell r="I950" t="str">
            <v>跳转到士兵上限最高编队选中【士兵数最多】的兵种</v>
          </cell>
          <cell r="J950">
            <v>7568</v>
          </cell>
        </row>
        <row r="951">
          <cell r="I951" t="str">
            <v>跳转到城外【可打下一等级】野怪进攻按钮</v>
          </cell>
          <cell r="J951">
            <v>7569</v>
          </cell>
        </row>
        <row r="952">
          <cell r="I952" t="str">
            <v>跳转到城外【2队可打野怪】根据兵力选择低</v>
          </cell>
          <cell r="J952">
            <v>7570</v>
          </cell>
        </row>
        <row r="953">
          <cell r="I953" t="str">
            <v>跳转到城外【2队可打野怪】根据兵力选择高</v>
          </cell>
          <cell r="J953">
            <v>7571</v>
          </cell>
        </row>
        <row r="954">
          <cell r="I954" t="str">
            <v>跳转到主界面【微信】左上方按钮</v>
          </cell>
          <cell r="J954">
            <v>7572</v>
          </cell>
        </row>
        <row r="955">
          <cell r="I955" t="str">
            <v>跳转到联盟聊天</v>
          </cell>
          <cell r="J955">
            <v>7573</v>
          </cell>
        </row>
        <row r="956">
          <cell r="I956" t="str">
            <v>跳转到1级产量最低【任意】资源点无黄金</v>
          </cell>
          <cell r="J956">
            <v>7574</v>
          </cell>
        </row>
        <row r="957">
          <cell r="I957" t="str">
            <v>跳转到2级产量最低【任意】资源点无黄金</v>
          </cell>
          <cell r="J957">
            <v>7575</v>
          </cell>
        </row>
        <row r="958">
          <cell r="I958" t="str">
            <v>跳转到3级产量最低【任意】资源点无黄金</v>
          </cell>
          <cell r="J958">
            <v>7576</v>
          </cell>
        </row>
        <row r="959">
          <cell r="I959" t="str">
            <v>跳转到4级产量最低【任意】资源点无黄金</v>
          </cell>
          <cell r="J959">
            <v>7577</v>
          </cell>
        </row>
        <row r="960">
          <cell r="I960" t="str">
            <v>跳转到5级产量最低【任意】资源点</v>
          </cell>
          <cell r="J960">
            <v>7578</v>
          </cell>
        </row>
        <row r="961">
          <cell r="I961" t="str">
            <v>跳转到6级产量最低【任意】资源点</v>
          </cell>
          <cell r="J961">
            <v>7579</v>
          </cell>
        </row>
        <row r="962">
          <cell r="I962" t="str">
            <v>跳转到7级产量最低【任意】资源点</v>
          </cell>
          <cell r="J962">
            <v>7580</v>
          </cell>
        </row>
        <row r="963">
          <cell r="I963" t="str">
            <v>跳转到8级产量最低【任意】资源点</v>
          </cell>
          <cell r="J963">
            <v>7581</v>
          </cell>
        </row>
        <row r="964">
          <cell r="I964" t="str">
            <v>跳转到9级产量最低【任意】资源点</v>
          </cell>
          <cell r="J964">
            <v>7582</v>
          </cell>
        </row>
        <row r="965">
          <cell r="I965" t="str">
            <v>跳转到10级产量最低【任意】资源点</v>
          </cell>
          <cell r="J965">
            <v>7583</v>
          </cell>
        </row>
        <row r="966">
          <cell r="I966" t="str">
            <v>跳转到11级产量最低【任意】资源点</v>
          </cell>
          <cell r="J966">
            <v>7584</v>
          </cell>
        </row>
        <row r="967">
          <cell r="I967" t="str">
            <v>跳转到12级产量最低【任意】资源点</v>
          </cell>
          <cell r="J967">
            <v>7585</v>
          </cell>
        </row>
        <row r="968">
          <cell r="I968" t="str">
            <v>跳转到13级产量最低【任意】资源点</v>
          </cell>
          <cell r="J968">
            <v>7586</v>
          </cell>
        </row>
        <row r="969">
          <cell r="I969" t="str">
            <v>跳转到14级产量最低【任意】资源点</v>
          </cell>
          <cell r="J969">
            <v>7587</v>
          </cell>
        </row>
        <row r="970">
          <cell r="I970" t="str">
            <v>跳转到15级产量最低【任意】资源点</v>
          </cell>
          <cell r="J970">
            <v>7588</v>
          </cell>
        </row>
        <row r="971">
          <cell r="I971" t="str">
            <v>跳转到4级产量最低【任意】资源点无黄金无引导</v>
          </cell>
          <cell r="J971">
            <v>7589</v>
          </cell>
        </row>
        <row r="972">
          <cell r="I972" t="str">
            <v>跳转到5级产量最低【任意】资源点无引导</v>
          </cell>
          <cell r="J972">
            <v>7590</v>
          </cell>
        </row>
        <row r="973">
          <cell r="I973" t="str">
            <v>跳转到侦察6级产量最低【任意】资源点</v>
          </cell>
          <cell r="J973">
            <v>7591</v>
          </cell>
        </row>
        <row r="974">
          <cell r="I974" t="str">
            <v>跳转到主界面【内政官】按钮</v>
          </cell>
          <cell r="J974">
            <v>7592</v>
          </cell>
        </row>
        <row r="975">
          <cell r="I975" t="str">
            <v>跳转到聊天界面【所在州】选项</v>
          </cell>
          <cell r="J975">
            <v>7593</v>
          </cell>
        </row>
        <row r="976">
          <cell r="I976" t="str">
            <v>跳转到联盟【入盟申请】界面</v>
          </cell>
          <cell r="J976">
            <v>7594</v>
          </cell>
        </row>
        <row r="977">
          <cell r="I977" t="str">
            <v>跳转到联盟【群聊】按钮</v>
          </cell>
          <cell r="J977">
            <v>7595</v>
          </cell>
        </row>
        <row r="978">
          <cell r="I978" t="str">
            <v>跳转到联盟【官员架构】界面</v>
          </cell>
          <cell r="J978">
            <v>7596</v>
          </cell>
        </row>
        <row r="979">
          <cell r="I979" t="str">
            <v>跳转到联盟【器械建造】界面</v>
          </cell>
          <cell r="J979">
            <v>7597</v>
          </cell>
        </row>
        <row r="980">
          <cell r="I980" t="str">
            <v>跳转到最低级居民房舍【升级】菜单按钮</v>
          </cell>
          <cell r="J980">
            <v>7598</v>
          </cell>
        </row>
        <row r="981">
          <cell r="I981" t="str">
            <v>跳转到最低级磨坊【升级】菜单按钮</v>
          </cell>
          <cell r="J981">
            <v>7599</v>
          </cell>
        </row>
        <row r="982">
          <cell r="I982" t="str">
            <v>跳转到最低级伐木场【升级】菜单按钮</v>
          </cell>
          <cell r="J982">
            <v>7600</v>
          </cell>
        </row>
        <row r="983">
          <cell r="I983" t="str">
            <v>跳转到最低级石矿场【升级】菜单按钮</v>
          </cell>
          <cell r="J983">
            <v>7601</v>
          </cell>
        </row>
        <row r="984">
          <cell r="I984" t="str">
            <v>跳转到最低级金矿场【升级】菜单按钮</v>
          </cell>
          <cell r="J984">
            <v>7602</v>
          </cell>
        </row>
        <row r="985">
          <cell r="I985" t="str">
            <v>跳转到蛮族宝玉【获取途径】</v>
          </cell>
          <cell r="J985">
            <v>7603</v>
          </cell>
        </row>
        <row r="986">
          <cell r="I986" t="str">
            <v>跳转到商城【凤鸣九天】</v>
          </cell>
          <cell r="J986">
            <v>7604</v>
          </cell>
        </row>
        <row r="987">
          <cell r="I987" t="str">
            <v>直接跳转-联盟-仓库</v>
          </cell>
          <cell r="J987">
            <v>7605</v>
          </cell>
        </row>
        <row r="988">
          <cell r="I988" t="str">
            <v>跳转到城堡设施【马饰锻造所】</v>
          </cell>
          <cell r="J988">
            <v>7606</v>
          </cell>
        </row>
        <row r="989">
          <cell r="I989" t="str">
            <v>跳转到帝国里程碑页面</v>
          </cell>
          <cell r="J989">
            <v>7607</v>
          </cell>
        </row>
        <row r="990">
          <cell r="I990" t="str">
            <v>跳转到任务界面【帝国委托】</v>
          </cell>
          <cell r="J990">
            <v>7608</v>
          </cell>
        </row>
        <row r="991">
          <cell r="I991" t="str">
            <v>跳转到城堡【挂饰打造】菜单按钮(手动出回城)</v>
          </cell>
          <cell r="J991">
            <v>7609</v>
          </cell>
        </row>
        <row r="992">
          <cell r="I992" t="str">
            <v>城外（默认为当前屏幕中心位置并关闭UI）</v>
          </cell>
          <cell r="J992">
            <v>7610</v>
          </cell>
        </row>
        <row r="993">
          <cell r="I993" t="str">
            <v>跳转到当前等级最高【兵营建筑】训练按钮</v>
          </cell>
          <cell r="J993">
            <v>7611</v>
          </cell>
        </row>
        <row r="994">
          <cell r="I994" t="str">
            <v>任意2支部队士兵数达到【65000】弹出提升途径</v>
          </cell>
          <cell r="J994">
            <v>7612</v>
          </cell>
        </row>
        <row r="995">
          <cell r="I995" t="str">
            <v>跳转到联盟飞艇</v>
          </cell>
          <cell r="J995">
            <v>7613</v>
          </cell>
        </row>
        <row r="996">
          <cell r="I996" t="str">
            <v>跳转到奇迹主页面</v>
          </cell>
          <cell r="J996">
            <v>7614</v>
          </cell>
        </row>
        <row r="997">
          <cell r="I997" t="str">
            <v>跳转到城堡【研究科技】菜单按钮打开马饰科技</v>
          </cell>
          <cell r="J997">
            <v>7615</v>
          </cell>
        </row>
        <row r="998">
          <cell r="I998" t="str">
            <v>跳转到城堡【挂饰打造】菜单按钮带tips</v>
          </cell>
          <cell r="J998">
            <v>7616</v>
          </cell>
        </row>
        <row r="999">
          <cell r="I999" t="str">
            <v>跳转到纪念碑【奇迹博览】菜单按钮</v>
          </cell>
          <cell r="J999">
            <v>7617</v>
          </cell>
        </row>
        <row r="1000">
          <cell r="I1000" t="str">
            <v>跳转到奇迹博览的规则页面</v>
          </cell>
          <cell r="J1000">
            <v>7618</v>
          </cell>
        </row>
        <row r="1001">
          <cell r="I1001" t="str">
            <v>跳转到奇迹博览的展览页面</v>
          </cell>
          <cell r="J1001">
            <v>7619</v>
          </cell>
        </row>
        <row r="1002">
          <cell r="I1002" t="str">
            <v>跳转到商城【每日特惠】</v>
          </cell>
          <cell r="J1002">
            <v>7620</v>
          </cell>
        </row>
        <row r="1003">
          <cell r="I1003" t="str">
            <v>跳转到商城【战令】</v>
          </cell>
          <cell r="J1003">
            <v>7621</v>
          </cell>
        </row>
        <row r="1004">
          <cell r="I1004" t="str">
            <v>跳转到城外二队克制【可打最高级】野怪进攻按钮</v>
          </cell>
          <cell r="J1004">
            <v>7622</v>
          </cell>
        </row>
        <row r="1005">
          <cell r="I1005" t="str">
            <v>跳转到城外二队克制【1级】野怪进攻按钮</v>
          </cell>
          <cell r="J1005">
            <v>7623</v>
          </cell>
        </row>
        <row r="1006">
          <cell r="I1006" t="str">
            <v>跳转到城外二队克制【2级】野怪进攻按钮</v>
          </cell>
          <cell r="J1006">
            <v>7624</v>
          </cell>
        </row>
        <row r="1007">
          <cell r="I1007" t="str">
            <v>跳转到城外二队克制【3级】野怪进攻按钮</v>
          </cell>
          <cell r="J1007">
            <v>7625</v>
          </cell>
        </row>
        <row r="1008">
          <cell r="I1008" t="str">
            <v>跳转到城外二队克制【4级】野怪进攻按钮</v>
          </cell>
          <cell r="J1008">
            <v>7626</v>
          </cell>
        </row>
        <row r="1009">
          <cell r="I1009" t="str">
            <v>跳转到城外二队克制【5级】野怪进攻按钮</v>
          </cell>
          <cell r="J1009">
            <v>7627</v>
          </cell>
        </row>
        <row r="1010">
          <cell r="I1010" t="str">
            <v>跳转到城外二队克制【6级】野怪进攻按钮</v>
          </cell>
          <cell r="J1010">
            <v>7628</v>
          </cell>
        </row>
        <row r="1011">
          <cell r="I1011" t="str">
            <v>跳转到城外二队克制【7级】野怪进攻按钮</v>
          </cell>
          <cell r="J1011">
            <v>7629</v>
          </cell>
        </row>
        <row r="1012">
          <cell r="I1012" t="str">
            <v>跳转到城外二队克制【8级】野怪进攻按钮</v>
          </cell>
          <cell r="J1012">
            <v>7630</v>
          </cell>
        </row>
        <row r="1013">
          <cell r="I1013" t="str">
            <v>跳转到城外二队克制【9级】野怪进攻按钮</v>
          </cell>
          <cell r="J1013">
            <v>7631</v>
          </cell>
        </row>
        <row r="1014">
          <cell r="I1014" t="str">
            <v>跳转到城外二队克制【10级】野怪进攻按钮</v>
          </cell>
          <cell r="J1014">
            <v>7632</v>
          </cell>
        </row>
        <row r="1015">
          <cell r="I1015" t="str">
            <v>跳转到城外二队克制【11级】野怪进攻按钮</v>
          </cell>
          <cell r="J1015">
            <v>7633</v>
          </cell>
        </row>
        <row r="1016">
          <cell r="I1016" t="str">
            <v>跳转到城外二队克制【12级】野怪进攻按钮</v>
          </cell>
          <cell r="J1016">
            <v>7634</v>
          </cell>
        </row>
        <row r="1017">
          <cell r="I1017" t="str">
            <v>跳转到城外二队克制【13级】野怪进攻按钮</v>
          </cell>
          <cell r="J1017">
            <v>7635</v>
          </cell>
        </row>
        <row r="1018">
          <cell r="I1018" t="str">
            <v>跳转到城外二队克制【14级】野怪进攻按钮</v>
          </cell>
          <cell r="J1018">
            <v>7636</v>
          </cell>
        </row>
        <row r="1019">
          <cell r="I1019" t="str">
            <v>跳转到城外二队克制【15级】野怪进攻按钮</v>
          </cell>
          <cell r="J1019">
            <v>7637</v>
          </cell>
        </row>
        <row r="1020">
          <cell r="I1020" t="str">
            <v>跳转到城外二队克制【16级】野怪进攻按钮</v>
          </cell>
          <cell r="J1020">
            <v>7638</v>
          </cell>
        </row>
        <row r="1021">
          <cell r="I1021" t="str">
            <v>跳转到城外二队克制【17级】野怪进攻按钮</v>
          </cell>
          <cell r="J1021">
            <v>7639</v>
          </cell>
        </row>
        <row r="1022">
          <cell r="I1022" t="str">
            <v>跳转到城外二队克制【18级】野怪进攻按钮</v>
          </cell>
          <cell r="J1022">
            <v>7640</v>
          </cell>
        </row>
        <row r="1023">
          <cell r="I1023" t="str">
            <v>任意2支部队士兵数达到【12000】弹出提升途径S2</v>
          </cell>
          <cell r="J1023">
            <v>7641</v>
          </cell>
        </row>
        <row r="1024">
          <cell r="I1024" t="str">
            <v>任意2支部队士兵数达到【28000】弹出提升途径S2</v>
          </cell>
          <cell r="J1024">
            <v>7642</v>
          </cell>
        </row>
        <row r="1025">
          <cell r="I1025" t="str">
            <v>任意2支部队士兵数达到【38000】弹出提升途径S2</v>
          </cell>
          <cell r="J1025">
            <v>7643</v>
          </cell>
        </row>
        <row r="1026">
          <cell r="I1026" t="str">
            <v>任意2支部队士兵数达到【48000】弹出提升途径S2</v>
          </cell>
          <cell r="J1026">
            <v>7644</v>
          </cell>
        </row>
        <row r="1027">
          <cell r="I1027" t="str">
            <v>任意2支部队士兵数达到【58000】弹出提升途径S2</v>
          </cell>
          <cell r="J1027">
            <v>7645</v>
          </cell>
        </row>
        <row r="1028">
          <cell r="I1028" t="str">
            <v>任意2支部队士兵数达到【70000】弹出提升途径S2</v>
          </cell>
          <cell r="J1028">
            <v>7646</v>
          </cell>
        </row>
        <row r="1029">
          <cell r="I1029" t="str">
            <v>任意2支部队士兵数达到【77000】弹出提升途径S2</v>
          </cell>
          <cell r="J1029">
            <v>7647</v>
          </cell>
        </row>
        <row r="1030">
          <cell r="I1030" t="str">
            <v>任意2支部队士兵数达到【85000】弹出提升途径S2</v>
          </cell>
          <cell r="J1030">
            <v>7648</v>
          </cell>
        </row>
        <row r="1031">
          <cell r="I1031" t="str">
            <v>任意2支部队士兵数达到【92000】弹出提升途径S2</v>
          </cell>
          <cell r="J1031">
            <v>7649</v>
          </cell>
        </row>
        <row r="1032">
          <cell r="I1032" t="str">
            <v>任意2支部队士兵数达到【100000】弹出提升途径S2</v>
          </cell>
          <cell r="J1032">
            <v>7650</v>
          </cell>
        </row>
        <row r="1033">
          <cell r="I1033" t="str">
            <v>跳转到奇迹【奇迹争夺】</v>
          </cell>
          <cell r="J1033">
            <v>7651</v>
          </cell>
        </row>
        <row r="1034">
          <cell r="I1034" t="str">
            <v>跳转到主界面【君主头像个人征程】</v>
          </cell>
          <cell r="J1034">
            <v>7652</v>
          </cell>
        </row>
        <row r="1035">
          <cell r="I1035" t="str">
            <v>跳转到城外【1队可打野怪】根据兵力选择低</v>
          </cell>
          <cell r="J1035">
            <v>7653</v>
          </cell>
        </row>
        <row r="1036">
          <cell r="I1036" t="str">
            <v>跳转到城外【1队可打野怪】根据兵力选择高</v>
          </cell>
          <cell r="J1036">
            <v>7654</v>
          </cell>
        </row>
        <row r="1037">
          <cell r="I1037" t="str">
            <v>跳转到君主头像【个人征程】直接打开</v>
          </cell>
          <cell r="J1037">
            <v>7655</v>
          </cell>
        </row>
        <row r="1038">
          <cell r="I1038" t="str">
            <v>跳转到主界面英雄征战后【帝国军演】按钮</v>
          </cell>
          <cell r="J1038">
            <v>7656</v>
          </cell>
        </row>
        <row r="1039">
          <cell r="I1039" t="str">
            <v>跳转注销</v>
          </cell>
          <cell r="J1039">
            <v>7657</v>
          </cell>
        </row>
        <row r="1040">
          <cell r="I1040" t="str">
            <v>跳转到城镇中心【城池增益】菜单按钮(安德莉亚开罩教学专用)</v>
          </cell>
          <cell r="J1040">
            <v>7658</v>
          </cell>
        </row>
        <row r="1041">
          <cell r="I1041" t="str">
            <v>跳转【英雄成就】主页面</v>
          </cell>
          <cell r="J1041">
            <v>7659</v>
          </cell>
        </row>
        <row r="1042">
          <cell r="I1042" t="str">
            <v>跳转到活动中心【手机绑定】</v>
          </cell>
          <cell r="J1042">
            <v>7660</v>
          </cell>
        </row>
        <row r="1043">
          <cell r="I1043" t="str">
            <v>跳转到主界面【战场模式】按钮</v>
          </cell>
          <cell r="J1043">
            <v>7661</v>
          </cell>
        </row>
        <row r="1044">
          <cell r="I1044" t="str">
            <v>跳转到资源点根据产量【10000】判断(支线)</v>
          </cell>
          <cell r="J1044">
            <v>7662</v>
          </cell>
        </row>
        <row r="1045">
          <cell r="I1045" t="str">
            <v>跳转到资源点根据产量【15000】判断(支线)</v>
          </cell>
          <cell r="J1045">
            <v>7663</v>
          </cell>
        </row>
        <row r="1046">
          <cell r="I1046" t="str">
            <v>跳转到资源点根据产量【20000】判断(支线)</v>
          </cell>
          <cell r="J1046">
            <v>7664</v>
          </cell>
        </row>
        <row r="1047">
          <cell r="I1047" t="str">
            <v>跳转到资源点根据产量【30000】判断(支线)</v>
          </cell>
          <cell r="J1047">
            <v>7665</v>
          </cell>
        </row>
        <row r="1048">
          <cell r="I1048" t="str">
            <v>跳转到资源点根据产量【40000】判断(支线)</v>
          </cell>
          <cell r="J1048">
            <v>7666</v>
          </cell>
        </row>
        <row r="1049">
          <cell r="I1049" t="str">
            <v>跳转到资源点根据产量【50000】判断(支线)</v>
          </cell>
          <cell r="J1049">
            <v>7667</v>
          </cell>
        </row>
        <row r="1050">
          <cell r="I1050" t="str">
            <v>跳转到资源点根据产量【60000】判断(支线)</v>
          </cell>
          <cell r="J1050">
            <v>7668</v>
          </cell>
        </row>
        <row r="1051">
          <cell r="I1051" t="str">
            <v>跳转到资源点根据产量【80000】判断(支线)</v>
          </cell>
          <cell r="J1051">
            <v>7669</v>
          </cell>
        </row>
        <row r="1052">
          <cell r="I1052" t="str">
            <v>跳转到资源点根据产量【100000】判断(支线)</v>
          </cell>
          <cell r="J1052">
            <v>7670</v>
          </cell>
        </row>
        <row r="1053">
          <cell r="I1053" t="str">
            <v>跳转到资源点根据产量【120000】判断(支线)</v>
          </cell>
          <cell r="J1053">
            <v>7671</v>
          </cell>
        </row>
        <row r="1054">
          <cell r="I1054" t="str">
            <v>跳转到资源点根据产量【150000】判断(支线)</v>
          </cell>
          <cell r="J1054">
            <v>7672</v>
          </cell>
        </row>
        <row r="1055">
          <cell r="I1055" t="str">
            <v>跳转到英雄界面【传奇殿堂】按钮(引导专用)</v>
          </cell>
          <cell r="J1055">
            <v>7673</v>
          </cell>
        </row>
        <row r="1056">
          <cell r="I1056" t="str">
            <v>跳转到英雄征战【锋线护送】界面</v>
          </cell>
          <cell r="J1056">
            <v>7674</v>
          </cell>
        </row>
        <row r="1057">
          <cell r="I1057" t="str">
            <v>直接打开【联盟礼物界面】</v>
          </cell>
          <cell r="J1057">
            <v>7675</v>
          </cell>
        </row>
        <row r="1058">
          <cell r="I1058" t="str">
            <v>直接打开【联盟帮助界面】</v>
          </cell>
          <cell r="J1058">
            <v>7676</v>
          </cell>
        </row>
        <row r="1059">
          <cell r="I1059" t="str">
            <v>直接打开【军演商店界面】</v>
          </cell>
          <cell r="J1059">
            <v>7677</v>
          </cell>
        </row>
        <row r="1060">
          <cell r="I1060" t="str">
            <v>直接打开【帝国军演界面】</v>
          </cell>
          <cell r="J1060">
            <v>7678</v>
          </cell>
        </row>
        <row r="1061">
          <cell r="I1061" t="str">
            <v>直接打开【联盟科技界面】</v>
          </cell>
          <cell r="J1061">
            <v>7679</v>
          </cell>
        </row>
        <row r="1062">
          <cell r="I1062" t="str">
            <v>直接打开【联盟领地界面】</v>
          </cell>
          <cell r="J1062">
            <v>7680</v>
          </cell>
        </row>
        <row r="1063">
          <cell r="I1063" t="str">
            <v>直接打开【探险界面】</v>
          </cell>
          <cell r="J1063">
            <v>7681</v>
          </cell>
        </row>
        <row r="1064">
          <cell r="I1064" t="str">
            <v>直接打开【兑换技能点界面】</v>
          </cell>
          <cell r="J1064">
            <v>7682</v>
          </cell>
        </row>
        <row r="1065">
          <cell r="I1065" t="str">
            <v>直接打开【英雄界面】</v>
          </cell>
          <cell r="J1065">
            <v>7683</v>
          </cell>
        </row>
        <row r="1066">
          <cell r="I1066" t="str">
            <v>直接打开【治疗伤兵界面】</v>
          </cell>
          <cell r="J1066">
            <v>7684</v>
          </cell>
        </row>
        <row r="1067">
          <cell r="I1067" t="str">
            <v>直接打开【捕鱼界面】</v>
          </cell>
          <cell r="J1067">
            <v>7685</v>
          </cell>
        </row>
        <row r="1068">
          <cell r="I1068" t="str">
            <v>直接打开【铜币招募】</v>
          </cell>
          <cell r="J1068">
            <v>7686</v>
          </cell>
        </row>
        <row r="1069">
          <cell r="I1069" t="str">
            <v>直接打开【传奇现世】</v>
          </cell>
          <cell r="J1069">
            <v>7687</v>
          </cell>
        </row>
        <row r="1070">
          <cell r="I1070" t="str">
            <v>直接打开【启程之光】</v>
          </cell>
          <cell r="J1070">
            <v>7688</v>
          </cell>
        </row>
        <row r="1071">
          <cell r="I1071" t="str">
            <v>直接打开【野外资源点采集界面】</v>
          </cell>
          <cell r="J1071">
            <v>7689</v>
          </cell>
        </row>
        <row r="1072">
          <cell r="I1072" t="str">
            <v>直接打开【训练士兵界面】</v>
          </cell>
          <cell r="J1072">
            <v>7690</v>
          </cell>
        </row>
        <row r="1073">
          <cell r="I1073" t="str">
            <v>直接打开【资源点采集界面】</v>
          </cell>
          <cell r="J1073">
            <v>7691</v>
          </cell>
        </row>
        <row r="1074">
          <cell r="I1074" t="str">
            <v>直接打开【中古时代战争核心界面】</v>
          </cell>
          <cell r="J1074">
            <v>7692</v>
          </cell>
        </row>
        <row r="1075">
          <cell r="I1075" t="str">
            <v>直接打开【启蒙时代战争核心界面】</v>
          </cell>
          <cell r="J1075">
            <v>7693</v>
          </cell>
        </row>
        <row r="1076">
          <cell r="I1076" t="str">
            <v>直接打开【研究科技界面】</v>
          </cell>
          <cell r="J1076">
            <v>7694</v>
          </cell>
        </row>
        <row r="1077">
          <cell r="I1077" t="str">
            <v>跳转到当前等级最低兵营建筑【升级】展开菜单</v>
          </cell>
          <cell r="J1077">
            <v>7695</v>
          </cell>
        </row>
        <row r="1078">
          <cell r="I1078" t="str">
            <v>直接打开S2云游商人</v>
          </cell>
          <cell r="J1078">
            <v>7696</v>
          </cell>
        </row>
        <row r="1079">
          <cell r="I1079" t="str">
            <v>跳转到商城【每日特惠】</v>
          </cell>
          <cell r="J1079">
            <v>7697</v>
          </cell>
        </row>
        <row r="1080">
          <cell r="I1080" t="str">
            <v>跳转到商城【战令】</v>
          </cell>
          <cell r="J1080">
            <v>7698</v>
          </cell>
        </row>
        <row r="1081">
          <cell r="I1081" t="str">
            <v>跳转到回流旧服主界面</v>
          </cell>
          <cell r="J1081">
            <v>7699</v>
          </cell>
        </row>
        <row r="1082">
          <cell r="I1082" t="str">
            <v>跳转到商城【神骥奇珍】</v>
          </cell>
          <cell r="J1082">
            <v>7700</v>
          </cell>
        </row>
        <row r="1083">
          <cell r="J1083">
            <v>7709</v>
          </cell>
        </row>
        <row r="1084">
          <cell r="I1084" t="str">
            <v>跳转到【迷雾战场】</v>
          </cell>
          <cell r="J1084">
            <v>7701</v>
          </cell>
        </row>
        <row r="1085">
          <cell r="I1085" t="str">
            <v>跳转到【贵族系统】</v>
          </cell>
          <cell r="J1085">
            <v>7702</v>
          </cell>
        </row>
        <row r="1086">
          <cell r="I1086" t="str">
            <v>跳转到【首次充值】</v>
          </cell>
          <cell r="J1086">
            <v>7703</v>
          </cell>
        </row>
        <row r="1087">
          <cell r="I1087" t="str">
            <v>跳转到【探险系统】</v>
          </cell>
          <cell r="J1087">
            <v>7704</v>
          </cell>
        </row>
        <row r="1088">
          <cell r="I1088" t="str">
            <v>跳转到【单个活动系统】</v>
          </cell>
        </row>
        <row r="1091">
          <cell r="I1091" t="str">
            <v>【海外】第一章采集木材1次</v>
          </cell>
          <cell r="J1091">
            <v>100001</v>
          </cell>
        </row>
        <row r="1092">
          <cell r="I1092" t="str">
            <v>【海外】修复内城城镇中心</v>
          </cell>
          <cell r="J1092">
            <v>100002</v>
          </cell>
        </row>
        <row r="1093">
          <cell r="I1093" t="str">
            <v>【海外】狩猎一只大象</v>
          </cell>
          <cell r="J1093">
            <v>100003</v>
          </cell>
        </row>
        <row r="1094">
          <cell r="I1094" t="str">
            <v>【海外】援助一次友军</v>
          </cell>
          <cell r="J1094">
            <v>100004</v>
          </cell>
        </row>
        <row r="1095">
          <cell r="I1095" t="str">
            <v>【海外】修复居民房舍</v>
          </cell>
          <cell r="J1095">
            <v>100005</v>
          </cell>
        </row>
        <row r="1096">
          <cell r="I1096" t="str">
            <v>【海外】第二章采集木材1次</v>
          </cell>
          <cell r="J1096">
            <v>100006</v>
          </cell>
        </row>
        <row r="1097">
          <cell r="I1097" t="str">
            <v>【海外】消灭一次游荡的蛮族</v>
          </cell>
          <cell r="J1097">
            <v>100007</v>
          </cell>
        </row>
        <row r="1098">
          <cell r="I1098" t="str">
            <v>【海外】狩猎一只熊</v>
          </cell>
          <cell r="J1098">
            <v>100008</v>
          </cell>
        </row>
        <row r="1099">
          <cell r="I1099" t="str">
            <v>【海外】占领剑士要塞</v>
          </cell>
          <cell r="J1099">
            <v>100009</v>
          </cell>
        </row>
        <row r="1100">
          <cell r="I1100" t="str">
            <v>【海外】修复剑士营</v>
          </cell>
          <cell r="J1100">
            <v>100010</v>
          </cell>
        </row>
        <row r="1101">
          <cell r="I1101" t="str">
            <v>【海外】占领枪兵要塞</v>
          </cell>
          <cell r="J1101">
            <v>100011</v>
          </cell>
        </row>
        <row r="1102">
          <cell r="I1102" t="str">
            <v>【海外】修复枪兵营</v>
          </cell>
          <cell r="J1102">
            <v>100012</v>
          </cell>
        </row>
        <row r="1103">
          <cell r="I1103" t="str">
            <v>【海外】清剿两支蛮族单位</v>
          </cell>
          <cell r="J1103">
            <v>100013</v>
          </cell>
        </row>
        <row r="1104">
          <cell r="I1104" t="str">
            <v>【海外】占领医疗要塞</v>
          </cell>
          <cell r="J1104">
            <v>100014</v>
          </cell>
        </row>
        <row r="1105">
          <cell r="I1105" t="str">
            <v>【海外】修复医疗房舍</v>
          </cell>
          <cell r="J1105">
            <v>100015</v>
          </cell>
        </row>
        <row r="1106">
          <cell r="I1106" t="str">
            <v>【海外】援助一次友军</v>
          </cell>
          <cell r="J1106">
            <v>100016</v>
          </cell>
        </row>
        <row r="1107">
          <cell r="I1107" t="str">
            <v>【海外】跳转到城堡【研究科技】菜单按钮</v>
          </cell>
          <cell r="J1107">
            <v>100017</v>
          </cell>
        </row>
        <row r="1108">
          <cell r="I1108" t="str">
            <v>【海外】跳转到攻打资源点或野怪根据英雄等级【5级】进行判断</v>
          </cell>
          <cell r="J1108">
            <v>100018</v>
          </cell>
        </row>
        <row r="1109">
          <cell r="I1109" t="str">
            <v>【海外】跳转到攻打资源点或野怪根据英雄等级【10级】进行判断</v>
          </cell>
          <cell r="J1109">
            <v>100019</v>
          </cell>
        </row>
        <row r="1110">
          <cell r="I1110" t="str">
            <v>【海外】跳转到攻打资源点或野怪根据英雄等级【20级】进行判断</v>
          </cell>
          <cell r="J1110">
            <v>100020</v>
          </cell>
        </row>
        <row r="1111">
          <cell r="I1111" t="str">
            <v>【海外】跳转到攻打资源点或野怪根据英雄等级【25级】进行判断</v>
          </cell>
          <cell r="J1111">
            <v>100021</v>
          </cell>
        </row>
        <row r="1112">
          <cell r="I1112" t="str">
            <v>【海外】跳转到攻打资源点或野怪根据英雄等级【30级】进行判断</v>
          </cell>
          <cell r="J1112">
            <v>100022</v>
          </cell>
        </row>
        <row r="1113">
          <cell r="I1113" t="str">
            <v>【海外】跳转到攻打资源点或野怪根据英雄等级【35级】进行判断</v>
          </cell>
          <cell r="J1113">
            <v>100023</v>
          </cell>
        </row>
        <row r="1114">
          <cell r="I1114" t="str">
            <v>【海外】跳转到攻打资源点或野怪根据英雄等级【40级】进行判断</v>
          </cell>
          <cell r="J1114">
            <v>100024</v>
          </cell>
        </row>
        <row r="1115">
          <cell r="I1115" t="str">
            <v>【海外】跳转到当前等级最低【兵营建筑】展开菜单</v>
          </cell>
          <cell r="J1115">
            <v>100025</v>
          </cell>
        </row>
        <row r="1116">
          <cell r="I1116" t="str">
            <v>【海外】跳转到主界面【建造】入口</v>
          </cell>
          <cell r="J1116">
            <v>100026</v>
          </cell>
        </row>
        <row r="1117">
          <cell r="I1117" t="str">
            <v>【海外】跳转到伐木区域【第一棵树】</v>
          </cell>
          <cell r="J1117">
            <v>100027</v>
          </cell>
        </row>
        <row r="1118">
          <cell r="I1118" t="str">
            <v>【海外】跳转到采集区域【第一个浆果】</v>
          </cell>
          <cell r="J1118">
            <v>100028</v>
          </cell>
        </row>
        <row r="1119">
          <cell r="I1119" t="str">
            <v>【海外】跳转到瞭望塔【修复按钮】</v>
          </cell>
          <cell r="J1119">
            <v>100010</v>
          </cell>
        </row>
        <row r="1120">
          <cell r="I1120" t="str">
            <v>【海外】跳转到点将台【修复按钮】</v>
          </cell>
          <cell r="J1120">
            <v>100010</v>
          </cell>
        </row>
        <row r="1121">
          <cell r="I1121" t="str">
            <v>【海外】跳转到城墙【修复按钮】</v>
          </cell>
          <cell r="J1121">
            <v>100010</v>
          </cell>
        </row>
        <row r="1122">
          <cell r="I1122" t="str">
            <v>【海外】跳转到剑士【精简造兵】</v>
          </cell>
          <cell r="J1122">
            <v>100010</v>
          </cell>
        </row>
        <row r="1123">
          <cell r="I1123" t="str">
            <v>【海外】跳转到弓兵【精简造兵】</v>
          </cell>
          <cell r="J1123">
            <v>100010</v>
          </cell>
        </row>
        <row r="1124">
          <cell r="I1124" t="str">
            <v>【海外】跳转到城外【1队可打野怪】根据兵力选择低</v>
          </cell>
          <cell r="J1124">
            <v>100034</v>
          </cell>
        </row>
        <row r="1125">
          <cell r="I1125" t="str">
            <v>【海外】跳转到城外【1队可打野怪】根据兵力选择高</v>
          </cell>
          <cell r="J1125">
            <v>100035</v>
          </cell>
        </row>
        <row r="1126">
          <cell r="I1126" t="str">
            <v>【海外】跳转到主界面【名将笔记】入口</v>
          </cell>
          <cell r="J1126">
            <v>100036</v>
          </cell>
        </row>
        <row r="1127">
          <cell r="I1127" t="str">
            <v>【海外】跳转到剑士营【训练】700名1级剑士</v>
          </cell>
          <cell r="J1127">
            <v>100037</v>
          </cell>
        </row>
        <row r="1128">
          <cell r="I1128" t="str">
            <v>【海外】跳转到低于等级8的前2个【兵营建筑】展开菜单</v>
          </cell>
          <cell r="J1128">
            <v>100038</v>
          </cell>
        </row>
        <row r="1129">
          <cell r="I1129" t="str">
            <v>【海外】跳转到低于等级10的前2个【兵营建筑】展开菜单</v>
          </cell>
          <cell r="J1129">
            <v>100039</v>
          </cell>
        </row>
        <row r="1130">
          <cell r="I1130" t="str">
            <v>【海外】跳转到低于等级12的前2个【兵营建筑】展开菜单</v>
          </cell>
          <cell r="J1130">
            <v>100040</v>
          </cell>
        </row>
        <row r="1131">
          <cell r="I1131" t="str">
            <v>【海外】跳转到低于等级14的前2个【兵营建筑】展开菜单</v>
          </cell>
          <cell r="J1131">
            <v>100041</v>
          </cell>
        </row>
        <row r="1132">
          <cell r="I1132" t="str">
            <v>【海外】跳转到低于等级15的前3个【兵营建筑】展开菜单</v>
          </cell>
          <cell r="J1132">
            <v>100042</v>
          </cell>
        </row>
        <row r="1133">
          <cell r="I1133" t="str">
            <v>【海外】跳转到低于等级16的前3个【兵营建筑】展开菜单</v>
          </cell>
          <cell r="J1133">
            <v>100043</v>
          </cell>
        </row>
        <row r="1134">
          <cell r="I1134" t="str">
            <v>【海外】跳转到低于等级17的前3个【兵营建筑】展开菜单</v>
          </cell>
          <cell r="J1134">
            <v>100044</v>
          </cell>
        </row>
        <row r="1135">
          <cell r="I1135" t="str">
            <v>【海外】跳转到海边区域【宝箱】</v>
          </cell>
          <cell r="J1135">
            <v>100045</v>
          </cell>
        </row>
        <row r="1136">
          <cell r="I1136" t="str">
            <v>【海外】跳转到海边区域【仓库】</v>
          </cell>
          <cell r="J1136">
            <v>100046</v>
          </cell>
        </row>
        <row r="1137">
          <cell r="I1137" t="str">
            <v>【海外】跳转到东南方【蛮族运输队宝箱】</v>
          </cell>
          <cell r="J1137">
            <v>100047</v>
          </cell>
        </row>
        <row r="1138">
          <cell r="I1138" t="str">
            <v>【海外】跳转到西南方树林【宝箱】</v>
          </cell>
          <cell r="J1138">
            <v>100048</v>
          </cell>
        </row>
        <row r="1139">
          <cell r="I1139" t="str">
            <v>【海外】跳转到北方资源区【名将笔记】</v>
          </cell>
          <cell r="J1139">
            <v>100049</v>
          </cell>
        </row>
        <row r="1140">
          <cell r="I1140" t="str">
            <v>【海外】跳转到城镇中心【蛮族部队】</v>
          </cell>
          <cell r="J1140">
            <v>100050</v>
          </cell>
        </row>
        <row r="1141">
          <cell r="I1141" t="str">
            <v>【海外】制造投石车【投石车】</v>
          </cell>
          <cell r="J1141">
            <v>100051</v>
          </cell>
        </row>
        <row r="1142">
          <cell r="I1142" t="str">
            <v>【海外】使用投石车摧毁寨门【投石车】</v>
          </cell>
          <cell r="J1142">
            <v>100052</v>
          </cell>
        </row>
        <row r="1143">
          <cell r="I1143" t="str">
            <v>【海外】击杀【蒙杜克】</v>
          </cell>
          <cell r="J1143">
            <v>100053</v>
          </cell>
        </row>
        <row r="1144">
          <cell r="I1144" t="str">
            <v>【海外】收回城堡中被蒙杜克搜刮的【资源】</v>
          </cell>
          <cell r="J1144">
            <v>100054</v>
          </cell>
        </row>
        <row r="1145">
          <cell r="I1145" t="str">
            <v>【海外】跳转到城镇中心【宝箱】</v>
          </cell>
          <cell r="J1145">
            <v>100055</v>
          </cell>
        </row>
        <row r="1146">
          <cell r="I1146" t="str">
            <v>【海外】跳转到主界面【荣耀之路】按钮</v>
          </cell>
          <cell r="J1146">
            <v>100056</v>
          </cell>
        </row>
        <row r="1147">
          <cell r="I1147" t="str">
            <v>【海外】直接选择并打开【蛮族要塞】集火按钮</v>
          </cell>
          <cell r="J1147">
            <v>100057</v>
          </cell>
        </row>
        <row r="1148">
          <cell r="I1148" t="str">
            <v>【海外】直接选择并打开【蛮族运输队】集火按钮</v>
          </cell>
          <cell r="J1148">
            <v>100060</v>
          </cell>
        </row>
        <row r="1149">
          <cell r="I1149" t="str">
            <v>【海外】直接选择并打开【蒙杜克】集火按钮</v>
          </cell>
          <cell r="J1149">
            <v>100058</v>
          </cell>
        </row>
        <row r="1150">
          <cell r="I1150" t="str">
            <v>【海外】摄像机跳转到投石车</v>
          </cell>
          <cell r="J1150">
            <v>100060</v>
          </cell>
        </row>
        <row r="1151">
          <cell r="I1151" t="str">
            <v>【海外】直接选择并打开【箭塔】集火按钮</v>
          </cell>
          <cell r="J1151">
            <v>100060</v>
          </cell>
        </row>
        <row r="1152">
          <cell r="I1152" t="str">
            <v>【海外】直接选择并打开【入侵蛮族】集火按钮</v>
          </cell>
          <cell r="J1152">
            <v>100061</v>
          </cell>
        </row>
        <row r="1153">
          <cell r="I1153" t="str">
            <v>【海外】跳转新手阶段【居民房舍】</v>
          </cell>
          <cell r="J1153">
            <v>100062</v>
          </cell>
        </row>
        <row r="1154">
          <cell r="I1154" t="str">
            <v>【海外】战略桌任务跳转到指定城市并指向组队攻击按钮</v>
          </cell>
        </row>
        <row r="1155">
          <cell r="I1155" t="str">
            <v>【海外】新手指向特定ObjID的对象</v>
          </cell>
        </row>
        <row r="1156">
          <cell r="I1156" t="str">
            <v>【海外】新手选中特定ObjID的对象</v>
          </cell>
        </row>
        <row r="1157">
          <cell r="I1157" t="str">
            <v>【海外】跳转新手阶段【剑士营】</v>
          </cell>
          <cell r="J1157">
            <v>100067</v>
          </cell>
        </row>
        <row r="1158">
          <cell r="I1158" t="str">
            <v>【海外】跳转到当前场景位置【】</v>
          </cell>
          <cell r="J1158">
            <v>100068</v>
          </cell>
        </row>
        <row r="1159">
          <cell r="I1159" t="str">
            <v>【海外】跳转到当前场景位置【】</v>
          </cell>
          <cell r="J1159">
            <v>100069</v>
          </cell>
        </row>
        <row r="1160">
          <cell r="I1160" t="str">
            <v>【海外】跳转到小野外的名城</v>
          </cell>
        </row>
        <row r="1161">
          <cell r="I1161" t="str">
            <v>【海外】跳转到当前场景位置【】</v>
          </cell>
          <cell r="J1161">
            <v>100071</v>
          </cell>
        </row>
        <row r="1162">
          <cell r="I1162" t="str">
            <v>【海外】迷雾跳转到第一个宝箱位置</v>
          </cell>
          <cell r="J1162">
            <v>100072</v>
          </cell>
        </row>
        <row r="1163">
          <cell r="I1163" t="str">
            <v>海外指向图尔砍的特殊跳转</v>
          </cell>
          <cell r="J1163">
            <v>100073</v>
          </cell>
        </row>
        <row r="1164">
          <cell r="I1164" t="str">
            <v>海外指向蒙杜克的特殊跳转</v>
          </cell>
          <cell r="J1164">
            <v>100074</v>
          </cell>
        </row>
        <row r="1165">
          <cell r="I1165" t="str">
            <v>海外打野教学引导跳转</v>
          </cell>
          <cell r="J1165">
            <v>100075</v>
          </cell>
        </row>
        <row r="1166">
          <cell r="I1166" t="str">
            <v>【海外】跳转到当前场景位置【】</v>
          </cell>
          <cell r="J1166">
            <v>100076</v>
          </cell>
        </row>
        <row r="1167">
          <cell r="I1167" t="str">
            <v>【海外】跳转指向攻城按钮箭头</v>
          </cell>
          <cell r="J1167">
            <v>100078</v>
          </cell>
        </row>
        <row r="1168">
          <cell r="I1168" t="str">
            <v>【海外】跳转到回城按钮</v>
          </cell>
          <cell r="J1168">
            <v>100079</v>
          </cell>
        </row>
        <row r="1169">
          <cell r="I1169" t="str">
            <v>海外村民伐木跳转</v>
          </cell>
          <cell r="J1169">
            <v>100080</v>
          </cell>
        </row>
        <row r="1170">
          <cell r="I1170" t="str">
            <v>左下角跳转,如果在内城跳出城按钮,如果在页面跳指南针</v>
          </cell>
          <cell r="J1170">
            <v>100090</v>
          </cell>
        </row>
        <row r="1171">
          <cell r="I1171" t="str">
            <v>【海外】跳转到采集区域【第一个浆果】</v>
          </cell>
          <cell r="J1171">
            <v>100091</v>
          </cell>
        </row>
        <row r="1172">
          <cell r="I1172" t="str">
            <v>选择野外部队英雄列表第一个头像</v>
          </cell>
          <cell r="J1172">
            <v>100092</v>
          </cell>
        </row>
        <row r="1173">
          <cell r="I1173" t="str">
            <v>【海外】跳转到当前场景位置【】</v>
          </cell>
          <cell r="J1173">
            <v>100093</v>
          </cell>
        </row>
        <row r="1174">
          <cell r="I1174" t="str">
            <v>【海外】跳转到当前场景位置【】</v>
          </cell>
          <cell r="J1174">
            <v>100094</v>
          </cell>
        </row>
        <row r="1175">
          <cell r="I1175" t="str">
            <v>【海外】跳转到小野外迷雾战场</v>
          </cell>
        </row>
        <row r="1176">
          <cell r="I1176" t="str">
            <v>【海外】跳转到0.5阶段主界面编队按钮</v>
          </cell>
          <cell r="J1176">
            <v>100096</v>
          </cell>
        </row>
        <row r="1177">
          <cell r="I1177" t="str">
            <v>【海外】跳转到出城按钮</v>
          </cell>
          <cell r="J1177">
            <v>100097</v>
          </cell>
        </row>
        <row r="1178">
          <cell r="I1178" t="str">
            <v>【海外】跳转到解锁科技等级页面</v>
          </cell>
          <cell r="J1178">
            <v>100098</v>
          </cell>
        </row>
        <row r="1179">
          <cell r="I1179" t="str">
            <v>【海外】跳转到迷雾战场</v>
          </cell>
          <cell r="J1179">
            <v>100099</v>
          </cell>
        </row>
        <row r="1180">
          <cell r="I1180" t="str">
            <v>【海外】跳转到小野外迷雾战场(带手指)</v>
          </cell>
          <cell r="J1180">
            <v>100100</v>
          </cell>
        </row>
        <row r="1181">
          <cell r="I1181" t="str">
            <v>跳转到1级【任意】资源点采集按钮</v>
          </cell>
          <cell r="J1181">
            <v>100101</v>
          </cell>
        </row>
        <row r="1182">
          <cell r="I1182" t="str">
            <v>【海外】跳转空地教学</v>
          </cell>
          <cell r="J1182">
            <v>100102</v>
          </cell>
        </row>
        <row r="1183">
          <cell r="I1183" t="str">
            <v>跳转到主界面【君主头像修改名称】</v>
          </cell>
          <cell r="J1183">
            <v>100103</v>
          </cell>
        </row>
        <row r="1184">
          <cell r="I1184" t="str">
            <v>跳转到世界聊天</v>
          </cell>
          <cell r="J1184">
            <v>100104</v>
          </cell>
        </row>
        <row r="1185">
          <cell r="I1185" t="str">
            <v>跳转到【英雄界面】指引获取经验</v>
          </cell>
          <cell r="J1185">
            <v>100105</v>
          </cell>
        </row>
        <row r="1186">
          <cell r="I1186" t="str">
            <v>【海外】跳转到正在建造中的居民房舍打开加速面板</v>
          </cell>
          <cell r="J1186">
            <v>100106</v>
          </cell>
        </row>
        <row r="1187">
          <cell r="I1187" t="str">
            <v>【海外】第二次采集浆果直接打开hud</v>
          </cell>
          <cell r="J1187">
            <v>100107</v>
          </cell>
        </row>
        <row r="1188">
          <cell r="I1188" t="str">
            <v>【海外】第一次砍树</v>
          </cell>
          <cell r="J1188">
            <v>100108</v>
          </cell>
        </row>
        <row r="1189">
          <cell r="I1189" t="str">
            <v>【海外】第一次采集浆果</v>
          </cell>
          <cell r="J1189">
            <v>100109</v>
          </cell>
        </row>
        <row r="1190">
          <cell r="I1190" t="str">
            <v>【海外】第二次砍树直接打开hud</v>
          </cell>
          <cell r="J1190">
            <v>100110</v>
          </cell>
        </row>
        <row r="1191">
          <cell r="I1191" t="str">
            <v>【海外】跳到农田</v>
          </cell>
          <cell r="J1191">
            <v>100111</v>
          </cell>
        </row>
        <row r="1192">
          <cell r="I1192" t="str">
            <v>【海外】跳到蛮族营地</v>
          </cell>
          <cell r="J1192">
            <v>100112</v>
          </cell>
        </row>
        <row r="1193">
          <cell r="I1193" t="str">
            <v>【海外】前十分钟第一次砍树</v>
          </cell>
          <cell r="J1193">
            <v>100113</v>
          </cell>
        </row>
        <row r="1194">
          <cell r="I1194" t="str">
            <v>【海外】跳转到30分钟后编队按键</v>
          </cell>
          <cell r="J1194">
            <v>100114</v>
          </cell>
        </row>
        <row r="1195">
          <cell r="I1195" t="str">
            <v>【海外】跳转到低于等级11的前2个【兵营建筑2】展开菜单</v>
          </cell>
          <cell r="J1195">
            <v>100115</v>
          </cell>
        </row>
        <row r="1196">
          <cell r="I1196" t="str">
            <v>【海外】跳转到低于等级12的前2个【兵营建筑2】展开菜单</v>
          </cell>
          <cell r="J1196">
            <v>100116</v>
          </cell>
        </row>
        <row r="1197">
          <cell r="I1197" t="str">
            <v>【海外】跳转到低于等级13的前2个【兵营建筑2】展开菜单</v>
          </cell>
          <cell r="J1197">
            <v>100117</v>
          </cell>
        </row>
        <row r="1198">
          <cell r="I1198" t="str">
            <v>【海外】跳转到低于等级14的前2个【兵营建筑2】展开菜单</v>
          </cell>
          <cell r="J1198">
            <v>100118</v>
          </cell>
        </row>
        <row r="1199">
          <cell r="I1199" t="str">
            <v>【海外】跳转到低于等级15的前3个【兵营建筑3】展开菜单</v>
          </cell>
          <cell r="J1199">
            <v>100119</v>
          </cell>
        </row>
        <row r="1200">
          <cell r="I1200" t="str">
            <v>【海外】跳转到低于等级16的前3个【兵营建筑3】展开菜单</v>
          </cell>
          <cell r="J1200">
            <v>100120</v>
          </cell>
        </row>
        <row r="1201">
          <cell r="I1201" t="str">
            <v>【海外】跳转到低于等级17的前3个【兵营建筑3】展开菜单</v>
          </cell>
          <cell r="J1201">
            <v>100121</v>
          </cell>
        </row>
        <row r="1202">
          <cell r="I1202" t="str">
            <v>【海外】跳转到低于等级18的前4个【兵营建筑4】展开菜单</v>
          </cell>
          <cell r="J1202">
            <v>100122</v>
          </cell>
        </row>
        <row r="1203">
          <cell r="I1203" t="str">
            <v>【海外】跳转到低于等级19的前4个【兵营建筑4】展开菜单</v>
          </cell>
          <cell r="J1203">
            <v>100123</v>
          </cell>
        </row>
        <row r="1204">
          <cell r="I1204" t="str">
            <v>【海外】跳转到低于等级20的前4个【兵营建筑4】展开菜单</v>
          </cell>
          <cell r="J1204">
            <v>100124</v>
          </cell>
        </row>
        <row r="1205">
          <cell r="I1205" t="str">
            <v>【海外】跳转到低于等级21的前4个【兵营建筑4】展开菜单</v>
          </cell>
          <cell r="J1205">
            <v>100125</v>
          </cell>
        </row>
        <row r="1206">
          <cell r="I1206" t="str">
            <v>【海外】跳转到低于等级22的前4个【兵营建筑4】展开菜单</v>
          </cell>
          <cell r="J1206">
            <v>100126</v>
          </cell>
        </row>
        <row r="1207">
          <cell r="I1207" t="str">
            <v>【海外】跳转到低于等级23的前4个【兵营建筑4】展开菜单</v>
          </cell>
          <cell r="J1207">
            <v>100127</v>
          </cell>
        </row>
        <row r="1208">
          <cell r="I1208" t="str">
            <v>【海外】跳转到低于等级24的前4个【兵营建筑4】展开菜单</v>
          </cell>
          <cell r="J1208">
            <v>100128</v>
          </cell>
        </row>
        <row r="1209">
          <cell r="I1209" t="str">
            <v>【海外】跳转到低于等级25的前4个【兵营建筑4】展开菜单</v>
          </cell>
          <cell r="J1209">
            <v>100129</v>
          </cell>
        </row>
        <row r="1210">
          <cell r="I1210" t="str">
            <v>【海外】跳转到低于等级26的前4个【兵营建筑4】展开菜单</v>
          </cell>
          <cell r="J1210">
            <v>100130</v>
          </cell>
        </row>
        <row r="1211">
          <cell r="I1211" t="str">
            <v>【海外】跳转到低于等级27的前4个【兵营建筑4】展开菜单</v>
          </cell>
          <cell r="J1211">
            <v>100131</v>
          </cell>
        </row>
        <row r="1212">
          <cell r="I1212" t="str">
            <v>【海外】跳转到低于等级28的前4个【兵营建筑4】展开菜单</v>
          </cell>
          <cell r="J1212">
            <v>100132</v>
          </cell>
        </row>
        <row r="1213">
          <cell r="I1213" t="str">
            <v>【海外】跳转到低于等级29的前4个【兵营建筑4】展开菜单</v>
          </cell>
          <cell r="J1213">
            <v>100133</v>
          </cell>
        </row>
        <row r="1214">
          <cell r="I1214" t="str">
            <v>跳转到仓库【升级】菜单按钮</v>
          </cell>
          <cell r="J1214">
            <v>100134</v>
          </cell>
        </row>
        <row r="1215">
          <cell r="I1215" t="str">
            <v>【海外】跳转到主界面【联盟】按钮</v>
          </cell>
          <cell r="J1215">
            <v>100135</v>
          </cell>
        </row>
        <row r="1216">
          <cell r="I1216" t="str">
            <v>【海外】跳转到按钮并指向等级最高的英雄</v>
          </cell>
          <cell r="J1216">
            <v>100136</v>
          </cell>
        </row>
        <row r="1217">
          <cell r="I1217" t="str">
            <v>【海外】跳转到学院【研究科技】菜单按钮</v>
          </cell>
          <cell r="J1217">
            <v>100137</v>
          </cell>
        </row>
        <row r="1218">
          <cell r="I1218" t="str">
            <v>【海外】跳转到英雄【使用经验书】</v>
          </cell>
          <cell r="J1218">
            <v>100138</v>
          </cell>
        </row>
        <row r="1219">
          <cell r="I1219" t="str">
            <v>【海外】跳转到酒馆【招募】</v>
          </cell>
          <cell r="J1219">
            <v>100139</v>
          </cell>
        </row>
        <row r="1220">
          <cell r="I1220" t="str">
            <v>【海外】第一次砍树</v>
          </cell>
          <cell r="J1220">
            <v>100140</v>
          </cell>
        </row>
        <row r="1221">
          <cell r="I1221" t="str">
            <v>【海外】跳转到主界面【内政官】按钮</v>
          </cell>
          <cell r="J1221">
            <v>100141</v>
          </cell>
        </row>
        <row r="1222">
          <cell r="I1222" t="str">
            <v>【海外】跳转到学院【剑士攻击3级】菜单按钮</v>
          </cell>
          <cell r="J1222">
            <v>100142</v>
          </cell>
        </row>
        <row r="1223">
          <cell r="I1223" t="str">
            <v>【海外】跳转到学院【高级剑士】菜单按钮</v>
          </cell>
          <cell r="J1223">
            <v>100143</v>
          </cell>
        </row>
        <row r="1224">
          <cell r="I1224" t="str">
            <v>【海外】跳转到学院【英雄编队1】菜单按钮</v>
          </cell>
          <cell r="J1224">
            <v>100144</v>
          </cell>
        </row>
        <row r="1225">
          <cell r="I1225" t="str">
            <v>【海外】跳转到学院【英雄编队2】菜单按钮</v>
          </cell>
          <cell r="J1225">
            <v>100145</v>
          </cell>
        </row>
        <row r="1226">
          <cell r="I1226" t="str">
            <v>【海外】跳转到码头【前往】</v>
          </cell>
          <cell r="J1226">
            <v>100146</v>
          </cell>
        </row>
        <row r="1227">
          <cell r="I1227" t="str">
            <v>【海外】跳转英雄界面指向加号按钮</v>
          </cell>
          <cell r="J1227">
            <v>100147</v>
          </cell>
        </row>
        <row r="1228">
          <cell r="I1228" t="str">
            <v>跳转到(不高于城镇中心等级)居民房舍【升级】菜单按钮</v>
          </cell>
          <cell r="J1228">
            <v>100148</v>
          </cell>
        </row>
        <row r="1229">
          <cell r="I1229" t="str">
            <v>【海外】前十分钟第一次狩猎</v>
          </cell>
          <cell r="J1229">
            <v>100149</v>
          </cell>
        </row>
        <row r="1230">
          <cell r="I1230" t="str">
            <v>跳转到主界面英雄征战后【帝国军演】按钮</v>
          </cell>
          <cell r="J1230">
            <v>100150</v>
          </cell>
        </row>
        <row r="1231">
          <cell r="I1231" t="str">
            <v>【海外】第一次砍树</v>
          </cell>
          <cell r="J1231">
            <v>100151</v>
          </cell>
        </row>
        <row r="1232">
          <cell r="I1232" t="str">
            <v>【海外】第一次浆果</v>
          </cell>
          <cell r="J1232">
            <v>100152</v>
          </cell>
        </row>
        <row r="1233">
          <cell r="I1233" t="str">
            <v>【海外】第一次浆果</v>
          </cell>
          <cell r="J1233">
            <v>100153</v>
          </cell>
        </row>
        <row r="1234">
          <cell r="I1234" t="str">
            <v>【海外】第一次浆果</v>
          </cell>
          <cell r="J1234">
            <v>100154</v>
          </cell>
        </row>
        <row r="1235">
          <cell r="I1235" t="str">
            <v>【海外】跳转到码头(带镜头)【前往】</v>
          </cell>
          <cell r="J1235">
            <v>100155</v>
          </cell>
        </row>
        <row r="1236">
          <cell r="I1236" t="str">
            <v>跳转到英雄征战【至高竞技场】</v>
          </cell>
        </row>
        <row r="1248">
          <cell r="I1248" t="str">
            <v>跳转到英雄勋章兑换</v>
          </cell>
        </row>
        <row r="1250">
          <cell r="I1250" t="str">
            <v>跳转到主界面【英雄征战-战地幸存者】按钮</v>
          </cell>
          <cell r="J1250">
            <v>100170</v>
          </cell>
        </row>
        <row r="1251">
          <cell r="I1251" t="str">
            <v>跳转到主界面【英雄征战-失落边境】按钮</v>
          </cell>
          <cell r="J1251">
            <v>100171</v>
          </cell>
        </row>
        <row r="1252">
          <cell r="I1252" t="str">
            <v>跳转到主界面【英雄征战-至高竞技场】按钮</v>
          </cell>
          <cell r="J1252">
            <v>100172</v>
          </cell>
        </row>
        <row r="1253">
          <cell r="I1253" t="str">
            <v>跳转到主界面【英雄征战-帝国军演】按钮</v>
          </cell>
          <cell r="J1253">
            <v>100173</v>
          </cell>
        </row>
        <row r="1254">
          <cell r="I1254" t="str">
            <v>【海外】跳转到学院【英雄编队1】菜单按钮</v>
          </cell>
          <cell r="J1254">
            <v>100174</v>
          </cell>
        </row>
        <row r="1255">
          <cell r="I1255" t="str">
            <v>【海外】跳转到学院【英雄编队1】菜单按钮</v>
          </cell>
          <cell r="J1255">
            <v>100175</v>
          </cell>
        </row>
        <row r="1256">
          <cell r="I1256" t="str">
            <v>水晶珍品阁活动（玺戒兑换活动）</v>
          </cell>
          <cell r="J1256">
            <v>100176</v>
          </cell>
        </row>
        <row r="1257">
          <cell r="I1257" t="str">
            <v>跳转到城镇中心【升级】菜单按钮7001</v>
          </cell>
          <cell r="J1257">
            <v>100177</v>
          </cell>
        </row>
        <row r="1258">
          <cell r="I1258" t="str">
            <v>跳转到居民房舍【升级】菜单按钮7006</v>
          </cell>
          <cell r="J1258">
            <v>100178</v>
          </cell>
        </row>
        <row r="1259">
          <cell r="I1259" t="str">
            <v>跳转到磨坊【升级】菜单按钮7009</v>
          </cell>
          <cell r="J1259">
            <v>100179</v>
          </cell>
        </row>
        <row r="1260">
          <cell r="I1260" t="str">
            <v>跳转到伐木场【升级】菜单按钮7011</v>
          </cell>
          <cell r="J1260">
            <v>7011</v>
          </cell>
        </row>
        <row r="1261">
          <cell r="I1261" t="str">
            <v>跳转到石矿场【升级】菜单按钮7013</v>
          </cell>
          <cell r="J1261">
            <v>7013</v>
          </cell>
        </row>
        <row r="1262">
          <cell r="I1262" t="str">
            <v>跳转到剑士营【升级】菜单按钮7015</v>
          </cell>
          <cell r="J1262">
            <v>7015</v>
          </cell>
        </row>
        <row r="1263">
          <cell r="I1263" t="str">
            <v>跳转到学院【升级】菜单按钮7029</v>
          </cell>
          <cell r="J1263">
            <v>7029</v>
          </cell>
        </row>
        <row r="1264">
          <cell r="I1264" t="str">
            <v>跳转到城墙【升级】菜单按钮7039</v>
          </cell>
          <cell r="J1264">
            <v>7039</v>
          </cell>
        </row>
        <row r="1265">
          <cell r="I1265" t="str">
            <v>跳转到治疗房舍【升级】菜单按钮7041</v>
          </cell>
          <cell r="J1265">
            <v>7041</v>
          </cell>
        </row>
        <row r="1266">
          <cell r="I1266" t="str">
            <v>跳转到瞭望塔【升级】菜单按钮7049</v>
          </cell>
          <cell r="J1266">
            <v>7049</v>
          </cell>
        </row>
        <row r="1267">
          <cell r="I1267" t="str">
            <v>跳转到大使馆【升级】菜单按钮7055</v>
          </cell>
          <cell r="J1267">
            <v>7055</v>
          </cell>
        </row>
        <row r="1268">
          <cell r="I1268" t="str">
            <v>跳转到市集【升级】菜单按钮7058</v>
          </cell>
          <cell r="J1268">
            <v>7058</v>
          </cell>
        </row>
        <row r="1269">
          <cell r="I1269" t="str">
            <v>跳转到仓库【升级】菜单按钮100134</v>
          </cell>
          <cell r="J1269">
            <v>100189</v>
          </cell>
        </row>
        <row r="1270">
          <cell r="I1270" t="str">
            <v>跳转到城镇中心【训练村民】菜单按钮</v>
          </cell>
          <cell r="J1270">
            <v>100190</v>
          </cell>
        </row>
        <row r="1271">
          <cell r="I1271" t="str">
            <v>跳转到城镇中心【升级时代】菜单按钮</v>
          </cell>
          <cell r="J1271">
            <v>100191</v>
          </cell>
        </row>
        <row r="1272">
          <cell r="I1272" t="str">
            <v>【海外】跳转到酒馆【招募】</v>
          </cell>
          <cell r="J1272">
            <v>100192</v>
          </cell>
        </row>
        <row r="1273">
          <cell r="I1273" t="str">
            <v>跳转到英雄征战【战地幸存者】</v>
          </cell>
          <cell r="J1273">
            <v>100193</v>
          </cell>
        </row>
        <row r="1274">
          <cell r="I1274" t="str">
            <v>跳转到英雄征战【失落边境】</v>
          </cell>
          <cell r="J1274">
            <v>100194</v>
          </cell>
        </row>
        <row r="1275">
          <cell r="I1275" t="str">
            <v>跳转到英雄征战【至高竞技场】</v>
          </cell>
          <cell r="J1275">
            <v>100195</v>
          </cell>
        </row>
        <row r="1276">
          <cell r="I1276" t="str">
            <v>跳转到英雄征战【帝国军演】</v>
          </cell>
          <cell r="J1276">
            <v>100196</v>
          </cell>
        </row>
        <row r="1277">
          <cell r="I1277" t="str">
            <v>孙武/熙德副将水晶球</v>
          </cell>
          <cell r="J1277">
            <v>100197</v>
          </cell>
        </row>
        <row r="1278">
          <cell r="I1278" t="str">
            <v>孙武/熙德转盘</v>
          </cell>
          <cell r="J1278">
            <v>100198</v>
          </cell>
        </row>
        <row r="1279">
          <cell r="I1279" t="str">
            <v>巨人的咆哮</v>
          </cell>
          <cell r="J1279">
            <v>100199</v>
          </cell>
        </row>
        <row r="1280">
          <cell r="I1280" t="str">
            <v>七日登录</v>
          </cell>
          <cell r="J1280">
            <v>100200</v>
          </cell>
        </row>
        <row r="1281">
          <cell r="I1281" t="str">
            <v>帝国之星</v>
          </cell>
          <cell r="J1281">
            <v>100201</v>
          </cell>
        </row>
        <row r="1282">
          <cell r="I1282" t="str">
            <v>五洲四海</v>
          </cell>
          <cell r="J1282">
            <v>100202</v>
          </cell>
        </row>
        <row r="1283">
          <cell r="I1283" t="str">
            <v>最强君主</v>
          </cell>
          <cell r="J1283">
            <v>100203</v>
          </cell>
        </row>
        <row r="1284">
          <cell r="I1284" t="str">
            <v>跳转到市集【资源兑换】菜单按钮带镜头移动</v>
          </cell>
          <cell r="J1284">
            <v>100204</v>
          </cell>
        </row>
        <row r="1285">
          <cell r="I1285" t="str">
            <v>跳转到码头【捕鱼】菜单按钮带镜头移动</v>
          </cell>
          <cell r="J1285">
            <v>100205</v>
          </cell>
        </row>
        <row r="1286">
          <cell r="I1286" t="str">
            <v>跳转到治疗房舍【治疗】菜单按钮带镜头移动</v>
          </cell>
          <cell r="J1286">
            <v>100206</v>
          </cell>
        </row>
        <row r="1287">
          <cell r="I1287" t="str">
            <v>跳转到剑士营【训练】菜单按钮带镜头移动</v>
          </cell>
          <cell r="J1287">
            <v>100207</v>
          </cell>
        </row>
        <row r="1288">
          <cell r="I1288" t="str">
            <v>跳转到学院研究科技</v>
          </cell>
        </row>
        <row r="1289">
          <cell r="I1289" t="str">
            <v>跳转到当前等级最高【兵营建筑】展开菜单嗲镜头移动</v>
          </cell>
          <cell r="J1289">
            <v>100209</v>
          </cell>
        </row>
        <row r="1290">
          <cell r="I1290" t="str">
            <v>跳转到云游商人</v>
          </cell>
          <cell r="J1290">
            <v>100210</v>
          </cell>
        </row>
        <row r="1291">
          <cell r="I1291" t="str">
            <v>跳转到采石场【村民调配】菜单按钮带镜头移动</v>
          </cell>
          <cell r="J1291">
            <v>100211</v>
          </cell>
        </row>
        <row r="1292">
          <cell r="I1292" t="str">
            <v>跳转到伐木场【村民调配】菜单按钮带镜头移动</v>
          </cell>
          <cell r="J1292">
            <v>100212</v>
          </cell>
        </row>
        <row r="1293">
          <cell r="I1293" t="str">
            <v>跳转到磨坊【村民调配】菜单按钮带镜头移动</v>
          </cell>
          <cell r="J1293">
            <v>100213</v>
          </cell>
        </row>
        <row r="1294">
          <cell r="I1294" t="str">
            <v>跳转到金矿场【村民调配】菜单按钮带镜头移动</v>
          </cell>
          <cell r="J1294">
            <v>100214</v>
          </cell>
        </row>
        <row r="1295">
          <cell r="I1295" t="str">
            <v>跳转到幸存者副玩法主界面最大章节位置</v>
          </cell>
          <cell r="J1295">
            <v>100215</v>
          </cell>
        </row>
        <row r="1296">
          <cell r="I1296" t="str">
            <v>跳转到精工铸造</v>
          </cell>
          <cell r="J1296">
            <v>100216</v>
          </cell>
        </row>
        <row r="1297">
          <cell r="I1297" t="str">
            <v>跳转到商城活动8000014</v>
          </cell>
          <cell r="J1297">
            <v>100217</v>
          </cell>
        </row>
        <row r="1298">
          <cell r="I1298" t="str">
            <v>跳转到超值礼包</v>
          </cell>
          <cell r="J1298">
            <v>100218</v>
          </cell>
        </row>
        <row r="1299">
          <cell r="I1299" t="str">
            <v>英雄数量不同时，跳转酒馆或者招募或者英雄升级</v>
          </cell>
          <cell r="J1299">
            <v>100219</v>
          </cell>
        </row>
        <row r="1300">
          <cell r="I1300" t="str">
            <v>理查一世/阿提拉副将水晶球</v>
          </cell>
          <cell r="J1300">
            <v>100220</v>
          </cell>
        </row>
        <row r="1301">
          <cell r="I1301" t="str">
            <v>理查一世/阿提拉转盘</v>
          </cell>
          <cell r="J1301">
            <v>100221</v>
          </cell>
        </row>
        <row r="1302">
          <cell r="I1302" t="str">
            <v>亚瑟王专属活动</v>
          </cell>
          <cell r="J1302">
            <v>100222</v>
          </cell>
        </row>
        <row r="1303">
          <cell r="I1303" t="str">
            <v>屋大维/苏莱曼一世转盘</v>
          </cell>
          <cell r="J1303">
            <v>100223</v>
          </cell>
        </row>
        <row r="1304">
          <cell r="I1304" t="str">
            <v>崔布瓦娜/汉尼拔一世转盘</v>
          </cell>
          <cell r="J1304">
            <v>100224</v>
          </cell>
        </row>
        <row r="1305">
          <cell r="I1305" t="str">
            <v>英雄集结</v>
          </cell>
          <cell r="J1305">
            <v>100225</v>
          </cell>
        </row>
        <row r="1306">
          <cell r="I1306" t="str">
            <v>跳转到探照灯界面</v>
          </cell>
          <cell r="J1306">
            <v>100226</v>
          </cell>
        </row>
        <row r="1307">
          <cell r="I1307" t="str">
            <v>【迷雾奇袭】枪兵技能教学</v>
          </cell>
          <cell r="J1307">
            <v>100300</v>
          </cell>
        </row>
        <row r="1308">
          <cell r="I1308" t="str">
            <v>【迷雾奇袭】剑兵技能教学</v>
          </cell>
          <cell r="J1308">
            <v>100301</v>
          </cell>
        </row>
        <row r="1309">
          <cell r="I1309" t="str">
            <v>【迷雾奇袭】骑兵技能教学</v>
          </cell>
          <cell r="J1309">
            <v>100302</v>
          </cell>
        </row>
        <row r="1310">
          <cell r="I1310" t="str">
            <v>【迷雾奇袭】弓兵技能教学</v>
          </cell>
          <cell r="J1310">
            <v>100303</v>
          </cell>
        </row>
        <row r="1311">
          <cell r="I1311" t="str">
            <v>建造仓库</v>
          </cell>
        </row>
        <row r="1312">
          <cell r="I1312" t="str">
            <v>建造学院</v>
          </cell>
        </row>
        <row r="1313">
          <cell r="I1313" t="str">
            <v>建造大使馆</v>
          </cell>
        </row>
        <row r="1314">
          <cell r="I1314" t="str">
            <v>跳到码头</v>
          </cell>
        </row>
        <row r="1315">
          <cell r="I1315" t="str">
            <v>【海外】跳转到30分钟后编队按键</v>
          </cell>
          <cell r="J1315">
            <v>100308</v>
          </cell>
        </row>
        <row r="1316">
          <cell r="I1316" t="str">
            <v>跳转到内城主界面【酒馆建造】按钮</v>
          </cell>
          <cell r="J1316">
            <v>100309</v>
          </cell>
        </row>
        <row r="1317">
          <cell r="I1317" t="str">
            <v>跳转到内城主界面【学院建造】按钮</v>
          </cell>
          <cell r="J1317">
            <v>100310</v>
          </cell>
        </row>
        <row r="1318">
          <cell r="I1318" t="str">
            <v>跳转到内城主界面【石矿场建造】按钮</v>
          </cell>
          <cell r="J1318">
            <v>100311</v>
          </cell>
        </row>
        <row r="1319">
          <cell r="I1319" t="str">
            <v>跳转到内城主界面【市集建造】按钮</v>
          </cell>
          <cell r="J1319">
            <v>100312</v>
          </cell>
        </row>
        <row r="1320">
          <cell r="I1320" t="str">
            <v>跳转到内城主界面【仓库建造】按钮</v>
          </cell>
          <cell r="J1320">
            <v>100313</v>
          </cell>
        </row>
        <row r="1321">
          <cell r="I1321" t="str">
            <v>跳转到内城主界面【大使馆建造】按钮</v>
          </cell>
          <cell r="J1321">
            <v>100314</v>
          </cell>
        </row>
        <row r="1322">
          <cell r="I1322" t="str">
            <v>只有在对应页面并且有通用碎片购买时显示</v>
          </cell>
        </row>
        <row r="1323">
          <cell r="I1323" t="str">
            <v>跳转到瞭望塔【探险】菜单按钮</v>
          </cell>
          <cell r="J1323">
            <v>100316</v>
          </cell>
        </row>
        <row r="1324">
          <cell r="I1324" t="str">
            <v>跳转名城活动</v>
          </cell>
        </row>
        <row r="1325">
          <cell r="I1325" t="str">
            <v>跳转王城活动</v>
          </cell>
        </row>
        <row r="1327">
          <cell r="I1327" t="str">
            <v>跳转到城外【可打最高级】野怪进攻按钮</v>
          </cell>
          <cell r="J1327">
            <v>100320</v>
          </cell>
        </row>
        <row r="1328">
          <cell r="I1328" t="str">
            <v>跳转到1级【任意】资源点采集按钮</v>
          </cell>
          <cell r="J1328">
            <v>100321</v>
          </cell>
        </row>
        <row r="1329">
          <cell r="I1329" t="str">
            <v>跳转到1级【任意】资源点采集按钮</v>
          </cell>
          <cell r="J1329">
            <v>100322</v>
          </cell>
        </row>
        <row r="1330">
          <cell r="I1330" t="str">
            <v>跳转到1级【任意】资源点采集按钮</v>
          </cell>
          <cell r="J1330">
            <v>100323</v>
          </cell>
        </row>
        <row r="1331">
          <cell r="I1331" t="str">
            <v>跳转地缘排行榜</v>
          </cell>
        </row>
        <row r="1332">
          <cell r="I1332" t="str">
            <v>跳转到城外【指定等级】野怪进攻按钮</v>
          </cell>
          <cell r="J1332">
            <v>100325</v>
          </cell>
        </row>
        <row r="1333">
          <cell r="I1333" t="str">
            <v>跳转到主界面【英雄】按钮</v>
          </cell>
          <cell r="J1333">
            <v>100326</v>
          </cell>
        </row>
        <row r="1334">
          <cell r="I1334" t="str">
            <v>【海外】跳转到铁匠铺【锻造】</v>
          </cell>
          <cell r="J1334">
            <v>100327</v>
          </cell>
        </row>
        <row r="1335">
          <cell r="I1335" t="str">
            <v>跳转到学院【升级】菜单按钮</v>
          </cell>
          <cell r="J1335">
            <v>100328</v>
          </cell>
        </row>
        <row r="1336">
          <cell r="I1336" t="str">
            <v>跳转到(不高于城镇中心等级)居民房舍【升级】菜单按钮</v>
          </cell>
          <cell r="J1336">
            <v>100329</v>
          </cell>
        </row>
        <row r="1337">
          <cell r="I1337" t="str">
            <v>跳转到主界面【英雄征战】按钮</v>
          </cell>
          <cell r="J1337">
            <v>100330</v>
          </cell>
        </row>
        <row r="1338">
          <cell r="I1338" t="str">
            <v>跳转到英雄征战【至高竞技场】</v>
          </cell>
        </row>
        <row r="1339">
          <cell r="I1339" t="str">
            <v>最强领主第一期配合转盘</v>
          </cell>
          <cell r="J1339">
            <v>100332</v>
          </cell>
        </row>
        <row r="1340">
          <cell r="I1340" t="str">
            <v>最强领主第二期配合转盘</v>
          </cell>
          <cell r="J1340">
            <v>100333</v>
          </cell>
        </row>
        <row r="1341">
          <cell r="I1341" t="str">
            <v>最强领主第三期配合转盘</v>
          </cell>
          <cell r="J1341">
            <v>100334</v>
          </cell>
        </row>
        <row r="1342">
          <cell r="I1342" t="str">
            <v>跳转到主界面【英雄征战-战地幸存者】按钮</v>
          </cell>
          <cell r="J1342">
            <v>100335</v>
          </cell>
        </row>
        <row r="1343">
          <cell r="I1343" t="str">
            <v>最强领主第一期配合转盘</v>
          </cell>
          <cell r="J1343">
            <v>100336</v>
          </cell>
        </row>
        <row r="1344">
          <cell r="I1344" t="str">
            <v>最强领主第二期配合转盘</v>
          </cell>
          <cell r="J1344">
            <v>100337</v>
          </cell>
        </row>
        <row r="1345">
          <cell r="I1345" t="str">
            <v>直接打开【装备库界面】</v>
          </cell>
          <cell r="J1345">
            <v>100338</v>
          </cell>
        </row>
        <row r="1346">
          <cell r="I1346" t="str">
            <v>跳转到酒馆【升级】菜单按钮7006</v>
          </cell>
          <cell r="J1346">
            <v>100339</v>
          </cell>
        </row>
        <row r="1347">
          <cell r="I1347" t="str">
            <v>跳转到活动中心【珍藏狩猎】</v>
          </cell>
          <cell r="J1347">
            <v>100340</v>
          </cell>
        </row>
        <row r="1348">
          <cell r="I1348" t="str">
            <v>【海外】跳转到0.5阶段主界面编队按钮</v>
          </cell>
          <cell r="J1348">
            <v>100341</v>
          </cell>
        </row>
        <row r="1349">
          <cell r="I1349" t="str">
            <v>【海外】跳转海岛</v>
          </cell>
          <cell r="J1349">
            <v>100342</v>
          </cell>
        </row>
        <row r="1350">
          <cell r="I1350" t="str">
            <v>【海外】跳转英雄界面选中可以镶嵌宝石的英雄</v>
          </cell>
          <cell r="J1350">
            <v>100343</v>
          </cell>
        </row>
        <row r="1351">
          <cell r="I1351" t="str">
            <v>【海外】跳转到码头(带镜头)【前往】</v>
          </cell>
          <cell r="J1351">
            <v>100344</v>
          </cell>
        </row>
        <row r="1352">
          <cell r="I1352" t="str">
            <v>【海外】跳转到铁匠铺(带镜头)【合成】</v>
          </cell>
          <cell r="J1352">
            <v>100345</v>
          </cell>
        </row>
        <row r="1512">
          <cell r="I1512" t="str">
            <v>月卡折扣券跳转</v>
          </cell>
          <cell r="J1512">
            <v>200001</v>
          </cell>
        </row>
        <row r="1513">
          <cell r="I1513" t="str">
            <v>周卡折扣券跳转</v>
          </cell>
          <cell r="J1513">
            <v>200002</v>
          </cell>
        </row>
        <row r="1514">
          <cell r="I1514" t="str">
            <v>王国秘藏折扣券跳转</v>
          </cell>
        </row>
        <row r="1515">
          <cell r="I1515" t="str">
            <v>成长基金折扣券跳转</v>
          </cell>
        </row>
        <row r="1516">
          <cell r="I1516" t="str">
            <v>超值礼包折扣券跳转</v>
          </cell>
        </row>
        <row r="1517">
          <cell r="I1517" t="str">
            <v>每日特惠折扣券跳转</v>
          </cell>
        </row>
        <row r="1518">
          <cell r="I1518" t="str">
            <v>心愿自选折扣券跳转</v>
          </cell>
        </row>
        <row r="1519">
          <cell r="I1519" t="str">
            <v>限时悬赏折扣券跳转</v>
          </cell>
        </row>
        <row r="1520">
          <cell r="I1520" t="str">
            <v>好礼连环折扣券跳转</v>
          </cell>
        </row>
        <row r="1521">
          <cell r="I1521" t="str">
            <v>主题礼包折扣券跳转</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764"/>
  <sheetViews>
    <sheetView tabSelected="1" workbookViewId="0">
      <pane xSplit="10" ySplit="3" topLeftCell="K4" activePane="bottomRight" state="frozen"/>
      <selection pane="topRight"/>
      <selection pane="bottomLeft"/>
      <selection pane="bottomRight" activeCell="L6" sqref="L6"/>
    </sheetView>
  </sheetViews>
  <sheetFormatPr defaultColWidth="9.07421875" defaultRowHeight="16.5" x14ac:dyDescent="0.45"/>
  <cols>
    <col min="1" max="1" width="11.69140625" style="4" customWidth="1"/>
    <col min="2" max="2" width="4.3046875" style="4" customWidth="1"/>
    <col min="3" max="4" width="6.765625" style="4" customWidth="1"/>
    <col min="5" max="5" width="10.69140625" style="4" customWidth="1"/>
    <col min="6" max="6" width="29" style="4" customWidth="1"/>
    <col min="7" max="7" width="17.765625" style="4" customWidth="1"/>
    <col min="8" max="8" width="6.84375" style="4" customWidth="1"/>
    <col min="9" max="9" width="9.3046875" style="4" customWidth="1"/>
    <col min="10" max="10" width="24.53515625" style="4" customWidth="1"/>
    <col min="11" max="11" width="15.07421875" style="4" customWidth="1"/>
    <col min="12" max="12" width="23.53515625" style="4" customWidth="1"/>
    <col min="13" max="13" width="12.07421875" style="4" customWidth="1"/>
    <col min="14" max="14" width="26.69140625" style="4" customWidth="1"/>
    <col min="15" max="15" width="12.4609375" style="4" customWidth="1"/>
    <col min="16" max="16" width="52.53515625" style="20" bestFit="1" customWidth="1"/>
    <col min="17" max="17" width="12.69140625" style="4" customWidth="1"/>
    <col min="18" max="18" width="65.53515625" style="4" customWidth="1"/>
    <col min="19" max="19" width="69.69140625" style="20" customWidth="1"/>
    <col min="20" max="20" width="12.84375" style="20" customWidth="1"/>
    <col min="21" max="21" width="55.765625" style="20" customWidth="1"/>
    <col min="22" max="22" width="26.84375" style="20" customWidth="1"/>
    <col min="23" max="23" width="11.53515625" style="4" customWidth="1"/>
    <col min="24" max="24" width="8.3046875" style="4" customWidth="1"/>
    <col min="25" max="25" width="12.07421875" style="4" customWidth="1"/>
    <col min="26" max="26" width="18.3046875" style="4" customWidth="1"/>
    <col min="27" max="27" width="8.84375" style="4" customWidth="1"/>
    <col min="28" max="29" width="20.84375" style="4" customWidth="1"/>
    <col min="30" max="31" width="8.84375" style="4" customWidth="1"/>
    <col min="32" max="32" width="14.07421875" style="4" customWidth="1"/>
    <col min="33" max="33" width="22.15234375" style="4" customWidth="1"/>
    <col min="34" max="34" width="13.765625" style="4" customWidth="1"/>
    <col min="35" max="16384" width="9.07421875" style="4"/>
  </cols>
  <sheetData>
    <row r="1" spans="1:38" s="1" customFormat="1" ht="16.149999999999999" customHeight="1" x14ac:dyDescent="0.45">
      <c r="A1" s="1" t="s">
        <v>0</v>
      </c>
      <c r="P1" s="17"/>
      <c r="S1" s="17"/>
      <c r="AK1" s="100"/>
      <c r="AL1" s="100"/>
    </row>
    <row r="2" spans="1:38" s="2" customFormat="1" ht="16.149999999999999" customHeight="1" x14ac:dyDescent="0.4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18" t="s">
        <v>16</v>
      </c>
      <c r="Q2" s="2" t="s">
        <v>17</v>
      </c>
      <c r="R2" s="2" t="s">
        <v>18</v>
      </c>
      <c r="S2" s="18" t="s">
        <v>19</v>
      </c>
      <c r="T2" s="2" t="s">
        <v>20</v>
      </c>
      <c r="U2" s="2" t="s">
        <v>21</v>
      </c>
      <c r="V2" s="2" t="s">
        <v>22</v>
      </c>
      <c r="W2" s="2" t="s">
        <v>3357</v>
      </c>
      <c r="X2" s="2" t="s">
        <v>24</v>
      </c>
      <c r="Y2" s="2" t="s">
        <v>25</v>
      </c>
      <c r="Z2" s="2" t="s">
        <v>26</v>
      </c>
      <c r="AA2" s="2" t="s">
        <v>27</v>
      </c>
      <c r="AB2" s="2" t="s">
        <v>28</v>
      </c>
      <c r="AC2" s="2" t="s">
        <v>3245</v>
      </c>
      <c r="AD2" s="2" t="s">
        <v>29</v>
      </c>
      <c r="AE2" s="2" t="s">
        <v>30</v>
      </c>
      <c r="AF2" s="2" t="s">
        <v>31</v>
      </c>
      <c r="AG2" s="2" t="s">
        <v>32</v>
      </c>
      <c r="AH2" s="2" t="s">
        <v>3345</v>
      </c>
      <c r="AI2" s="2" t="s">
        <v>3367</v>
      </c>
      <c r="AJ2" s="2" t="s">
        <v>3366</v>
      </c>
      <c r="AK2" s="101" t="s">
        <v>3425</v>
      </c>
      <c r="AL2" s="106" t="s">
        <v>31</v>
      </c>
    </row>
    <row r="3" spans="1:38" s="3" customFormat="1" x14ac:dyDescent="0.45">
      <c r="A3" s="7" t="s">
        <v>33</v>
      </c>
      <c r="B3" s="7"/>
      <c r="C3" s="7"/>
      <c r="D3" s="7"/>
      <c r="E3" s="7"/>
      <c r="F3" s="7" t="s">
        <v>34</v>
      </c>
      <c r="G3" s="7"/>
      <c r="H3" s="7"/>
      <c r="I3" s="7"/>
      <c r="J3" s="7"/>
      <c r="K3" s="7"/>
      <c r="L3" s="7"/>
      <c r="M3" s="7"/>
      <c r="N3" s="7"/>
      <c r="O3" s="7" t="s">
        <v>3358</v>
      </c>
      <c r="P3" s="19" t="s">
        <v>36</v>
      </c>
      <c r="Q3" s="7" t="s">
        <v>37</v>
      </c>
      <c r="R3" s="7"/>
      <c r="S3" s="19" t="s">
        <v>38</v>
      </c>
      <c r="T3" s="7" t="s">
        <v>39</v>
      </c>
      <c r="U3" s="7" t="s">
        <v>40</v>
      </c>
      <c r="V3" s="7"/>
      <c r="W3" s="66" t="s">
        <v>3356</v>
      </c>
      <c r="X3" s="3" t="s">
        <v>42</v>
      </c>
      <c r="Y3" s="3" t="s">
        <v>43</v>
      </c>
      <c r="Z3" s="3" t="s">
        <v>26</v>
      </c>
      <c r="AA3" s="3" t="s">
        <v>44</v>
      </c>
      <c r="AB3" s="66" t="s">
        <v>3244</v>
      </c>
      <c r="AC3" s="66" t="s">
        <v>3246</v>
      </c>
      <c r="AF3" s="3" t="s">
        <v>46</v>
      </c>
      <c r="AG3" s="3" t="s">
        <v>47</v>
      </c>
      <c r="AH3" s="66" t="s">
        <v>3344</v>
      </c>
      <c r="AI3" s="66" t="s">
        <v>3364</v>
      </c>
      <c r="AJ3" s="66" t="s">
        <v>3365</v>
      </c>
      <c r="AK3" s="102" t="s">
        <v>3426</v>
      </c>
      <c r="AL3" s="107" t="s">
        <v>3427</v>
      </c>
    </row>
    <row r="4" spans="1:38" s="38" customFormat="1" ht="16.149999999999999" customHeight="1" x14ac:dyDescent="0.45">
      <c r="A4" s="38">
        <f>10000000+B4*100000+C4*1000+D4*10</f>
        <v>10401010</v>
      </c>
      <c r="B4" s="41">
        <v>4</v>
      </c>
      <c r="C4" s="38">
        <v>1</v>
      </c>
      <c r="D4" s="38">
        <f t="shared" ref="D4:D21" si="0">IF(B4=B3,D3+1,1)</f>
        <v>1</v>
      </c>
      <c r="E4" s="38" t="s">
        <v>48</v>
      </c>
      <c r="F4" s="67" t="s">
        <v>3252</v>
      </c>
      <c r="G4" s="41" t="s">
        <v>3253</v>
      </c>
      <c r="H4" s="41">
        <v>4</v>
      </c>
      <c r="I4" s="41" t="s">
        <v>3103</v>
      </c>
      <c r="J4" s="38" t="str">
        <f t="shared" ref="J4:J17" si="1">G4&amp;H4&amp;I4</f>
        <v>升级居民房舍至4级</v>
      </c>
      <c r="K4" s="38">
        <f t="shared" ref="K4:K16" si="2">A4</f>
        <v>10401010</v>
      </c>
      <c r="M4" s="38">
        <v>667710</v>
      </c>
      <c r="N4" s="38" t="s">
        <v>51</v>
      </c>
      <c r="O4" s="38" t="s">
        <v>52</v>
      </c>
      <c r="P4" s="38" t="s">
        <v>53</v>
      </c>
      <c r="Q4" s="38" t="s">
        <v>52</v>
      </c>
      <c r="R4" s="38" t="s">
        <v>151</v>
      </c>
      <c r="S4" s="38" t="str">
        <f t="shared" ref="S4:S21" si="3">SUBSTITUTE(R4,"@@@",H4)</f>
        <v>buildingLevelUp{buildingType:202,buildingLevel:4}</v>
      </c>
      <c r="T4" s="38" t="s">
        <v>52</v>
      </c>
      <c r="V4" s="38" t="s">
        <v>153</v>
      </c>
      <c r="W4" s="38">
        <v>100178</v>
      </c>
      <c r="Y4" s="38" t="s">
        <v>56</v>
      </c>
      <c r="Z4" s="38" t="s">
        <v>57</v>
      </c>
      <c r="AB4" s="38">
        <v>6622004</v>
      </c>
      <c r="AK4" s="103"/>
      <c r="AL4" s="103"/>
    </row>
    <row r="5" spans="1:38" s="38" customFormat="1" ht="16.149999999999999" customHeight="1" x14ac:dyDescent="0.45">
      <c r="A5" s="95">
        <v>10401020</v>
      </c>
      <c r="B5" s="96">
        <v>4</v>
      </c>
      <c r="C5" s="95">
        <v>1</v>
      </c>
      <c r="D5" s="95">
        <v>2</v>
      </c>
      <c r="E5" s="95" t="s">
        <v>48</v>
      </c>
      <c r="F5" s="97" t="s">
        <v>77</v>
      </c>
      <c r="G5" s="96"/>
      <c r="H5" s="96"/>
      <c r="I5" s="96"/>
      <c r="J5" s="95" t="s">
        <v>3423</v>
      </c>
      <c r="K5" s="38">
        <f t="shared" si="2"/>
        <v>10401020</v>
      </c>
      <c r="L5" s="38" t="str">
        <f t="shared" ref="L5:L17" si="4">F4</f>
        <v>TID_BranchLineTaskConf_10410115_taskName_GL_Main</v>
      </c>
      <c r="M5" s="38">
        <f t="shared" ref="M5:M65" si="5">A4</f>
        <v>10401010</v>
      </c>
      <c r="N5" s="38" t="s">
        <v>51</v>
      </c>
      <c r="O5" s="38" t="s">
        <v>52</v>
      </c>
      <c r="P5" s="38" t="s">
        <v>53</v>
      </c>
      <c r="Q5" s="38" t="s">
        <v>52</v>
      </c>
      <c r="R5" s="99"/>
      <c r="S5" s="98" t="s">
        <v>3424</v>
      </c>
      <c r="T5" s="38" t="s">
        <v>52</v>
      </c>
      <c r="V5" s="38" t="s">
        <v>109</v>
      </c>
      <c r="W5" s="38">
        <v>100192</v>
      </c>
      <c r="Y5" s="38" t="s">
        <v>56</v>
      </c>
      <c r="Z5" s="38" t="s">
        <v>57</v>
      </c>
      <c r="AB5" s="38">
        <v>6622004</v>
      </c>
      <c r="AC5" s="59"/>
      <c r="AK5" s="103"/>
      <c r="AL5" s="103"/>
    </row>
    <row r="6" spans="1:38" s="38" customFormat="1" ht="16.149999999999999" customHeight="1" x14ac:dyDescent="0.45">
      <c r="A6" s="38">
        <f t="shared" ref="A5:A38" si="6">10000000+B6*100000+C6*1000+D6*10</f>
        <v>10401030</v>
      </c>
      <c r="B6" s="41">
        <v>4</v>
      </c>
      <c r="C6" s="38">
        <v>1</v>
      </c>
      <c r="D6" s="38">
        <f t="shared" si="0"/>
        <v>3</v>
      </c>
      <c r="E6" s="38" t="s">
        <v>48</v>
      </c>
      <c r="F6" s="67" t="s">
        <v>3289</v>
      </c>
      <c r="G6" s="41" t="s">
        <v>3273</v>
      </c>
      <c r="H6" s="41">
        <v>5</v>
      </c>
      <c r="I6" s="41" t="s">
        <v>3103</v>
      </c>
      <c r="J6" s="38" t="str">
        <f t="shared" si="1"/>
        <v>通过经验书升级任意英雄至5级</v>
      </c>
      <c r="K6" s="38">
        <f t="shared" si="2"/>
        <v>10401030</v>
      </c>
      <c r="L6" s="38" t="str">
        <f t="shared" si="4"/>
        <v>TID_BranchLineTaskConf_10401050_taskName_GL_Main</v>
      </c>
      <c r="M6" s="38">
        <f t="shared" si="5"/>
        <v>10401020</v>
      </c>
      <c r="N6" s="38" t="s">
        <v>51</v>
      </c>
      <c r="O6" s="38" t="s">
        <v>52</v>
      </c>
      <c r="P6" s="64" t="s">
        <v>3324</v>
      </c>
      <c r="Q6" s="38" t="s">
        <v>52</v>
      </c>
      <c r="R6" s="64" t="s">
        <v>3337</v>
      </c>
      <c r="S6" s="38" t="str">
        <f t="shared" si="3"/>
        <v>heroLevelUp{heroId:0,level:5}</v>
      </c>
      <c r="T6" s="38" t="s">
        <v>52</v>
      </c>
      <c r="U6" s="64"/>
      <c r="V6" s="67" t="s">
        <v>3323</v>
      </c>
      <c r="W6" s="78">
        <v>7110</v>
      </c>
      <c r="Y6" s="38" t="s">
        <v>56</v>
      </c>
      <c r="Z6" s="38" t="s">
        <v>57</v>
      </c>
      <c r="AB6" s="38">
        <v>6622004</v>
      </c>
      <c r="AK6" s="103"/>
      <c r="AL6" s="103"/>
    </row>
    <row r="7" spans="1:38" s="38" customFormat="1" ht="16.149999999999999" customHeight="1" x14ac:dyDescent="0.45">
      <c r="A7" s="38">
        <f t="shared" si="6"/>
        <v>10401040</v>
      </c>
      <c r="B7" s="41">
        <v>4</v>
      </c>
      <c r="C7" s="38">
        <v>1</v>
      </c>
      <c r="D7" s="38">
        <f t="shared" si="0"/>
        <v>4</v>
      </c>
      <c r="E7" s="38" t="s">
        <v>48</v>
      </c>
      <c r="F7" s="67" t="s">
        <v>3333</v>
      </c>
      <c r="G7" s="41" t="s">
        <v>3282</v>
      </c>
      <c r="H7" s="41">
        <v>1</v>
      </c>
      <c r="I7" s="41" t="s">
        <v>3283</v>
      </c>
      <c r="J7" s="38" t="str">
        <f t="shared" ref="J7" si="7">G7&amp;H7&amp;I7</f>
        <v>完成海岛战弈第1关</v>
      </c>
      <c r="K7" s="38">
        <f t="shared" si="2"/>
        <v>10401040</v>
      </c>
      <c r="L7" s="38" t="str">
        <f t="shared" si="4"/>
        <v>TID_BranchLineTaskConf_30000001_01_taskName_GL_Main</v>
      </c>
      <c r="M7" s="38">
        <f t="shared" si="5"/>
        <v>10401030</v>
      </c>
      <c r="N7" s="38" t="s">
        <v>51</v>
      </c>
      <c r="O7" s="38" t="s">
        <v>52</v>
      </c>
      <c r="P7" s="38" t="s">
        <v>53</v>
      </c>
      <c r="Q7" s="38" t="s">
        <v>52</v>
      </c>
      <c r="R7" s="64" t="s">
        <v>3338</v>
      </c>
      <c r="S7" s="38" t="str">
        <f t="shared" si="3"/>
        <v>autoChessPassLevel { level: 1,value:1}</v>
      </c>
      <c r="T7" s="38" t="s">
        <v>52</v>
      </c>
      <c r="U7" s="64"/>
      <c r="W7" s="77">
        <v>100342</v>
      </c>
      <c r="Y7" s="38" t="s">
        <v>56</v>
      </c>
      <c r="Z7" s="38" t="s">
        <v>57</v>
      </c>
      <c r="AB7" s="38">
        <v>6622004</v>
      </c>
      <c r="AK7" s="103"/>
      <c r="AL7" s="103"/>
    </row>
    <row r="8" spans="1:38" s="39" customFormat="1" x14ac:dyDescent="0.45">
      <c r="A8" s="39">
        <f t="shared" si="6"/>
        <v>10401050</v>
      </c>
      <c r="B8" s="42">
        <v>4</v>
      </c>
      <c r="C8" s="39">
        <v>1</v>
      </c>
      <c r="D8" s="39">
        <f t="shared" si="0"/>
        <v>5</v>
      </c>
      <c r="E8" s="39" t="s">
        <v>48</v>
      </c>
      <c r="F8" s="39" t="s">
        <v>3272</v>
      </c>
      <c r="G8" s="42" t="s">
        <v>3274</v>
      </c>
      <c r="H8" s="42"/>
      <c r="I8" s="42"/>
      <c r="J8" s="39" t="str">
        <f>G8&amp;H8&amp;I8</f>
        <v>训练农民到16名</v>
      </c>
      <c r="K8" s="39">
        <f t="shared" si="2"/>
        <v>10401050</v>
      </c>
      <c r="L8" s="39" t="str">
        <f t="shared" si="4"/>
        <v>TID_BranchLineTaskConf_20000001_01_taskName_GL_Main</v>
      </c>
      <c r="M8" s="39">
        <f t="shared" si="5"/>
        <v>10401040</v>
      </c>
      <c r="N8" s="39" t="s">
        <v>51</v>
      </c>
      <c r="O8" s="39" t="s">
        <v>52</v>
      </c>
      <c r="Q8" s="39" t="s">
        <v>52</v>
      </c>
      <c r="R8" s="39" t="s">
        <v>3275</v>
      </c>
      <c r="S8" s="39" t="str">
        <f>SUBSTITUTE(R8,"@@@",H8)</f>
        <v>statisticReach{type:"InnerPeasantTrainEvent",value:16}</v>
      </c>
      <c r="T8" s="39" t="s">
        <v>52</v>
      </c>
      <c r="U8" s="39" t="s">
        <v>66</v>
      </c>
      <c r="W8" s="39">
        <v>100190</v>
      </c>
      <c r="Y8" s="39" t="s">
        <v>56</v>
      </c>
      <c r="Z8" s="39" t="s">
        <v>57</v>
      </c>
      <c r="AB8" s="39">
        <v>6622004</v>
      </c>
      <c r="AK8" s="104"/>
      <c r="AL8" s="104"/>
    </row>
    <row r="9" spans="1:38" s="39" customFormat="1" x14ac:dyDescent="0.45">
      <c r="A9" s="39">
        <f t="shared" si="6"/>
        <v>10401060</v>
      </c>
      <c r="B9" s="42">
        <v>4</v>
      </c>
      <c r="C9" s="39">
        <v>1</v>
      </c>
      <c r="D9" s="39">
        <f t="shared" si="0"/>
        <v>6</v>
      </c>
      <c r="E9" s="39" t="s">
        <v>48</v>
      </c>
      <c r="F9" s="39" t="s">
        <v>3276</v>
      </c>
      <c r="G9" s="42" t="s">
        <v>3277</v>
      </c>
      <c r="H9" s="42"/>
      <c r="I9" s="42"/>
      <c r="J9" s="39" t="str">
        <f>G9&amp;H9&amp;I9</f>
        <v>派遣农民进伐木场</v>
      </c>
      <c r="K9" s="39">
        <f t="shared" si="2"/>
        <v>10401060</v>
      </c>
      <c r="L9" s="39" t="str">
        <f t="shared" si="4"/>
        <v>TID_BranchLineTaskConf_peasant_1_taskName_GL_Main</v>
      </c>
      <c r="M9" s="39">
        <f t="shared" si="5"/>
        <v>10401050</v>
      </c>
      <c r="N9" s="39" t="s">
        <v>51</v>
      </c>
      <c r="O9" s="39" t="s">
        <v>52</v>
      </c>
      <c r="Q9" s="39" t="s">
        <v>52</v>
      </c>
      <c r="R9" s="39" t="s">
        <v>3278</v>
      </c>
      <c r="S9" s="39" t="str">
        <f>SUBSTITUTE(R9,"@@@",H9)</f>
        <v>deployedFarmerToBuildingResource{cityElementType:204,value:1}</v>
      </c>
      <c r="T9" s="39" t="s">
        <v>52</v>
      </c>
      <c r="U9" s="39" t="s">
        <v>66</v>
      </c>
      <c r="V9" s="39" t="s">
        <v>70</v>
      </c>
      <c r="W9" s="39">
        <v>100212</v>
      </c>
      <c r="Y9" s="39" t="s">
        <v>56</v>
      </c>
      <c r="Z9" s="39" t="s">
        <v>57</v>
      </c>
      <c r="AB9" s="39">
        <v>6622006</v>
      </c>
      <c r="AK9" s="104"/>
      <c r="AL9" s="104"/>
    </row>
    <row r="10" spans="1:38" s="39" customFormat="1" x14ac:dyDescent="0.45">
      <c r="A10" s="39">
        <f t="shared" si="6"/>
        <v>10401070</v>
      </c>
      <c r="B10" s="42">
        <v>4</v>
      </c>
      <c r="C10" s="39">
        <v>1</v>
      </c>
      <c r="D10" s="39">
        <f t="shared" si="0"/>
        <v>7</v>
      </c>
      <c r="E10" s="39" t="s">
        <v>48</v>
      </c>
      <c r="F10" s="39" t="s">
        <v>3243</v>
      </c>
      <c r="G10" s="42" t="s">
        <v>3279</v>
      </c>
      <c r="H10" s="42">
        <v>4</v>
      </c>
      <c r="I10" s="42" t="s">
        <v>3103</v>
      </c>
      <c r="J10" s="39" t="str">
        <f>G10&amp;H10&amp;I10</f>
        <v>升级伐木场至4级</v>
      </c>
      <c r="K10" s="39">
        <f t="shared" si="2"/>
        <v>10401070</v>
      </c>
      <c r="L10" s="39" t="str">
        <f t="shared" si="4"/>
        <v>TID_BranchLineTaskConf_10601031_taskName_GL_Main</v>
      </c>
      <c r="M10" s="39">
        <f t="shared" si="5"/>
        <v>10401060</v>
      </c>
      <c r="N10" s="39" t="s">
        <v>51</v>
      </c>
      <c r="O10" s="39" t="s">
        <v>52</v>
      </c>
      <c r="Q10" s="39" t="s">
        <v>52</v>
      </c>
      <c r="R10" s="39" t="s">
        <v>3280</v>
      </c>
      <c r="S10" s="39" t="str">
        <f>SUBSTITUTE(R10,"@@@",H10)</f>
        <v>buildingLevelUp{buildingType:204,buildingLevel:4}</v>
      </c>
      <c r="T10" s="39" t="s">
        <v>52</v>
      </c>
      <c r="U10" s="39" t="s">
        <v>69</v>
      </c>
      <c r="V10" s="39" t="s">
        <v>74</v>
      </c>
      <c r="W10" s="39">
        <v>100180</v>
      </c>
      <c r="Y10" s="39" t="s">
        <v>56</v>
      </c>
      <c r="Z10" s="39" t="s">
        <v>57</v>
      </c>
      <c r="AB10" s="39">
        <v>6622006</v>
      </c>
      <c r="AK10" s="104"/>
      <c r="AL10" s="104"/>
    </row>
    <row r="11" spans="1:38" s="39" customFormat="1" x14ac:dyDescent="0.45">
      <c r="A11" s="39">
        <f t="shared" si="6"/>
        <v>10401080</v>
      </c>
      <c r="B11" s="42">
        <v>4</v>
      </c>
      <c r="C11" s="39">
        <v>1</v>
      </c>
      <c r="D11" s="39">
        <f t="shared" si="0"/>
        <v>8</v>
      </c>
      <c r="E11" s="39" t="s">
        <v>48</v>
      </c>
      <c r="F11" s="39" t="s">
        <v>3284</v>
      </c>
      <c r="G11" s="42" t="s">
        <v>3285</v>
      </c>
      <c r="H11" s="42">
        <v>4</v>
      </c>
      <c r="I11" s="42" t="s">
        <v>3103</v>
      </c>
      <c r="J11" s="39" t="str">
        <f>G11&amp;H11&amp;I11</f>
        <v>升级磨坊至4级</v>
      </c>
      <c r="K11" s="39">
        <f t="shared" si="2"/>
        <v>10401080</v>
      </c>
      <c r="L11" s="39" t="str">
        <f t="shared" si="4"/>
        <v>TID_BranchLineTaskConfSpecial_204_1_taskName_GL_Main</v>
      </c>
      <c r="M11" s="39">
        <f t="shared" si="5"/>
        <v>10401070</v>
      </c>
      <c r="N11" s="39" t="s">
        <v>51</v>
      </c>
      <c r="O11" s="39" t="s">
        <v>52</v>
      </c>
      <c r="Q11" s="39" t="s">
        <v>52</v>
      </c>
      <c r="R11" s="39" t="s">
        <v>3286</v>
      </c>
      <c r="S11" s="39" t="str">
        <f>SUBSTITUTE(R11,"@@@",H11)</f>
        <v>buildingLevelUp{buildingType:203,buildingLevel:4}</v>
      </c>
      <c r="T11" s="39" t="s">
        <v>52</v>
      </c>
      <c r="U11" s="39" t="s">
        <v>73</v>
      </c>
      <c r="V11" s="39" t="s">
        <v>76</v>
      </c>
      <c r="W11" s="39">
        <v>100179</v>
      </c>
      <c r="Y11" s="39" t="s">
        <v>56</v>
      </c>
      <c r="Z11" s="39" t="s">
        <v>57</v>
      </c>
      <c r="AB11" s="39">
        <v>6622004</v>
      </c>
      <c r="AK11" s="104"/>
      <c r="AL11" s="104"/>
    </row>
    <row r="12" spans="1:38" s="38" customFormat="1" ht="16.149999999999999" customHeight="1" x14ac:dyDescent="0.45">
      <c r="A12" s="38">
        <f t="shared" si="6"/>
        <v>10401090</v>
      </c>
      <c r="B12" s="41">
        <v>4</v>
      </c>
      <c r="C12" s="38">
        <v>1</v>
      </c>
      <c r="D12" s="38">
        <f t="shared" si="0"/>
        <v>9</v>
      </c>
      <c r="E12" s="38" t="s">
        <v>48</v>
      </c>
      <c r="F12" s="67" t="s">
        <v>3334</v>
      </c>
      <c r="G12" s="41" t="s">
        <v>3282</v>
      </c>
      <c r="H12" s="41">
        <v>2</v>
      </c>
      <c r="I12" s="41" t="s">
        <v>3283</v>
      </c>
      <c r="J12" s="38" t="str">
        <f t="shared" ref="J12:J13" si="8">G12&amp;H12&amp;I12</f>
        <v>完成海岛战弈第2关</v>
      </c>
      <c r="K12" s="38">
        <f t="shared" si="2"/>
        <v>10401090</v>
      </c>
      <c r="L12" s="38" t="str">
        <f t="shared" si="4"/>
        <v>TID_BranchLineTaskConfSpecial_203_1_taskName_GL_Main</v>
      </c>
      <c r="M12" s="38">
        <f t="shared" si="5"/>
        <v>10401080</v>
      </c>
      <c r="N12" s="38" t="s">
        <v>51</v>
      </c>
      <c r="O12" s="38" t="s">
        <v>52</v>
      </c>
      <c r="Q12" s="38" t="s">
        <v>52</v>
      </c>
      <c r="R12" s="64" t="s">
        <v>3338</v>
      </c>
      <c r="S12" s="38" t="str">
        <f t="shared" si="3"/>
        <v>autoChessPassLevel { level: 2,value:1}</v>
      </c>
      <c r="T12" s="38" t="s">
        <v>52</v>
      </c>
      <c r="W12" s="77">
        <v>100342</v>
      </c>
      <c r="Y12" s="38" t="s">
        <v>56</v>
      </c>
      <c r="Z12" s="38" t="s">
        <v>57</v>
      </c>
      <c r="AB12" s="38">
        <v>6622004</v>
      </c>
      <c r="AK12" s="103"/>
      <c r="AL12" s="103"/>
    </row>
    <row r="13" spans="1:38" s="89" customFormat="1" ht="16.149999999999999" customHeight="1" x14ac:dyDescent="0.45">
      <c r="A13" s="89">
        <f t="shared" si="6"/>
        <v>10401100</v>
      </c>
      <c r="B13" s="90">
        <v>4</v>
      </c>
      <c r="C13" s="89">
        <v>1</v>
      </c>
      <c r="D13" s="89">
        <f t="shared" si="0"/>
        <v>10</v>
      </c>
      <c r="E13" s="89" t="s">
        <v>48</v>
      </c>
      <c r="F13" s="91" t="s">
        <v>3288</v>
      </c>
      <c r="G13" s="90" t="s">
        <v>3321</v>
      </c>
      <c r="H13" s="90">
        <v>5</v>
      </c>
      <c r="I13" s="90" t="s">
        <v>63</v>
      </c>
      <c r="J13" s="89" t="str">
        <f t="shared" si="8"/>
        <v>任意英雄固有技能升级至5级</v>
      </c>
      <c r="K13" s="89">
        <f t="shared" si="2"/>
        <v>10401100</v>
      </c>
      <c r="L13" s="89" t="str">
        <f t="shared" si="4"/>
        <v>TID_BranchLineTaskConf_20000001_02_taskName_GL_Main</v>
      </c>
      <c r="M13" s="89">
        <f t="shared" si="5"/>
        <v>10401090</v>
      </c>
      <c r="N13" s="89" t="s">
        <v>51</v>
      </c>
      <c r="O13" s="89" t="s">
        <v>52</v>
      </c>
      <c r="Q13" s="89" t="s">
        <v>52</v>
      </c>
      <c r="S13" s="91" t="s">
        <v>3428</v>
      </c>
      <c r="T13" s="89" t="s">
        <v>52</v>
      </c>
      <c r="V13" s="92" t="s">
        <v>3323</v>
      </c>
      <c r="W13" s="93">
        <v>7110</v>
      </c>
      <c r="Y13" s="89" t="s">
        <v>56</v>
      </c>
      <c r="Z13" s="89" t="s">
        <v>57</v>
      </c>
      <c r="AB13" s="89">
        <v>6622004</v>
      </c>
      <c r="AK13" s="94" t="b">
        <v>1</v>
      </c>
      <c r="AL13" s="94" t="b">
        <v>1</v>
      </c>
    </row>
    <row r="14" spans="1:38" s="68" customFormat="1" ht="16.149999999999999" customHeight="1" x14ac:dyDescent="0.45">
      <c r="A14" s="68">
        <f t="shared" si="6"/>
        <v>10401110</v>
      </c>
      <c r="B14" s="41">
        <v>4</v>
      </c>
      <c r="C14" s="68">
        <v>1</v>
      </c>
      <c r="D14" s="68">
        <f t="shared" si="0"/>
        <v>11</v>
      </c>
      <c r="E14" s="68" t="s">
        <v>48</v>
      </c>
      <c r="F14" s="64" t="s">
        <v>3360</v>
      </c>
      <c r="G14" s="41" t="s">
        <v>79</v>
      </c>
      <c r="H14" s="41">
        <v>1</v>
      </c>
      <c r="I14" s="41" t="s">
        <v>80</v>
      </c>
      <c r="J14" s="68" t="str">
        <f>G14&amp;H14&amp;I14</f>
        <v>训练1级剑士1名</v>
      </c>
      <c r="K14" s="68">
        <f t="shared" si="2"/>
        <v>10401110</v>
      </c>
      <c r="L14" s="68" t="str">
        <f t="shared" si="4"/>
        <v>TID_BranchLineTaskConf_10510114_taskName_GL_Main</v>
      </c>
      <c r="M14" s="68">
        <f t="shared" si="5"/>
        <v>10401100</v>
      </c>
      <c r="N14" s="68" t="s">
        <v>51</v>
      </c>
      <c r="O14" s="68" t="s">
        <v>52</v>
      </c>
      <c r="Q14" s="64" t="s">
        <v>3370</v>
      </c>
      <c r="S14" s="81" t="s">
        <v>81</v>
      </c>
      <c r="T14" s="68" t="s">
        <v>52</v>
      </c>
      <c r="U14" s="68" t="s">
        <v>81</v>
      </c>
      <c r="V14" s="68" t="s">
        <v>82</v>
      </c>
      <c r="W14" s="68">
        <v>100207</v>
      </c>
      <c r="Y14" s="68" t="s">
        <v>56</v>
      </c>
      <c r="Z14" s="68" t="s">
        <v>57</v>
      </c>
      <c r="AB14" s="68">
        <v>6622004</v>
      </c>
      <c r="AK14" s="105"/>
      <c r="AL14" s="105"/>
    </row>
    <row r="15" spans="1:38" s="68" customFormat="1" ht="16.149999999999999" customHeight="1" x14ac:dyDescent="0.45">
      <c r="B15" s="41"/>
      <c r="F15" s="64"/>
      <c r="G15" s="41"/>
      <c r="H15" s="41"/>
      <c r="I15" s="41"/>
      <c r="S15" s="81" t="s">
        <v>3368</v>
      </c>
      <c r="AK15" s="105"/>
      <c r="AL15" s="105"/>
    </row>
    <row r="16" spans="1:38" s="38" customFormat="1" ht="16.149999999999999" customHeight="1" x14ac:dyDescent="0.45">
      <c r="A16" s="38">
        <f t="shared" si="6"/>
        <v>10401120</v>
      </c>
      <c r="B16" s="41">
        <v>4</v>
      </c>
      <c r="C16" s="38">
        <v>1</v>
      </c>
      <c r="D16" s="38">
        <f>IF(B16=B14,D14+1,1)</f>
        <v>12</v>
      </c>
      <c r="E16" s="38" t="s">
        <v>48</v>
      </c>
      <c r="F16" s="67" t="s">
        <v>3255</v>
      </c>
      <c r="G16" s="41" t="s">
        <v>3256</v>
      </c>
      <c r="H16" s="41">
        <v>4</v>
      </c>
      <c r="I16" s="41" t="s">
        <v>3103</v>
      </c>
      <c r="J16" s="38" t="str">
        <f t="shared" si="1"/>
        <v>升级剑士营至4级</v>
      </c>
      <c r="K16" s="38">
        <f t="shared" si="2"/>
        <v>10401120</v>
      </c>
      <c r="L16" s="38" t="str">
        <f>F14</f>
        <v>TID_BranchLineTaskConf_10401030_2_taskName_GL_Main</v>
      </c>
      <c r="M16" s="38">
        <f>A14</f>
        <v>10401110</v>
      </c>
      <c r="N16" s="38" t="s">
        <v>51</v>
      </c>
      <c r="O16" s="38" t="s">
        <v>52</v>
      </c>
      <c r="Q16" s="38" t="s">
        <v>52</v>
      </c>
      <c r="R16" s="38" t="s">
        <v>184</v>
      </c>
      <c r="S16" s="38" t="str">
        <f t="shared" si="3"/>
        <v>buildingLevelUp{buildingType:206,buildingLevel:4}</v>
      </c>
      <c r="T16" s="38" t="s">
        <v>52</v>
      </c>
      <c r="U16" s="64"/>
      <c r="V16" s="38" t="s">
        <v>185</v>
      </c>
      <c r="W16" s="38">
        <v>100182</v>
      </c>
      <c r="Y16" s="38" t="s">
        <v>56</v>
      </c>
      <c r="Z16" s="38" t="s">
        <v>57</v>
      </c>
      <c r="AB16" s="38">
        <v>6622004</v>
      </c>
      <c r="AK16" s="103"/>
      <c r="AL16" s="103"/>
    </row>
    <row r="17" spans="1:36" s="39" customFormat="1" x14ac:dyDescent="0.45">
      <c r="A17" s="39">
        <f t="shared" ref="A17:A28" si="9">10000000+B17*100000+C17*1000+D17*10</f>
        <v>10401130</v>
      </c>
      <c r="B17" s="42">
        <v>4</v>
      </c>
      <c r="C17" s="39">
        <v>1</v>
      </c>
      <c r="D17" s="39">
        <f t="shared" si="0"/>
        <v>13</v>
      </c>
      <c r="E17" s="39" t="s">
        <v>48</v>
      </c>
      <c r="F17" s="65" t="s">
        <v>3281</v>
      </c>
      <c r="G17" s="42" t="s">
        <v>3282</v>
      </c>
      <c r="H17" s="42">
        <v>3</v>
      </c>
      <c r="I17" s="42" t="s">
        <v>3283</v>
      </c>
      <c r="J17" s="39" t="str">
        <f t="shared" si="1"/>
        <v>完成海岛战弈第3关</v>
      </c>
      <c r="K17" s="39">
        <f t="shared" ref="K17:K28" si="10">A17</f>
        <v>10401130</v>
      </c>
      <c r="L17" s="39" t="str">
        <f t="shared" si="4"/>
        <v>TID_BranchLineTaskConf_10401020_taskName_GL_Main</v>
      </c>
      <c r="M17" s="39">
        <f t="shared" si="5"/>
        <v>10401120</v>
      </c>
      <c r="N17" s="39" t="s">
        <v>51</v>
      </c>
      <c r="O17" s="39" t="s">
        <v>52</v>
      </c>
      <c r="Q17" s="39" t="s">
        <v>52</v>
      </c>
      <c r="R17" s="64" t="s">
        <v>3338</v>
      </c>
      <c r="S17" s="39" t="str">
        <f t="shared" si="3"/>
        <v>autoChessPassLevel { level: 3,value:1}</v>
      </c>
      <c r="T17" s="39" t="s">
        <v>52</v>
      </c>
      <c r="W17" s="77">
        <v>100342</v>
      </c>
      <c r="Y17" s="39" t="s">
        <v>56</v>
      </c>
      <c r="Z17" s="39" t="s">
        <v>57</v>
      </c>
      <c r="AB17" s="39">
        <v>6622004</v>
      </c>
    </row>
    <row r="18" spans="1:36" s="39" customFormat="1" x14ac:dyDescent="0.45">
      <c r="A18" s="39">
        <f t="shared" si="9"/>
        <v>10401140</v>
      </c>
      <c r="B18" s="42">
        <v>4</v>
      </c>
      <c r="C18" s="39">
        <v>1</v>
      </c>
      <c r="D18" s="39">
        <f t="shared" si="0"/>
        <v>14</v>
      </c>
      <c r="E18" s="39" t="s">
        <v>48</v>
      </c>
      <c r="F18" s="65" t="s">
        <v>3290</v>
      </c>
      <c r="G18" s="42" t="s">
        <v>3273</v>
      </c>
      <c r="H18" s="42">
        <v>8</v>
      </c>
      <c r="I18" s="42" t="s">
        <v>3103</v>
      </c>
      <c r="J18" s="42" t="str">
        <f t="shared" ref="J18" si="11">G18&amp;H18&amp;I18</f>
        <v>通过经验书升级任意英雄至8级</v>
      </c>
      <c r="K18" s="39">
        <f t="shared" si="10"/>
        <v>10401140</v>
      </c>
      <c r="L18" s="39" t="str">
        <f>F20</f>
        <v>TID_BranchLineTaskConf_222_1_taskName_GL_Main</v>
      </c>
      <c r="M18" s="39">
        <f t="shared" si="5"/>
        <v>10401130</v>
      </c>
      <c r="N18" s="39" t="s">
        <v>51</v>
      </c>
      <c r="O18" s="39" t="s">
        <v>52</v>
      </c>
      <c r="Q18" s="39" t="s">
        <v>52</v>
      </c>
      <c r="R18" s="39" t="s">
        <v>64</v>
      </c>
      <c r="S18" s="39" t="str">
        <f t="shared" si="3"/>
        <v>heroLevelUp{heroId:0,level:8}</v>
      </c>
      <c r="T18" s="39" t="s">
        <v>52</v>
      </c>
      <c r="V18" s="67" t="s">
        <v>3323</v>
      </c>
      <c r="W18" s="78">
        <v>7110</v>
      </c>
      <c r="Y18" s="39" t="s">
        <v>56</v>
      </c>
      <c r="Z18" s="39" t="s">
        <v>57</v>
      </c>
      <c r="AB18" s="39">
        <v>6622005</v>
      </c>
    </row>
    <row r="19" spans="1:36" s="39" customFormat="1" x14ac:dyDescent="0.45">
      <c r="A19" s="39">
        <f t="shared" si="9"/>
        <v>10401150</v>
      </c>
      <c r="B19" s="42">
        <v>4</v>
      </c>
      <c r="C19" s="39">
        <v>1</v>
      </c>
      <c r="D19" s="39">
        <f t="shared" si="0"/>
        <v>15</v>
      </c>
      <c r="E19" s="39" t="s">
        <v>48</v>
      </c>
      <c r="F19" s="65" t="s">
        <v>3359</v>
      </c>
      <c r="G19" s="42" t="s">
        <v>96</v>
      </c>
      <c r="H19" s="42">
        <v>5</v>
      </c>
      <c r="I19" s="42" t="s">
        <v>63</v>
      </c>
      <c r="J19" s="39" t="str">
        <f t="shared" ref="J19:J21" si="12">G19&amp;H19&amp;I19</f>
        <v>升级城镇中心至5级</v>
      </c>
      <c r="K19" s="39">
        <f t="shared" si="10"/>
        <v>10401150</v>
      </c>
      <c r="L19" s="39" t="str">
        <f>F21</f>
        <v>TID_BranchLineTaskConf_215_1_taskName_GL_Main</v>
      </c>
      <c r="M19" s="39">
        <f t="shared" si="5"/>
        <v>10401140</v>
      </c>
      <c r="N19" s="39" t="s">
        <v>51</v>
      </c>
      <c r="O19" s="39" t="s">
        <v>52</v>
      </c>
      <c r="Q19" s="39" t="s">
        <v>52</v>
      </c>
      <c r="R19" s="39" t="s">
        <v>97</v>
      </c>
      <c r="S19" s="39" t="str">
        <f>SUBSTITUTE(R19,"@@@",H19)</f>
        <v>buildingLevelUp{buildingType:201,buildingLevel:5}</v>
      </c>
      <c r="T19" s="39" t="s">
        <v>52</v>
      </c>
      <c r="U19" s="65" t="s">
        <v>3362</v>
      </c>
      <c r="V19" s="39" t="s">
        <v>99</v>
      </c>
      <c r="W19" s="39">
        <v>100177</v>
      </c>
      <c r="Y19" s="39" t="s">
        <v>56</v>
      </c>
      <c r="Z19" s="39" t="s">
        <v>57</v>
      </c>
      <c r="AB19" s="39">
        <v>6622005</v>
      </c>
    </row>
    <row r="20" spans="1:36" s="39" customFormat="1" x14ac:dyDescent="0.45">
      <c r="A20" s="39">
        <f t="shared" si="9"/>
        <v>10401160</v>
      </c>
      <c r="B20" s="42">
        <v>4</v>
      </c>
      <c r="C20" s="39">
        <v>1</v>
      </c>
      <c r="D20" s="39">
        <f t="shared" si="0"/>
        <v>16</v>
      </c>
      <c r="E20" s="39" t="s">
        <v>48</v>
      </c>
      <c r="F20" s="39" t="s">
        <v>100</v>
      </c>
      <c r="G20" s="42" t="s">
        <v>101</v>
      </c>
      <c r="H20" s="42">
        <v>4</v>
      </c>
      <c r="I20" s="42" t="s">
        <v>63</v>
      </c>
      <c r="J20" s="39" t="str">
        <f t="shared" si="12"/>
        <v>升级治疗房舍至4级</v>
      </c>
      <c r="K20" s="39">
        <f t="shared" si="10"/>
        <v>10401160</v>
      </c>
      <c r="L20" s="39" t="str">
        <f t="shared" ref="L20:L28" si="13">F33</f>
        <v>TID_BranchLineTaskConf_10410122_taskName_GL_Main</v>
      </c>
      <c r="M20" s="39">
        <f t="shared" si="5"/>
        <v>10401150</v>
      </c>
      <c r="N20" s="39" t="s">
        <v>51</v>
      </c>
      <c r="O20" s="39" t="s">
        <v>52</v>
      </c>
      <c r="Q20" s="39" t="s">
        <v>52</v>
      </c>
      <c r="R20" s="39" t="s">
        <v>102</v>
      </c>
      <c r="S20" s="39" t="str">
        <f t="shared" si="3"/>
        <v>buildingLevelUp{buildingType:222,buildingLevel:4}</v>
      </c>
      <c r="T20" s="39" t="s">
        <v>52</v>
      </c>
      <c r="U20" s="39" t="s">
        <v>103</v>
      </c>
      <c r="V20" s="39" t="s">
        <v>104</v>
      </c>
      <c r="W20" s="39">
        <v>100185</v>
      </c>
      <c r="Y20" s="39" t="s">
        <v>56</v>
      </c>
      <c r="Z20" s="39" t="s">
        <v>57</v>
      </c>
      <c r="AB20" s="39">
        <v>6622005</v>
      </c>
    </row>
    <row r="21" spans="1:36" s="39" customFormat="1" x14ac:dyDescent="0.45">
      <c r="A21" s="39">
        <f t="shared" si="9"/>
        <v>10401170</v>
      </c>
      <c r="B21" s="42">
        <v>4</v>
      </c>
      <c r="C21" s="39">
        <v>1</v>
      </c>
      <c r="D21" s="39">
        <f t="shared" si="0"/>
        <v>17</v>
      </c>
      <c r="E21" s="39" t="s">
        <v>48</v>
      </c>
      <c r="F21" s="39" t="s">
        <v>105</v>
      </c>
      <c r="G21" s="42" t="s">
        <v>106</v>
      </c>
      <c r="H21" s="42">
        <v>4</v>
      </c>
      <c r="I21" s="42" t="s">
        <v>63</v>
      </c>
      <c r="J21" s="39" t="str">
        <f t="shared" si="12"/>
        <v>升级城墙至4级</v>
      </c>
      <c r="K21" s="39">
        <f t="shared" si="10"/>
        <v>10401170</v>
      </c>
      <c r="L21" s="39" t="str">
        <f t="shared" si="13"/>
        <v>TID_BranchLineTaskConf_226_1_taskName_GL_Main</v>
      </c>
      <c r="M21" s="39">
        <f t="shared" si="5"/>
        <v>10401160</v>
      </c>
      <c r="N21" s="39" t="s">
        <v>51</v>
      </c>
      <c r="O21" s="39" t="s">
        <v>52</v>
      </c>
      <c r="Q21" s="39" t="s">
        <v>52</v>
      </c>
      <c r="R21" s="39" t="s">
        <v>107</v>
      </c>
      <c r="S21" s="39" t="str">
        <f t="shared" si="3"/>
        <v>buildingLevelUp{buildingType:215,buildingLevel:4}</v>
      </c>
      <c r="T21" s="39" t="s">
        <v>52</v>
      </c>
      <c r="U21" s="39" t="s">
        <v>108</v>
      </c>
      <c r="V21" s="39" t="s">
        <v>109</v>
      </c>
      <c r="W21" s="39">
        <v>100184</v>
      </c>
      <c r="Y21" s="39" t="s">
        <v>56</v>
      </c>
      <c r="Z21" s="39" t="s">
        <v>57</v>
      </c>
      <c r="AB21" s="39">
        <v>6622004</v>
      </c>
    </row>
    <row r="22" spans="1:36" s="38" customFormat="1" ht="16.149999999999999" customHeight="1" x14ac:dyDescent="0.45">
      <c r="A22" s="38">
        <f>10000000+B22*100000+C22*1000+D22*10</f>
        <v>10501010</v>
      </c>
      <c r="B22" s="41">
        <v>5</v>
      </c>
      <c r="C22" s="38">
        <v>1</v>
      </c>
      <c r="D22" s="38">
        <v>1</v>
      </c>
      <c r="E22" s="38" t="s">
        <v>48</v>
      </c>
      <c r="F22" s="64" t="s">
        <v>116</v>
      </c>
      <c r="G22" s="41" t="s">
        <v>75</v>
      </c>
      <c r="H22" s="41">
        <v>1</v>
      </c>
      <c r="I22" s="41" t="s">
        <v>117</v>
      </c>
      <c r="J22" s="38" t="str">
        <f>G22&amp;H22&amp;I22</f>
        <v>建造1个学院</v>
      </c>
      <c r="K22" s="38">
        <f>A22</f>
        <v>10501010</v>
      </c>
      <c r="L22" s="38" t="str">
        <f t="shared" si="13"/>
        <v>TID_BranchLineTaskConf_215_2_taskName_GL_Main</v>
      </c>
      <c r="M22" s="38">
        <f t="shared" si="5"/>
        <v>10401170</v>
      </c>
      <c r="N22" s="38" t="s">
        <v>51</v>
      </c>
      <c r="O22" s="38" t="s">
        <v>52</v>
      </c>
      <c r="Q22" s="38" t="s">
        <v>52</v>
      </c>
      <c r="R22" s="64" t="s">
        <v>3336</v>
      </c>
      <c r="S22" s="38" t="str">
        <f>SUBSTITUTE(R22,"@@@",H22)</f>
        <v>buildingSum{buildingType:211,sum:1}</v>
      </c>
      <c r="T22" s="38" t="s">
        <v>52</v>
      </c>
      <c r="W22" s="38">
        <v>100305</v>
      </c>
      <c r="Y22" s="38" t="s">
        <v>56</v>
      </c>
      <c r="Z22" s="38" t="s">
        <v>57</v>
      </c>
      <c r="AB22" s="38">
        <v>6622004</v>
      </c>
    </row>
    <row r="23" spans="1:36" s="38" customFormat="1" ht="16.149999999999999" customHeight="1" x14ac:dyDescent="0.45">
      <c r="A23" s="38">
        <f>10000000+B23*100000+C23*1000+D23*10</f>
        <v>10501020</v>
      </c>
      <c r="B23" s="41">
        <v>5</v>
      </c>
      <c r="C23" s="38">
        <v>1</v>
      </c>
      <c r="D23" s="38">
        <v>2</v>
      </c>
      <c r="E23" s="38" t="s">
        <v>48</v>
      </c>
      <c r="F23" s="64" t="s">
        <v>118</v>
      </c>
      <c r="G23" s="41" t="s">
        <v>119</v>
      </c>
      <c r="H23" s="41">
        <v>1</v>
      </c>
      <c r="I23" s="41" t="s">
        <v>63</v>
      </c>
      <c r="J23" s="38" t="str">
        <f>G23&amp;H23&amp;I23</f>
        <v>研究[全兵种训练速度1]科技至1级</v>
      </c>
      <c r="K23" s="38">
        <f>A23</f>
        <v>10501020</v>
      </c>
      <c r="L23" s="38" t="str">
        <f t="shared" si="13"/>
        <v>TID_BranchLineTaskConf_10510118_taskName_GL_Main</v>
      </c>
      <c r="M23" s="38">
        <f t="shared" si="5"/>
        <v>10501010</v>
      </c>
      <c r="N23" s="38" t="s">
        <v>51</v>
      </c>
      <c r="O23" s="38" t="s">
        <v>52</v>
      </c>
      <c r="Q23" s="38" t="s">
        <v>52</v>
      </c>
      <c r="R23" s="38" t="s">
        <v>120</v>
      </c>
      <c r="S23" s="38" t="str">
        <f>SUBSTITUTE(R23,"@@@",H23)</f>
        <v>castleScienceMultiLevelUp {techId:10101,level:1,relationIfWith:true}</v>
      </c>
      <c r="T23" s="38" t="s">
        <v>52</v>
      </c>
      <c r="U23" s="38" t="s">
        <v>121</v>
      </c>
      <c r="V23" s="38" t="s">
        <v>122</v>
      </c>
      <c r="W23" s="38">
        <v>100208</v>
      </c>
      <c r="Y23" s="38" t="s">
        <v>56</v>
      </c>
      <c r="Z23" s="38" t="s">
        <v>57</v>
      </c>
      <c r="AB23" s="38">
        <v>6622005</v>
      </c>
    </row>
    <row r="24" spans="1:36" s="38" customFormat="1" ht="16.149999999999999" customHeight="1" x14ac:dyDescent="0.45">
      <c r="A24" s="38">
        <f>10000000+B24*100000+C24*1000+D24*10</f>
        <v>10501030</v>
      </c>
      <c r="B24" s="41">
        <v>5</v>
      </c>
      <c r="C24" s="38">
        <v>1</v>
      </c>
      <c r="D24" s="38">
        <v>3</v>
      </c>
      <c r="E24" s="38" t="s">
        <v>48</v>
      </c>
      <c r="F24" s="64" t="s">
        <v>123</v>
      </c>
      <c r="G24" s="41" t="s">
        <v>124</v>
      </c>
      <c r="H24" s="41">
        <v>3</v>
      </c>
      <c r="I24" s="41" t="s">
        <v>63</v>
      </c>
      <c r="J24" s="38" t="str">
        <f>G24&amp;H24&amp;I24</f>
        <v>升级学院至3级</v>
      </c>
      <c r="K24" s="38">
        <f>A24</f>
        <v>10501030</v>
      </c>
      <c r="L24" s="38" t="str">
        <f t="shared" si="13"/>
        <v>TID_BranchLineTaskConf_10410111_taskName_GL_Main</v>
      </c>
      <c r="M24" s="38">
        <f t="shared" si="5"/>
        <v>10501020</v>
      </c>
      <c r="N24" s="38" t="s">
        <v>51</v>
      </c>
      <c r="O24" s="38" t="s">
        <v>52</v>
      </c>
      <c r="Q24" s="38" t="s">
        <v>52</v>
      </c>
      <c r="R24" s="38" t="s">
        <v>125</v>
      </c>
      <c r="S24" s="38" t="str">
        <f>SUBSTITUTE(R24,"@@@",H24)</f>
        <v>buildingLevelUp{buildingType:211,buildingLevel:3}</v>
      </c>
      <c r="T24" s="38" t="s">
        <v>52</v>
      </c>
      <c r="U24" s="38" t="s">
        <v>126</v>
      </c>
      <c r="V24" s="38" t="s">
        <v>127</v>
      </c>
      <c r="W24" s="38">
        <v>100328</v>
      </c>
      <c r="Y24" s="38" t="s">
        <v>56</v>
      </c>
      <c r="Z24" s="38" t="s">
        <v>57</v>
      </c>
      <c r="AB24" s="38">
        <v>6622012</v>
      </c>
    </row>
    <row r="25" spans="1:36" s="38" customFormat="1" ht="16.149999999999999" customHeight="1" x14ac:dyDescent="0.45">
      <c r="A25" s="38">
        <f>10000000+B25*100000+C25*1000+D25*10</f>
        <v>10501040</v>
      </c>
      <c r="B25" s="41">
        <v>5</v>
      </c>
      <c r="C25" s="38">
        <v>1</v>
      </c>
      <c r="D25" s="38">
        <v>4</v>
      </c>
      <c r="E25" s="38" t="s">
        <v>48</v>
      </c>
      <c r="F25" s="64" t="s">
        <v>128</v>
      </c>
      <c r="G25" s="41" t="s">
        <v>129</v>
      </c>
      <c r="H25" s="41"/>
      <c r="I25" s="41" t="s">
        <v>130</v>
      </c>
      <c r="J25" s="38" t="str">
        <f>G25&amp;H25&amp;I25</f>
        <v>研究科技解锁[剑士攻击1级]</v>
      </c>
      <c r="K25" s="38">
        <f>A25</f>
        <v>10501040</v>
      </c>
      <c r="L25" s="38" t="str">
        <f t="shared" si="13"/>
        <v>TID_BranchLineTaskConf_10510104_taskName_GL_Main</v>
      </c>
      <c r="M25" s="38">
        <f t="shared" si="5"/>
        <v>10501030</v>
      </c>
      <c r="N25" s="38" t="s">
        <v>51</v>
      </c>
      <c r="O25" s="38" t="s">
        <v>52</v>
      </c>
      <c r="Q25" s="38" t="s">
        <v>52</v>
      </c>
      <c r="R25" s="38" t="s">
        <v>131</v>
      </c>
      <c r="S25" s="38" t="str">
        <f>SUBSTITUTE(R25,"@@@",H25)</f>
        <v>castleScienceMultiLevelUp {techId:10201,level:1,relationIfWith:false}</v>
      </c>
      <c r="T25" s="38" t="s">
        <v>52</v>
      </c>
      <c r="U25" s="38" t="s">
        <v>121</v>
      </c>
      <c r="V25" s="38" t="s">
        <v>132</v>
      </c>
      <c r="W25" s="38">
        <v>100142</v>
      </c>
      <c r="Y25" s="38" t="s">
        <v>56</v>
      </c>
      <c r="Z25" s="38" t="s">
        <v>57</v>
      </c>
      <c r="AB25" s="38">
        <v>6622008</v>
      </c>
    </row>
    <row r="26" spans="1:36" s="39" customFormat="1" x14ac:dyDescent="0.45">
      <c r="A26" s="39">
        <f>10000000+B26*100000+C26*1000+D26*10</f>
        <v>10501050</v>
      </c>
      <c r="B26" s="42">
        <v>5</v>
      </c>
      <c r="C26" s="39">
        <v>1</v>
      </c>
      <c r="D26" s="39">
        <v>5</v>
      </c>
      <c r="E26" s="39" t="s">
        <v>48</v>
      </c>
      <c r="F26" s="39" t="s">
        <v>3287</v>
      </c>
      <c r="G26" s="39" t="s">
        <v>3282</v>
      </c>
      <c r="H26" s="39">
        <v>4</v>
      </c>
      <c r="I26" s="39" t="s">
        <v>3283</v>
      </c>
      <c r="J26" s="65" t="str">
        <f t="shared" ref="J26" si="14">G26&amp;H26&amp;I26</f>
        <v>完成海岛战弈第4关</v>
      </c>
      <c r="K26" s="39">
        <f>A26</f>
        <v>10501050</v>
      </c>
      <c r="L26" s="39" t="str">
        <f t="shared" si="13"/>
        <v>TID_BranchLineTaskConf_peasant_2_taskName_GL_Main</v>
      </c>
      <c r="M26" s="39">
        <f t="shared" si="5"/>
        <v>10501040</v>
      </c>
      <c r="N26" s="39" t="s">
        <v>51</v>
      </c>
      <c r="O26" s="39" t="s">
        <v>52</v>
      </c>
      <c r="Q26" s="39" t="s">
        <v>52</v>
      </c>
      <c r="R26" s="39" t="s">
        <v>3338</v>
      </c>
      <c r="S26" s="39" t="str">
        <f t="shared" ref="S26" si="15">SUBSTITUTE(R26,"@@@",H26)</f>
        <v>autoChessPassLevel { level: 4,value:1}</v>
      </c>
      <c r="T26" s="39" t="s">
        <v>52</v>
      </c>
      <c r="W26" s="39">
        <v>100342</v>
      </c>
      <c r="Y26" s="39" t="s">
        <v>56</v>
      </c>
      <c r="Z26" s="39" t="s">
        <v>57</v>
      </c>
      <c r="AB26" s="39">
        <v>6622004</v>
      </c>
    </row>
    <row r="27" spans="1:36" s="39" customFormat="1" x14ac:dyDescent="0.45">
      <c r="A27" s="39">
        <f t="shared" si="9"/>
        <v>10501060</v>
      </c>
      <c r="B27" s="42">
        <v>5</v>
      </c>
      <c r="C27" s="39">
        <v>1</v>
      </c>
      <c r="D27" s="39">
        <v>6</v>
      </c>
      <c r="E27" s="39" t="s">
        <v>48</v>
      </c>
      <c r="F27" s="39" t="s">
        <v>694</v>
      </c>
      <c r="G27" s="39" t="s">
        <v>695</v>
      </c>
      <c r="H27" s="39">
        <v>10</v>
      </c>
      <c r="I27" s="39" t="s">
        <v>63</v>
      </c>
      <c r="J27" s="65" t="s">
        <v>3322</v>
      </c>
      <c r="K27" s="39">
        <f t="shared" si="10"/>
        <v>10501060</v>
      </c>
      <c r="L27" s="39" t="str">
        <f t="shared" si="13"/>
        <v>TID_BranchLineTaskConf_10401141_taskName_GL_Main</v>
      </c>
      <c r="M27" s="39">
        <f t="shared" si="5"/>
        <v>10501050</v>
      </c>
      <c r="N27" s="39" t="s">
        <v>51</v>
      </c>
      <c r="O27" s="39" t="s">
        <v>52</v>
      </c>
      <c r="Q27" s="39" t="s">
        <v>52</v>
      </c>
      <c r="R27" s="39" t="s">
        <v>697</v>
      </c>
      <c r="S27" s="39" t="str">
        <f>SUBSTITUTE(R27,"@@@",H27)</f>
        <v>heroLevel{level:10,count:2}</v>
      </c>
      <c r="T27" s="39" t="s">
        <v>52</v>
      </c>
      <c r="U27" s="39" t="s">
        <v>61</v>
      </c>
      <c r="V27" s="39" t="s">
        <v>112</v>
      </c>
      <c r="W27" s="39">
        <v>100147</v>
      </c>
      <c r="Y27" s="39" t="s">
        <v>56</v>
      </c>
      <c r="Z27" s="39" t="s">
        <v>57</v>
      </c>
      <c r="AB27" s="39">
        <v>6622005</v>
      </c>
    </row>
    <row r="28" spans="1:36" s="79" customFormat="1" x14ac:dyDescent="0.45">
      <c r="A28" s="79">
        <f t="shared" si="9"/>
        <v>10501070</v>
      </c>
      <c r="B28" s="42">
        <v>5</v>
      </c>
      <c r="C28" s="79">
        <v>1</v>
      </c>
      <c r="D28" s="79">
        <v>7</v>
      </c>
      <c r="E28" s="79" t="s">
        <v>48</v>
      </c>
      <c r="F28" s="65" t="s">
        <v>3361</v>
      </c>
      <c r="G28" s="42" t="s">
        <v>3257</v>
      </c>
      <c r="H28" s="42">
        <v>5</v>
      </c>
      <c r="I28" s="42" t="s">
        <v>3103</v>
      </c>
      <c r="J28" s="79" t="str">
        <f>G28&amp;H28&amp;I28</f>
        <v>升级酒馆至5级</v>
      </c>
      <c r="K28" s="79">
        <f t="shared" si="10"/>
        <v>10501070</v>
      </c>
      <c r="L28" s="79" t="str">
        <f t="shared" si="13"/>
        <v>TID_BranchLineTaskConf_10012020_taskName_GL_Main</v>
      </c>
      <c r="M28" s="79">
        <f t="shared" si="5"/>
        <v>10501060</v>
      </c>
      <c r="N28" s="79" t="s">
        <v>51</v>
      </c>
      <c r="O28" s="79" t="s">
        <v>52</v>
      </c>
      <c r="Q28" s="79" t="s">
        <v>3370</v>
      </c>
      <c r="R28" s="65"/>
      <c r="S28" s="81" t="s">
        <v>3363</v>
      </c>
      <c r="T28" s="79" t="s">
        <v>52</v>
      </c>
      <c r="W28" s="79">
        <v>100339</v>
      </c>
      <c r="Y28" s="79" t="s">
        <v>56</v>
      </c>
      <c r="Z28" s="79" t="s">
        <v>57</v>
      </c>
      <c r="AB28" s="79">
        <v>6622005</v>
      </c>
      <c r="AI28" s="79">
        <v>0.19</v>
      </c>
      <c r="AJ28" s="79">
        <v>0.19</v>
      </c>
    </row>
    <row r="29" spans="1:36" s="79" customFormat="1" x14ac:dyDescent="0.45">
      <c r="B29" s="42"/>
      <c r="F29" s="65"/>
      <c r="G29" s="42"/>
      <c r="H29" s="42"/>
      <c r="I29" s="42"/>
      <c r="R29" s="65"/>
      <c r="S29" s="81" t="s">
        <v>3369</v>
      </c>
    </row>
    <row r="30" spans="1:36" s="38" customFormat="1" ht="16.149999999999999" customHeight="1" x14ac:dyDescent="0.45">
      <c r="A30" s="38">
        <f t="shared" ref="A30:A31" si="16">10000000+B30*100000+C30*1000+D30*10</f>
        <v>10501080</v>
      </c>
      <c r="B30" s="41">
        <v>5</v>
      </c>
      <c r="C30" s="38">
        <v>1</v>
      </c>
      <c r="D30" s="38">
        <v>8</v>
      </c>
      <c r="E30" s="38" t="s">
        <v>48</v>
      </c>
      <c r="F30" s="64" t="s">
        <v>3258</v>
      </c>
      <c r="G30" s="41" t="s">
        <v>3259</v>
      </c>
      <c r="H30" s="41"/>
      <c r="I30" s="41"/>
      <c r="J30" s="38" t="str">
        <f>G30&amp;H30&amp;I30</f>
        <v>前往城外探查</v>
      </c>
      <c r="K30" s="38">
        <f t="shared" ref="K30:K31" si="17">A30</f>
        <v>10501080</v>
      </c>
      <c r="L30" s="38" t="str">
        <f t="shared" ref="L30:L35" si="18">F42</f>
        <v>TID_BranchLineTaskConf_10601080_taskName_GL_Main</v>
      </c>
      <c r="M30" s="38">
        <f>A28</f>
        <v>10501070</v>
      </c>
      <c r="N30" s="38" t="s">
        <v>51</v>
      </c>
      <c r="O30" s="38" t="s">
        <v>52</v>
      </c>
      <c r="Q30" s="38" t="s">
        <v>52</v>
      </c>
      <c r="R30" s="38" t="s">
        <v>54</v>
      </c>
      <c r="S30" s="38" t="str">
        <f t="shared" ref="S30:S68" si="19">SUBSTITUTE(R30,"@@@",H30)</f>
        <v>playerEnterBigScene{count:1}</v>
      </c>
      <c r="T30" s="38" t="s">
        <v>52</v>
      </c>
      <c r="V30" s="38" t="s">
        <v>55</v>
      </c>
      <c r="W30" s="38">
        <v>100097</v>
      </c>
      <c r="Y30" s="38" t="s">
        <v>56</v>
      </c>
      <c r="Z30" s="38" t="s">
        <v>57</v>
      </c>
      <c r="AB30" s="38">
        <v>6622004</v>
      </c>
    </row>
    <row r="31" spans="1:36" s="38" customFormat="1" ht="16.149999999999999" customHeight="1" x14ac:dyDescent="0.45">
      <c r="A31" s="38">
        <f t="shared" si="16"/>
        <v>10601010</v>
      </c>
      <c r="B31" s="41">
        <v>6</v>
      </c>
      <c r="C31" s="38">
        <v>1</v>
      </c>
      <c r="D31" s="38">
        <v>1</v>
      </c>
      <c r="E31" s="38" t="s">
        <v>48</v>
      </c>
      <c r="F31" s="67" t="s">
        <v>3260</v>
      </c>
      <c r="G31" s="41" t="s">
        <v>58</v>
      </c>
      <c r="H31" s="41">
        <v>1</v>
      </c>
      <c r="I31" s="41" t="s">
        <v>59</v>
      </c>
      <c r="J31" s="38" t="str">
        <f>G31&amp;H31&amp;I31</f>
        <v>清剿1级蛮族1次</v>
      </c>
      <c r="K31" s="38">
        <f t="shared" si="17"/>
        <v>10601010</v>
      </c>
      <c r="L31" s="38" t="str">
        <f t="shared" si="18"/>
        <v>TID_BranchLineTaskConf_10401030_1_taskName_GL_Main</v>
      </c>
      <c r="M31" s="38">
        <f t="shared" si="5"/>
        <v>10501080</v>
      </c>
      <c r="N31" s="38" t="s">
        <v>51</v>
      </c>
      <c r="O31" s="38" t="s">
        <v>52</v>
      </c>
      <c r="Q31" s="38" t="s">
        <v>52</v>
      </c>
      <c r="R31" s="68" t="s">
        <v>60</v>
      </c>
      <c r="S31" s="38" t="str">
        <f t="shared" si="19"/>
        <v>statisticReach{type:"BattleKillMonsterEvent1_1",value:1}</v>
      </c>
      <c r="T31" s="38" t="s">
        <v>52</v>
      </c>
      <c r="U31" s="68" t="s">
        <v>61</v>
      </c>
      <c r="V31" s="38" t="s">
        <v>62</v>
      </c>
      <c r="W31" s="38">
        <v>7569</v>
      </c>
      <c r="Y31" s="38" t="s">
        <v>56</v>
      </c>
      <c r="Z31" s="38" t="s">
        <v>57</v>
      </c>
      <c r="AB31" s="38">
        <v>6622005</v>
      </c>
    </row>
    <row r="32" spans="1:36" s="38" customFormat="1" ht="16.149999999999999" customHeight="1" x14ac:dyDescent="0.45">
      <c r="A32" s="38">
        <f t="shared" ref="A32:A34" si="20">10000000+B32*100000+C32*1000+D32*10</f>
        <v>10601020</v>
      </c>
      <c r="B32" s="41">
        <v>6</v>
      </c>
      <c r="C32" s="38">
        <v>1</v>
      </c>
      <c r="D32" s="38">
        <v>2</v>
      </c>
      <c r="E32" s="38" t="s">
        <v>48</v>
      </c>
      <c r="F32" s="67" t="s">
        <v>3261</v>
      </c>
      <c r="G32" s="41" t="s">
        <v>84</v>
      </c>
      <c r="H32" s="41">
        <v>1</v>
      </c>
      <c r="I32" s="41" t="s">
        <v>85</v>
      </c>
      <c r="J32" s="38" t="str">
        <f t="shared" ref="J32" si="21">G32&amp;H32&amp;I32</f>
        <v>攻占1个1级或更高级的资源点</v>
      </c>
      <c r="K32" s="38">
        <f t="shared" ref="K32:K34" si="22">A32</f>
        <v>10601020</v>
      </c>
      <c r="L32" s="38" t="str">
        <f t="shared" si="18"/>
        <v>TID_BranchLineTaskConf_AnySpeedUp_1_taskName_GL_Main</v>
      </c>
      <c r="M32" s="38">
        <f t="shared" si="5"/>
        <v>10601010</v>
      </c>
      <c r="N32" s="38" t="s">
        <v>51</v>
      </c>
      <c r="O32" s="38" t="s">
        <v>52</v>
      </c>
      <c r="Q32" s="38" t="s">
        <v>52</v>
      </c>
      <c r="R32" s="68" t="s">
        <v>86</v>
      </c>
      <c r="S32" s="38" t="str">
        <f t="shared" si="19"/>
        <v>occupyResourceLand{level:1,occupyNum:1,needTrace:true}</v>
      </c>
      <c r="T32" s="38" t="s">
        <v>52</v>
      </c>
      <c r="V32" s="68" t="s">
        <v>87</v>
      </c>
      <c r="W32" s="68">
        <v>100101</v>
      </c>
      <c r="Y32" s="38" t="s">
        <v>56</v>
      </c>
      <c r="Z32" s="38" t="s">
        <v>57</v>
      </c>
      <c r="AB32" s="38">
        <v>6622005</v>
      </c>
    </row>
    <row r="33" spans="1:28" s="39" customFormat="1" x14ac:dyDescent="0.45">
      <c r="A33" s="39">
        <f t="shared" si="20"/>
        <v>10601030</v>
      </c>
      <c r="B33" s="42">
        <v>6</v>
      </c>
      <c r="C33" s="39">
        <v>1</v>
      </c>
      <c r="D33" s="39">
        <v>3</v>
      </c>
      <c r="E33" s="39" t="s">
        <v>48</v>
      </c>
      <c r="F33" s="39" t="s">
        <v>134</v>
      </c>
      <c r="G33" s="42" t="s">
        <v>135</v>
      </c>
      <c r="H33" s="42">
        <v>1</v>
      </c>
      <c r="I33" s="42" t="s">
        <v>136</v>
      </c>
      <c r="J33" s="39" t="str">
        <f t="shared" ref="J33" si="23">G33&amp;H33&amp;I33</f>
        <v>加入任意1个联盟</v>
      </c>
      <c r="K33" s="39">
        <f t="shared" si="22"/>
        <v>10601030</v>
      </c>
      <c r="L33" s="39" t="str">
        <f t="shared" si="18"/>
        <v>TID_BranchLineTaskConf_10012030_taskName_GL_Main</v>
      </c>
      <c r="M33" s="39">
        <f t="shared" si="5"/>
        <v>10601020</v>
      </c>
      <c r="N33" s="39" t="s">
        <v>51</v>
      </c>
      <c r="O33" s="39" t="s">
        <v>52</v>
      </c>
      <c r="Q33" s="39" t="s">
        <v>52</v>
      </c>
      <c r="R33" s="39" t="s">
        <v>137</v>
      </c>
      <c r="S33" s="39" t="str">
        <f t="shared" si="19"/>
        <v>allianceJoin{count:1}</v>
      </c>
      <c r="T33" s="39" t="s">
        <v>52</v>
      </c>
      <c r="W33" s="39">
        <v>100353</v>
      </c>
      <c r="Y33" s="39" t="s">
        <v>56</v>
      </c>
      <c r="Z33" s="39" t="s">
        <v>57</v>
      </c>
      <c r="AB33" s="39">
        <v>6622006</v>
      </c>
    </row>
    <row r="34" spans="1:28" s="39" customFormat="1" x14ac:dyDescent="0.45">
      <c r="A34" s="39">
        <f t="shared" si="20"/>
        <v>10601040</v>
      </c>
      <c r="B34" s="42">
        <v>6</v>
      </c>
      <c r="C34" s="39">
        <v>1</v>
      </c>
      <c r="D34" s="39">
        <v>4</v>
      </c>
      <c r="E34" s="39" t="s">
        <v>48</v>
      </c>
      <c r="F34" s="39" t="s">
        <v>138</v>
      </c>
      <c r="G34" s="42" t="s">
        <v>139</v>
      </c>
      <c r="H34" s="42">
        <v>5</v>
      </c>
      <c r="I34" s="42" t="s">
        <v>63</v>
      </c>
      <c r="J34" s="39" t="str">
        <f t="shared" ref="J34:J37" si="24">G34&amp;H34&amp;I34</f>
        <v>升级瞭望塔至5级</v>
      </c>
      <c r="K34" s="39">
        <f t="shared" si="22"/>
        <v>10601040</v>
      </c>
      <c r="L34" s="39" t="str">
        <f t="shared" si="18"/>
        <v>TID_BranchLineTaskConf_10910101_taskName_GL_Main</v>
      </c>
      <c r="M34" s="39">
        <f t="shared" si="5"/>
        <v>10601030</v>
      </c>
      <c r="N34" s="39" t="s">
        <v>51</v>
      </c>
      <c r="O34" s="39" t="s">
        <v>52</v>
      </c>
      <c r="Q34" s="39" t="s">
        <v>52</v>
      </c>
      <c r="R34" s="39" t="s">
        <v>140</v>
      </c>
      <c r="S34" s="39" t="str">
        <f t="shared" si="19"/>
        <v>buildingLevelUp{buildingType:226,buildingLevel:5}</v>
      </c>
      <c r="T34" s="39" t="s">
        <v>52</v>
      </c>
      <c r="V34" s="39" t="s">
        <v>141</v>
      </c>
      <c r="W34" s="39">
        <v>100186</v>
      </c>
      <c r="Y34" s="39" t="s">
        <v>56</v>
      </c>
      <c r="Z34" s="39" t="s">
        <v>57</v>
      </c>
      <c r="AB34" s="39">
        <v>6622004</v>
      </c>
    </row>
    <row r="35" spans="1:28" s="39" customFormat="1" x14ac:dyDescent="0.45">
      <c r="A35" s="39">
        <f t="shared" si="6"/>
        <v>10601050</v>
      </c>
      <c r="B35" s="42">
        <v>6</v>
      </c>
      <c r="C35" s="39">
        <v>1</v>
      </c>
      <c r="D35" s="39">
        <v>5</v>
      </c>
      <c r="E35" s="39" t="s">
        <v>48</v>
      </c>
      <c r="F35" s="39" t="s">
        <v>142</v>
      </c>
      <c r="G35" s="42" t="s">
        <v>106</v>
      </c>
      <c r="H35" s="42">
        <v>5</v>
      </c>
      <c r="I35" s="42" t="s">
        <v>63</v>
      </c>
      <c r="J35" s="39" t="str">
        <f t="shared" si="24"/>
        <v>升级城墙至5级</v>
      </c>
      <c r="K35" s="39">
        <f t="shared" ref="K35:K38" si="25">A35</f>
        <v>10601050</v>
      </c>
      <c r="L35" s="39" t="str">
        <f t="shared" si="18"/>
        <v>TID_BranchLineTaskConf_400_0_taskName_GL_Main</v>
      </c>
      <c r="M35" s="39">
        <f t="shared" si="5"/>
        <v>10601040</v>
      </c>
      <c r="N35" s="39" t="s">
        <v>51</v>
      </c>
      <c r="O35" s="39" t="s">
        <v>52</v>
      </c>
      <c r="Q35" s="39" t="s">
        <v>52</v>
      </c>
      <c r="R35" s="39" t="s">
        <v>107</v>
      </c>
      <c r="S35" s="39" t="str">
        <f t="shared" si="19"/>
        <v>buildingLevelUp{buildingType:215,buildingLevel:5}</v>
      </c>
      <c r="T35" s="39" t="s">
        <v>52</v>
      </c>
      <c r="V35" s="39" t="s">
        <v>109</v>
      </c>
      <c r="W35" s="39">
        <v>100184</v>
      </c>
      <c r="Y35" s="39" t="s">
        <v>56</v>
      </c>
      <c r="Z35" s="39" t="s">
        <v>57</v>
      </c>
      <c r="AB35" s="39">
        <v>6622004</v>
      </c>
    </row>
    <row r="36" spans="1:28" s="39" customFormat="1" x14ac:dyDescent="0.45">
      <c r="A36" s="39">
        <f t="shared" si="6"/>
        <v>10601060</v>
      </c>
      <c r="B36" s="42">
        <v>6</v>
      </c>
      <c r="C36" s="39">
        <v>1</v>
      </c>
      <c r="D36" s="39">
        <v>6</v>
      </c>
      <c r="E36" s="39" t="s">
        <v>48</v>
      </c>
      <c r="F36" s="39" t="s">
        <v>143</v>
      </c>
      <c r="G36" s="42" t="s">
        <v>96</v>
      </c>
      <c r="H36" s="42">
        <v>6</v>
      </c>
      <c r="I36" s="42" t="s">
        <v>63</v>
      </c>
      <c r="J36" s="39" t="str">
        <f t="shared" si="24"/>
        <v>升级城镇中心至6级</v>
      </c>
      <c r="K36" s="39">
        <f t="shared" si="25"/>
        <v>10601060</v>
      </c>
      <c r="L36" s="39" t="str">
        <f>F61</f>
        <v>TID_BranchLineTaskConf_10012050_taskName_GL_Main</v>
      </c>
      <c r="M36" s="39">
        <f t="shared" si="5"/>
        <v>10601050</v>
      </c>
      <c r="N36" s="39" t="s">
        <v>51</v>
      </c>
      <c r="O36" s="39" t="s">
        <v>52</v>
      </c>
      <c r="Q36" s="39" t="s">
        <v>52</v>
      </c>
      <c r="R36" s="39" t="s">
        <v>97</v>
      </c>
      <c r="S36" s="39" t="str">
        <f t="shared" si="19"/>
        <v>buildingLevelUp{buildingType:201,buildingLevel:6}</v>
      </c>
      <c r="T36" s="39" t="s">
        <v>52</v>
      </c>
      <c r="V36" s="39" t="s">
        <v>99</v>
      </c>
      <c r="W36" s="39">
        <v>100177</v>
      </c>
      <c r="Y36" s="39" t="s">
        <v>56</v>
      </c>
      <c r="Z36" s="39" t="s">
        <v>57</v>
      </c>
      <c r="AB36" s="39">
        <v>6622004</v>
      </c>
    </row>
    <row r="37" spans="1:28" s="38" customFormat="1" ht="16.149999999999999" customHeight="1" x14ac:dyDescent="0.45">
      <c r="A37" s="38">
        <f t="shared" ref="A37" si="26">10000000+B37*100000+C37*1000+D37*10</f>
        <v>10601070</v>
      </c>
      <c r="B37" s="41">
        <v>6</v>
      </c>
      <c r="C37" s="38">
        <v>1</v>
      </c>
      <c r="D37" s="38">
        <v>7</v>
      </c>
      <c r="E37" s="38" t="s">
        <v>48</v>
      </c>
      <c r="F37" s="64" t="s">
        <v>3292</v>
      </c>
      <c r="G37" s="41" t="s">
        <v>3293</v>
      </c>
      <c r="H37" s="41">
        <v>1</v>
      </c>
      <c r="I37" s="41" t="s">
        <v>145</v>
      </c>
      <c r="J37" s="38" t="str">
        <f t="shared" si="24"/>
        <v>建造1个石矿场</v>
      </c>
      <c r="K37" s="38">
        <f t="shared" ref="K37" si="27">A37</f>
        <v>10601070</v>
      </c>
      <c r="L37" s="38" t="str">
        <f>F39</f>
        <v>TID_BranchLineTaskConf_peasant_2_taskName_GL_Main</v>
      </c>
      <c r="M37" s="38">
        <f t="shared" si="5"/>
        <v>10601060</v>
      </c>
      <c r="N37" s="38" t="s">
        <v>51</v>
      </c>
      <c r="O37" s="38" t="s">
        <v>52</v>
      </c>
      <c r="Q37" s="38" t="s">
        <v>52</v>
      </c>
      <c r="R37" s="38" t="s">
        <v>146</v>
      </c>
      <c r="S37" s="38" t="str">
        <f t="shared" si="19"/>
        <v>buildingSum{buildingType:205,sum:1}</v>
      </c>
      <c r="T37" s="38" t="s">
        <v>52</v>
      </c>
      <c r="U37" s="38" t="s">
        <v>147</v>
      </c>
      <c r="V37" s="38" t="s">
        <v>148</v>
      </c>
      <c r="W37" s="38">
        <v>100165</v>
      </c>
      <c r="Y37" s="38" t="s">
        <v>56</v>
      </c>
      <c r="Z37" s="38" t="s">
        <v>57</v>
      </c>
      <c r="AB37" s="38">
        <v>6622004</v>
      </c>
    </row>
    <row r="38" spans="1:28" s="38" customFormat="1" ht="16.149999999999999" customHeight="1" x14ac:dyDescent="0.45">
      <c r="A38" s="38">
        <f t="shared" si="6"/>
        <v>10601080</v>
      </c>
      <c r="B38" s="41">
        <v>6</v>
      </c>
      <c r="C38" s="38">
        <v>1</v>
      </c>
      <c r="D38" s="38">
        <v>8</v>
      </c>
      <c r="E38" s="38" t="s">
        <v>48</v>
      </c>
      <c r="F38" s="64" t="s">
        <v>3251</v>
      </c>
      <c r="G38" s="41" t="s">
        <v>3253</v>
      </c>
      <c r="H38" s="41">
        <v>5</v>
      </c>
      <c r="I38" s="41" t="s">
        <v>63</v>
      </c>
      <c r="J38" s="38" t="str">
        <f t="shared" ref="J38:J39" si="28">G38&amp;H38&amp;I38</f>
        <v>升级居民房舍至5级</v>
      </c>
      <c r="K38" s="38">
        <f t="shared" si="25"/>
        <v>10601080</v>
      </c>
      <c r="L38" s="38" t="str">
        <f>F56</f>
        <v>TID_BranchLineTaskConf_10710112_taskName_GL_Main</v>
      </c>
      <c r="M38" s="38">
        <f t="shared" si="5"/>
        <v>10601070</v>
      </c>
      <c r="N38" s="38" t="s">
        <v>51</v>
      </c>
      <c r="O38" s="38" t="s">
        <v>52</v>
      </c>
      <c r="Q38" s="38" t="s">
        <v>52</v>
      </c>
      <c r="R38" s="38" t="s">
        <v>151</v>
      </c>
      <c r="S38" s="38" t="str">
        <f t="shared" si="19"/>
        <v>buildingLevelUp{buildingType:202,buildingLevel:5}</v>
      </c>
      <c r="T38" s="38" t="s">
        <v>52</v>
      </c>
      <c r="U38" s="38" t="s">
        <v>152</v>
      </c>
      <c r="V38" s="38" t="s">
        <v>153</v>
      </c>
      <c r="W38" s="38">
        <v>100178</v>
      </c>
      <c r="Y38" s="38" t="s">
        <v>56</v>
      </c>
      <c r="Z38" s="38" t="s">
        <v>57</v>
      </c>
      <c r="AB38" s="38">
        <v>6622008</v>
      </c>
    </row>
    <row r="39" spans="1:28" s="38" customFormat="1" ht="16.149999999999999" customHeight="1" x14ac:dyDescent="0.45">
      <c r="A39" s="38">
        <f t="shared" ref="A39:A49" si="29">10000000+B39*100000+C39*1000+D39*10</f>
        <v>10601090</v>
      </c>
      <c r="B39" s="41">
        <v>6</v>
      </c>
      <c r="C39" s="38">
        <v>1</v>
      </c>
      <c r="D39" s="38">
        <v>9</v>
      </c>
      <c r="E39" s="38" t="s">
        <v>48</v>
      </c>
      <c r="F39" s="64" t="s">
        <v>3294</v>
      </c>
      <c r="G39" s="41" t="s">
        <v>3295</v>
      </c>
      <c r="H39" s="41"/>
      <c r="I39" s="41"/>
      <c r="J39" s="38" t="str">
        <f t="shared" si="28"/>
        <v>训练农民到17名</v>
      </c>
      <c r="K39" s="38">
        <f t="shared" ref="K39:K49" si="30">A39</f>
        <v>10601090</v>
      </c>
      <c r="L39" s="38" t="str">
        <f>F57</f>
        <v>TID_BranchLineTaskConf_10810101_taskName_GL_Main</v>
      </c>
      <c r="M39" s="38">
        <f t="shared" si="5"/>
        <v>10601080</v>
      </c>
      <c r="N39" s="38" t="s">
        <v>51</v>
      </c>
      <c r="O39" s="38" t="s">
        <v>52</v>
      </c>
      <c r="Q39" s="38" t="s">
        <v>52</v>
      </c>
      <c r="R39" s="38" t="s">
        <v>154</v>
      </c>
      <c r="S39" s="38" t="str">
        <f t="shared" si="19"/>
        <v>statisticReach{type:"InnerPeasantTrainEvent",value:17}</v>
      </c>
      <c r="T39" s="38" t="s">
        <v>52</v>
      </c>
      <c r="W39" s="38">
        <v>100190</v>
      </c>
      <c r="Y39" s="38" t="s">
        <v>56</v>
      </c>
      <c r="Z39" s="38" t="s">
        <v>57</v>
      </c>
      <c r="AB39" s="38">
        <v>6622004</v>
      </c>
    </row>
    <row r="40" spans="1:28" s="38" customFormat="1" ht="16.149999999999999" customHeight="1" x14ac:dyDescent="0.45">
      <c r="A40" s="38">
        <f t="shared" si="29"/>
        <v>10601100</v>
      </c>
      <c r="B40" s="41">
        <v>6</v>
      </c>
      <c r="C40" s="38">
        <v>1</v>
      </c>
      <c r="D40" s="38">
        <v>10</v>
      </c>
      <c r="E40" s="38" t="s">
        <v>48</v>
      </c>
      <c r="F40" s="64" t="s">
        <v>3296</v>
      </c>
      <c r="G40" s="41" t="s">
        <v>3297</v>
      </c>
      <c r="H40" s="41"/>
      <c r="I40" s="41"/>
      <c r="J40" s="38" t="str">
        <f t="shared" ref="J40" si="31">G40&amp;H40&amp;I40</f>
        <v>派遣农民进采石场</v>
      </c>
      <c r="K40" s="38">
        <f t="shared" si="30"/>
        <v>10601100</v>
      </c>
      <c r="L40" s="38" t="str">
        <f>F17</f>
        <v>TID_BranchLineTaskConf_20000001_03_taskName_GL_Main</v>
      </c>
      <c r="M40" s="38">
        <f t="shared" si="5"/>
        <v>10601090</v>
      </c>
      <c r="N40" s="38" t="s">
        <v>51</v>
      </c>
      <c r="O40" s="38" t="s">
        <v>52</v>
      </c>
      <c r="Q40" s="38" t="s">
        <v>52</v>
      </c>
      <c r="R40" s="38" t="s">
        <v>155</v>
      </c>
      <c r="S40" s="38" t="str">
        <f t="shared" si="19"/>
        <v>deployedFarmerToBuildingResource{cityElementType:205,value:1}</v>
      </c>
      <c r="T40" s="38" t="s">
        <v>52</v>
      </c>
      <c r="W40" s="38">
        <v>100211</v>
      </c>
      <c r="Y40" s="38" t="s">
        <v>56</v>
      </c>
      <c r="Z40" s="38" t="s">
        <v>57</v>
      </c>
      <c r="AB40" s="38">
        <v>6622004</v>
      </c>
    </row>
    <row r="41" spans="1:28" s="38" customFormat="1" ht="16.149999999999999" customHeight="1" x14ac:dyDescent="0.45">
      <c r="A41" s="38">
        <f>10000000+B41*100000+C41*1000+D41*10</f>
        <v>10601110</v>
      </c>
      <c r="B41" s="41">
        <v>6</v>
      </c>
      <c r="C41" s="38">
        <v>1</v>
      </c>
      <c r="D41" s="38">
        <v>11</v>
      </c>
      <c r="E41" s="38" t="s">
        <v>48</v>
      </c>
      <c r="F41" s="64" t="s">
        <v>3263</v>
      </c>
      <c r="G41" s="41" t="s">
        <v>3298</v>
      </c>
      <c r="H41" s="41">
        <v>2</v>
      </c>
      <c r="I41" s="41" t="s">
        <v>90</v>
      </c>
      <c r="J41" s="38" t="str">
        <f>G41&amp;H41&amp;I41</f>
        <v>清剿2级或更高级【普通】蛮族</v>
      </c>
      <c r="K41" s="38">
        <f>A41</f>
        <v>10601110</v>
      </c>
      <c r="L41" s="38" t="str">
        <f>F31</f>
        <v>TID_ExploreSubTaskConf_667212_taskName_GL_Main_spe</v>
      </c>
      <c r="M41" s="38">
        <f>A32</f>
        <v>10601020</v>
      </c>
      <c r="N41" s="38" t="s">
        <v>51</v>
      </c>
      <c r="O41" s="38" t="s">
        <v>52</v>
      </c>
      <c r="Q41" s="38" t="s">
        <v>52</v>
      </c>
      <c r="R41" s="38" t="s">
        <v>91</v>
      </c>
      <c r="S41" s="38" t="str">
        <f t="shared" si="19"/>
        <v>statisticReach{type:"BattleKillMonsterEvent2_1",value:1}</v>
      </c>
      <c r="T41" s="38" t="s">
        <v>52</v>
      </c>
      <c r="U41" s="38" t="s">
        <v>61</v>
      </c>
      <c r="V41" s="38" t="s">
        <v>92</v>
      </c>
      <c r="W41" s="38">
        <f>VLOOKUP(V41,[1]界面跳转!$I:$J,2,FALSE)</f>
        <v>7254</v>
      </c>
      <c r="Y41" s="38" t="s">
        <v>56</v>
      </c>
      <c r="Z41" s="38" t="s">
        <v>57</v>
      </c>
      <c r="AB41" s="38">
        <v>6622005</v>
      </c>
    </row>
    <row r="42" spans="1:28" s="39" customFormat="1" x14ac:dyDescent="0.45">
      <c r="A42" s="39">
        <f t="shared" si="29"/>
        <v>10601120</v>
      </c>
      <c r="B42" s="42">
        <v>6</v>
      </c>
      <c r="C42" s="39">
        <v>1</v>
      </c>
      <c r="D42" s="39">
        <v>12</v>
      </c>
      <c r="E42" s="39" t="s">
        <v>48</v>
      </c>
      <c r="F42" s="39" t="s">
        <v>156</v>
      </c>
      <c r="G42" s="42" t="s">
        <v>129</v>
      </c>
      <c r="H42" s="42"/>
      <c r="I42" s="42" t="s">
        <v>157</v>
      </c>
      <c r="J42" s="39" t="str">
        <f t="shared" ref="J42" si="32">G42&amp;H42&amp;I42</f>
        <v>研究科技解锁高级剑士</v>
      </c>
      <c r="K42" s="39">
        <f t="shared" si="30"/>
        <v>10601120</v>
      </c>
      <c r="L42" s="39" t="str">
        <f>F66</f>
        <v>TID_BranchLineTaskConf_10910113_taskName_GL_Main</v>
      </c>
      <c r="M42" s="39">
        <f>A40</f>
        <v>10601100</v>
      </c>
      <c r="N42" s="39" t="s">
        <v>51</v>
      </c>
      <c r="O42" s="39" t="s">
        <v>52</v>
      </c>
      <c r="Q42" s="39" t="s">
        <v>52</v>
      </c>
      <c r="R42" s="39" t="s">
        <v>158</v>
      </c>
      <c r="S42" s="39" t="str">
        <f t="shared" si="19"/>
        <v>castleScienceMultiLevelUp {techId:10301,techId:10302,techId:10303,techId:10304,level:1,relationIfWith:false}</v>
      </c>
      <c r="T42" s="39" t="s">
        <v>52</v>
      </c>
      <c r="U42" s="39" t="s">
        <v>121</v>
      </c>
      <c r="V42" s="39" t="s">
        <v>159</v>
      </c>
      <c r="W42" s="39">
        <v>100175</v>
      </c>
      <c r="Y42" s="39" t="s">
        <v>56</v>
      </c>
      <c r="Z42" s="39" t="s">
        <v>57</v>
      </c>
      <c r="AB42" s="39">
        <v>6622004</v>
      </c>
    </row>
    <row r="43" spans="1:28" s="39" customFormat="1" x14ac:dyDescent="0.45">
      <c r="A43" s="39">
        <f t="shared" si="29"/>
        <v>10701010</v>
      </c>
      <c r="B43" s="42">
        <v>7</v>
      </c>
      <c r="C43" s="39">
        <v>1</v>
      </c>
      <c r="D43" s="39">
        <v>1</v>
      </c>
      <c r="E43" s="39" t="s">
        <v>48</v>
      </c>
      <c r="F43" s="39" t="s">
        <v>160</v>
      </c>
      <c r="G43" s="42" t="s">
        <v>161</v>
      </c>
      <c r="H43" s="42">
        <v>1</v>
      </c>
      <c r="I43" s="42" t="s">
        <v>59</v>
      </c>
      <c r="J43" s="39" t="str">
        <f t="shared" ref="J43:J52" si="33">G43&amp;H43&amp;I43</f>
        <v>训练2级剑士1次</v>
      </c>
      <c r="K43" s="39">
        <f t="shared" si="30"/>
        <v>10701010</v>
      </c>
      <c r="L43" s="39" t="str">
        <f>F59</f>
        <v>TID_BranchLineTaskConf_10810111_taskName_GL_Main</v>
      </c>
      <c r="M43" s="39">
        <f t="shared" si="5"/>
        <v>10601120</v>
      </c>
      <c r="N43" s="39" t="s">
        <v>51</v>
      </c>
      <c r="O43" s="39" t="s">
        <v>52</v>
      </c>
      <c r="Q43" s="39" t="s">
        <v>52</v>
      </c>
      <c r="R43" s="39" t="s">
        <v>162</v>
      </c>
      <c r="S43" s="39" t="str">
        <f t="shared" si="19"/>
        <v>soldierTrain{soldierType1:SNV_Swordsman,soldierLevel:2,value:1}</v>
      </c>
      <c r="T43" s="39" t="s">
        <v>52</v>
      </c>
      <c r="U43" s="39" t="s">
        <v>81</v>
      </c>
      <c r="V43" s="39" t="s">
        <v>82</v>
      </c>
      <c r="W43" s="39">
        <v>100207</v>
      </c>
      <c r="Y43" s="39" t="s">
        <v>56</v>
      </c>
      <c r="Z43" s="39" t="s">
        <v>57</v>
      </c>
      <c r="AB43" s="39">
        <v>6622009</v>
      </c>
    </row>
    <row r="44" spans="1:28" s="39" customFormat="1" x14ac:dyDescent="0.45">
      <c r="A44" s="39">
        <f t="shared" si="29"/>
        <v>10701020</v>
      </c>
      <c r="B44" s="42">
        <v>7</v>
      </c>
      <c r="C44" s="39">
        <v>1</v>
      </c>
      <c r="D44" s="39">
        <v>2</v>
      </c>
      <c r="E44" s="39" t="s">
        <v>48</v>
      </c>
      <c r="F44" s="39" t="s">
        <v>163</v>
      </c>
      <c r="G44" s="42" t="s">
        <v>164</v>
      </c>
      <c r="H44" s="42">
        <v>10</v>
      </c>
      <c r="I44" s="42" t="s">
        <v>165</v>
      </c>
      <c r="J44" s="39" t="str">
        <f t="shared" si="33"/>
        <v>使用任意加速时间累积10分钟</v>
      </c>
      <c r="K44" s="39">
        <f t="shared" si="30"/>
        <v>10701020</v>
      </c>
      <c r="L44" s="39" t="str">
        <f>F46</f>
        <v>TID_BranchLineTaskConf_10910101_taskName_GL_Main</v>
      </c>
      <c r="M44" s="39">
        <f t="shared" si="5"/>
        <v>10701010</v>
      </c>
      <c r="N44" s="39" t="s">
        <v>51</v>
      </c>
      <c r="O44" s="39" t="s">
        <v>52</v>
      </c>
      <c r="Q44" s="39" t="s">
        <v>52</v>
      </c>
      <c r="R44" s="39" t="s">
        <v>166</v>
      </c>
      <c r="S44" s="39" t="str">
        <f t="shared" si="19"/>
        <v>itemSpeedUp{speedUpType:0,minutes:10}</v>
      </c>
      <c r="T44" s="39" t="s">
        <v>52</v>
      </c>
      <c r="V44" s="39" t="s">
        <v>132</v>
      </c>
      <c r="W44" s="39">
        <v>100207</v>
      </c>
      <c r="Y44" s="39" t="s">
        <v>56</v>
      </c>
      <c r="Z44" s="39" t="s">
        <v>57</v>
      </c>
      <c r="AB44" s="39">
        <v>6622009</v>
      </c>
    </row>
    <row r="45" spans="1:28" s="39" customFormat="1" x14ac:dyDescent="0.45">
      <c r="A45" s="39">
        <f t="shared" si="29"/>
        <v>10701030</v>
      </c>
      <c r="B45" s="42">
        <v>7</v>
      </c>
      <c r="C45" s="39">
        <v>1</v>
      </c>
      <c r="D45" s="39">
        <v>3</v>
      </c>
      <c r="E45" s="39" t="s">
        <v>48</v>
      </c>
      <c r="F45" s="39" t="s">
        <v>3264</v>
      </c>
      <c r="G45" s="42" t="s">
        <v>89</v>
      </c>
      <c r="H45" s="42">
        <v>3</v>
      </c>
      <c r="I45" s="42" t="s">
        <v>90</v>
      </c>
      <c r="J45" s="39" t="str">
        <f t="shared" si="33"/>
        <v>清剿3级或更高级【普通】蛮族</v>
      </c>
      <c r="K45" s="39">
        <f t="shared" si="30"/>
        <v>10701030</v>
      </c>
      <c r="L45" s="39" t="str">
        <f>F47</f>
        <v>TID_BranchLineTaskConf_400_0_taskName_GL_Main</v>
      </c>
      <c r="M45" s="39">
        <f t="shared" si="5"/>
        <v>10701020</v>
      </c>
      <c r="N45" s="39" t="s">
        <v>51</v>
      </c>
      <c r="O45" s="39" t="s">
        <v>52</v>
      </c>
      <c r="Q45" s="39" t="s">
        <v>52</v>
      </c>
      <c r="R45" s="39" t="s">
        <v>91</v>
      </c>
      <c r="S45" s="39" t="str">
        <f t="shared" si="19"/>
        <v>statisticReach{type:"BattleKillMonsterEvent3_1",value:1}</v>
      </c>
      <c r="T45" s="39" t="s">
        <v>52</v>
      </c>
      <c r="U45" s="39" t="s">
        <v>61</v>
      </c>
      <c r="V45" s="39" t="s">
        <v>92</v>
      </c>
      <c r="W45" s="39">
        <v>7254</v>
      </c>
      <c r="Y45" s="39" t="s">
        <v>56</v>
      </c>
      <c r="Z45" s="39" t="s">
        <v>57</v>
      </c>
      <c r="AB45" s="39">
        <v>6622006</v>
      </c>
    </row>
    <row r="46" spans="1:28" s="38" customFormat="1" ht="16.149999999999999" customHeight="1" x14ac:dyDescent="0.45">
      <c r="A46" s="38">
        <f t="shared" si="29"/>
        <v>10701040</v>
      </c>
      <c r="B46" s="41">
        <v>7</v>
      </c>
      <c r="C46" s="38">
        <v>1</v>
      </c>
      <c r="D46" s="38">
        <v>4</v>
      </c>
      <c r="E46" s="38" t="s">
        <v>48</v>
      </c>
      <c r="F46" s="64" t="s">
        <v>3299</v>
      </c>
      <c r="G46" s="41" t="s">
        <v>3293</v>
      </c>
      <c r="H46" s="41">
        <v>1</v>
      </c>
      <c r="I46" s="41" t="s">
        <v>169</v>
      </c>
      <c r="J46" s="38" t="str">
        <f t="shared" si="33"/>
        <v>建造1个市集</v>
      </c>
      <c r="K46" s="38">
        <f t="shared" si="30"/>
        <v>10701040</v>
      </c>
      <c r="L46" s="38" t="str">
        <f>F48</f>
        <v>TID_BranchLineTaskConf_215_3_taskName_GL_Main</v>
      </c>
      <c r="M46" s="38">
        <f t="shared" si="5"/>
        <v>10701030</v>
      </c>
      <c r="N46" s="38" t="s">
        <v>51</v>
      </c>
      <c r="O46" s="38" t="s">
        <v>52</v>
      </c>
      <c r="Q46" s="38" t="s">
        <v>52</v>
      </c>
      <c r="R46" s="38" t="s">
        <v>170</v>
      </c>
      <c r="S46" s="38" t="str">
        <f t="shared" si="19"/>
        <v>buildingSum{buildingType:231,sum:1}</v>
      </c>
      <c r="T46" s="38" t="s">
        <v>52</v>
      </c>
      <c r="U46" s="38" t="s">
        <v>171</v>
      </c>
      <c r="V46" s="38" t="s">
        <v>172</v>
      </c>
      <c r="W46" s="38">
        <v>100159</v>
      </c>
      <c r="Y46" s="38" t="s">
        <v>56</v>
      </c>
      <c r="Z46" s="38" t="s">
        <v>57</v>
      </c>
      <c r="AB46" s="38">
        <v>6622007</v>
      </c>
    </row>
    <row r="47" spans="1:28" s="38" customFormat="1" ht="16.149999999999999" customHeight="1" x14ac:dyDescent="0.45">
      <c r="A47" s="38">
        <f t="shared" si="29"/>
        <v>10701050</v>
      </c>
      <c r="B47" s="41">
        <v>7</v>
      </c>
      <c r="C47" s="38">
        <v>1</v>
      </c>
      <c r="D47" s="38">
        <v>5</v>
      </c>
      <c r="E47" s="38" t="s">
        <v>48</v>
      </c>
      <c r="F47" s="64" t="s">
        <v>3300</v>
      </c>
      <c r="G47" s="41" t="s">
        <v>3293</v>
      </c>
      <c r="H47" s="41">
        <v>1</v>
      </c>
      <c r="I47" s="41" t="s">
        <v>173</v>
      </c>
      <c r="J47" s="38" t="str">
        <f t="shared" si="33"/>
        <v>建造1个仓库</v>
      </c>
      <c r="K47" s="38">
        <f t="shared" si="30"/>
        <v>10701050</v>
      </c>
      <c r="L47" s="38" t="str">
        <f>F49</f>
        <v>TID_BranchLineTaskConf_10610113_taskName_GL_Main</v>
      </c>
      <c r="M47" s="38">
        <f t="shared" si="5"/>
        <v>10701040</v>
      </c>
      <c r="N47" s="38" t="s">
        <v>51</v>
      </c>
      <c r="O47" s="38" t="s">
        <v>52</v>
      </c>
      <c r="Q47" s="38" t="s">
        <v>52</v>
      </c>
      <c r="R47" s="38" t="s">
        <v>174</v>
      </c>
      <c r="S47" s="38" t="str">
        <f t="shared" si="19"/>
        <v>buildingSum{buildingType:400,sum:1}</v>
      </c>
      <c r="T47" s="38" t="s">
        <v>52</v>
      </c>
      <c r="U47" s="38" t="s">
        <v>3209</v>
      </c>
      <c r="V47" s="38" t="s">
        <v>175</v>
      </c>
      <c r="W47" s="38">
        <v>100304</v>
      </c>
      <c r="Y47" s="38" t="s">
        <v>56</v>
      </c>
      <c r="Z47" s="38" t="s">
        <v>57</v>
      </c>
      <c r="AB47" s="38">
        <v>6622007</v>
      </c>
    </row>
    <row r="48" spans="1:28" s="38" customFormat="1" ht="16.149999999999999" customHeight="1" x14ac:dyDescent="0.45">
      <c r="A48" s="38">
        <f t="shared" si="29"/>
        <v>10801010</v>
      </c>
      <c r="B48" s="41">
        <v>8</v>
      </c>
      <c r="C48" s="38">
        <v>1</v>
      </c>
      <c r="D48" s="38">
        <v>1</v>
      </c>
      <c r="E48" s="38" t="s">
        <v>48</v>
      </c>
      <c r="F48" s="64" t="s">
        <v>3301</v>
      </c>
      <c r="G48" s="41" t="s">
        <v>3254</v>
      </c>
      <c r="H48" s="41">
        <v>6</v>
      </c>
      <c r="I48" s="41" t="s">
        <v>63</v>
      </c>
      <c r="J48" s="38" t="str">
        <f t="shared" si="33"/>
        <v>升级城墙至6级</v>
      </c>
      <c r="K48" s="38">
        <f t="shared" si="30"/>
        <v>10801010</v>
      </c>
      <c r="L48" s="38" t="str">
        <f>F83</f>
        <v>TID_BranchLineTaskConf_11010116_taskName_GL_Main</v>
      </c>
      <c r="M48" s="38">
        <f t="shared" si="5"/>
        <v>10701050</v>
      </c>
      <c r="N48" s="38" t="s">
        <v>51</v>
      </c>
      <c r="O48" s="38" t="s">
        <v>52</v>
      </c>
      <c r="Q48" s="38" t="s">
        <v>52</v>
      </c>
      <c r="R48" s="38" t="s">
        <v>107</v>
      </c>
      <c r="S48" s="38" t="str">
        <f t="shared" si="19"/>
        <v>buildingLevelUp{buildingType:215,buildingLevel:6}</v>
      </c>
      <c r="T48" s="38" t="s">
        <v>52</v>
      </c>
      <c r="U48" s="38" t="s">
        <v>108</v>
      </c>
      <c r="V48" s="38" t="s">
        <v>109</v>
      </c>
      <c r="W48" s="38">
        <v>100184</v>
      </c>
      <c r="Y48" s="38" t="s">
        <v>56</v>
      </c>
      <c r="Z48" s="38" t="s">
        <v>57</v>
      </c>
      <c r="AB48" s="38">
        <v>6622006</v>
      </c>
    </row>
    <row r="49" spans="1:28" s="38" customFormat="1" ht="16.149999999999999" customHeight="1" x14ac:dyDescent="0.45">
      <c r="A49" s="38">
        <f t="shared" si="29"/>
        <v>10801020</v>
      </c>
      <c r="B49" s="41">
        <v>8</v>
      </c>
      <c r="C49" s="38">
        <v>1</v>
      </c>
      <c r="D49" s="38">
        <v>2</v>
      </c>
      <c r="E49" s="38" t="s">
        <v>48</v>
      </c>
      <c r="F49" s="64" t="s">
        <v>3302</v>
      </c>
      <c r="G49" s="41" t="s">
        <v>3303</v>
      </c>
      <c r="H49" s="41">
        <v>7</v>
      </c>
      <c r="I49" s="41" t="s">
        <v>63</v>
      </c>
      <c r="J49" s="38" t="str">
        <f t="shared" si="33"/>
        <v>升级城镇中心至7级</v>
      </c>
      <c r="K49" s="38">
        <f t="shared" si="30"/>
        <v>10801020</v>
      </c>
      <c r="L49" s="38" t="str">
        <f>F72</f>
        <v>TID_BranchLineTaskConf_204_1_taskName_GL_Main</v>
      </c>
      <c r="M49" s="38">
        <f t="shared" si="5"/>
        <v>10801010</v>
      </c>
      <c r="N49" s="38" t="s">
        <v>51</v>
      </c>
      <c r="O49" s="38" t="s">
        <v>52</v>
      </c>
      <c r="Q49" s="38" t="s">
        <v>52</v>
      </c>
      <c r="R49" s="38" t="s">
        <v>97</v>
      </c>
      <c r="S49" s="38" t="str">
        <f t="shared" si="19"/>
        <v>buildingLevelUp{buildingType:201,buildingLevel:7}</v>
      </c>
      <c r="T49" s="38" t="s">
        <v>52</v>
      </c>
      <c r="U49" s="38" t="s">
        <v>98</v>
      </c>
      <c r="V49" s="38" t="s">
        <v>99</v>
      </c>
      <c r="W49" s="38">
        <v>100177</v>
      </c>
      <c r="Y49" s="38" t="s">
        <v>56</v>
      </c>
      <c r="Z49" s="38" t="s">
        <v>57</v>
      </c>
      <c r="AB49" s="38">
        <v>6622007</v>
      </c>
    </row>
    <row r="50" spans="1:28" s="38" customFormat="1" ht="16.149999999999999" customHeight="1" x14ac:dyDescent="0.45">
      <c r="A50" s="38">
        <f t="shared" ref="A50:A54" si="34">10000000+B50*100000+C50*1000+D50*10</f>
        <v>10801030</v>
      </c>
      <c r="B50" s="41">
        <v>8</v>
      </c>
      <c r="C50" s="38">
        <v>1</v>
      </c>
      <c r="D50" s="38">
        <v>3</v>
      </c>
      <c r="E50" s="38" t="s">
        <v>48</v>
      </c>
      <c r="F50" s="64" t="s">
        <v>3304</v>
      </c>
      <c r="G50" s="41" t="s">
        <v>3305</v>
      </c>
      <c r="H50" s="41">
        <v>1</v>
      </c>
      <c r="I50" s="41" t="s">
        <v>59</v>
      </c>
      <c r="J50" s="38" t="str">
        <f t="shared" si="33"/>
        <v>在码头进行捕鱼1次</v>
      </c>
      <c r="K50" s="38">
        <f t="shared" ref="K50:K55" si="35">A50</f>
        <v>10801030</v>
      </c>
      <c r="L50" s="38" t="str">
        <f>F9</f>
        <v>TID_BranchLineTaskConf_10601031_taskName_GL_Main</v>
      </c>
      <c r="M50" s="38">
        <f t="shared" si="5"/>
        <v>10801020</v>
      </c>
      <c r="N50" s="38" t="s">
        <v>51</v>
      </c>
      <c r="O50" s="38" t="s">
        <v>52</v>
      </c>
      <c r="Q50" s="38" t="s">
        <v>52</v>
      </c>
      <c r="R50" s="38" t="s">
        <v>179</v>
      </c>
      <c r="S50" s="38" t="str">
        <f t="shared" si="19"/>
        <v>statisticReach{type:"CityGameFishingEvent",value:1}</v>
      </c>
      <c r="T50" s="38" t="s">
        <v>52</v>
      </c>
      <c r="V50" s="38" t="s">
        <v>180</v>
      </c>
      <c r="W50" s="38">
        <v>100307</v>
      </c>
      <c r="Y50" s="38" t="s">
        <v>56</v>
      </c>
      <c r="Z50" s="38" t="s">
        <v>57</v>
      </c>
      <c r="AB50" s="38">
        <v>6622007</v>
      </c>
    </row>
    <row r="51" spans="1:28" s="39" customFormat="1" x14ac:dyDescent="0.45">
      <c r="A51" s="39">
        <f t="shared" si="34"/>
        <v>10801040</v>
      </c>
      <c r="B51" s="42">
        <v>8</v>
      </c>
      <c r="C51" s="39">
        <v>1</v>
      </c>
      <c r="D51" s="39">
        <v>4</v>
      </c>
      <c r="E51" s="39" t="s">
        <v>48</v>
      </c>
      <c r="F51" s="39" t="s">
        <v>3306</v>
      </c>
      <c r="G51" s="42" t="s">
        <v>71</v>
      </c>
      <c r="H51" s="42">
        <v>7</v>
      </c>
      <c r="I51" s="42" t="s">
        <v>63</v>
      </c>
      <c r="J51" s="39" t="str">
        <f t="shared" si="33"/>
        <v>升级磨坊至7级</v>
      </c>
      <c r="K51" s="39">
        <f t="shared" si="35"/>
        <v>10801040</v>
      </c>
      <c r="L51" s="39" t="str">
        <f>F53</f>
        <v>TID_BranchLineTaskConfSpecial_206_1_taskName_GL_Main</v>
      </c>
      <c r="M51" s="39">
        <f t="shared" si="5"/>
        <v>10801030</v>
      </c>
      <c r="N51" s="39" t="s">
        <v>51</v>
      </c>
      <c r="O51" s="39" t="s">
        <v>52</v>
      </c>
      <c r="Q51" s="39" t="s">
        <v>52</v>
      </c>
      <c r="R51" s="39" t="s">
        <v>72</v>
      </c>
      <c r="S51" s="39" t="str">
        <f t="shared" si="19"/>
        <v>buildingLevelUp{buildingType:203,buildingLevel:7}</v>
      </c>
      <c r="T51" s="39" t="s">
        <v>52</v>
      </c>
      <c r="U51" s="39" t="s">
        <v>73</v>
      </c>
      <c r="V51" s="39" t="s">
        <v>181</v>
      </c>
      <c r="W51" s="39">
        <v>100179</v>
      </c>
      <c r="Y51" s="39" t="s">
        <v>56</v>
      </c>
      <c r="Z51" s="39" t="s">
        <v>57</v>
      </c>
      <c r="AB51" s="39">
        <v>6622301</v>
      </c>
    </row>
    <row r="52" spans="1:28" s="39" customFormat="1" x14ac:dyDescent="0.45">
      <c r="A52" s="39">
        <f t="shared" si="34"/>
        <v>10801050</v>
      </c>
      <c r="B52" s="42">
        <v>8</v>
      </c>
      <c r="C52" s="39">
        <v>1</v>
      </c>
      <c r="D52" s="39">
        <v>5</v>
      </c>
      <c r="E52" s="39" t="s">
        <v>48</v>
      </c>
      <c r="F52" s="39" t="s">
        <v>3307</v>
      </c>
      <c r="G52" s="42" t="s">
        <v>106</v>
      </c>
      <c r="H52" s="42">
        <v>7</v>
      </c>
      <c r="I52" s="42" t="s">
        <v>63</v>
      </c>
      <c r="J52" s="39" t="str">
        <f t="shared" si="33"/>
        <v>升级城墙至7级</v>
      </c>
      <c r="K52" s="39">
        <f t="shared" si="35"/>
        <v>10801050</v>
      </c>
      <c r="L52" s="39" t="str">
        <f>F54</f>
        <v>TID_BranchLineTaskConf_20000001_06_taskName_GL_Main</v>
      </c>
      <c r="M52" s="39">
        <f t="shared" si="5"/>
        <v>10801040</v>
      </c>
      <c r="N52" s="39" t="s">
        <v>51</v>
      </c>
      <c r="O52" s="39" t="s">
        <v>52</v>
      </c>
      <c r="Q52" s="39" t="s">
        <v>52</v>
      </c>
      <c r="R52" s="39" t="s">
        <v>107</v>
      </c>
      <c r="S52" s="39" t="str">
        <f t="shared" si="19"/>
        <v>buildingLevelUp{buildingType:215,buildingLevel:7}</v>
      </c>
      <c r="T52" s="39" t="s">
        <v>52</v>
      </c>
      <c r="U52" s="39" t="s">
        <v>108</v>
      </c>
      <c r="V52" s="39" t="s">
        <v>109</v>
      </c>
      <c r="W52" s="39">
        <v>100184</v>
      </c>
      <c r="Y52" s="39" t="s">
        <v>56</v>
      </c>
      <c r="Z52" s="39" t="s">
        <v>57</v>
      </c>
      <c r="AB52" s="39">
        <v>6622303</v>
      </c>
    </row>
    <row r="53" spans="1:28" s="39" customFormat="1" x14ac:dyDescent="0.45">
      <c r="A53" s="39">
        <f t="shared" si="34"/>
        <v>10801060</v>
      </c>
      <c r="B53" s="42">
        <v>8</v>
      </c>
      <c r="C53" s="39">
        <v>1</v>
      </c>
      <c r="D53" s="39">
        <v>6</v>
      </c>
      <c r="E53" s="39" t="s">
        <v>48</v>
      </c>
      <c r="F53" s="39" t="s">
        <v>3308</v>
      </c>
      <c r="G53" s="42" t="s">
        <v>183</v>
      </c>
      <c r="H53" s="42">
        <v>7</v>
      </c>
      <c r="I53" s="42" t="s">
        <v>63</v>
      </c>
      <c r="J53" s="39" t="str">
        <f t="shared" ref="J53:J57" si="36">G53&amp;H53&amp;I53</f>
        <v>升级剑士营至7级</v>
      </c>
      <c r="K53" s="39">
        <f t="shared" si="35"/>
        <v>10801060</v>
      </c>
      <c r="L53" s="39" t="str">
        <f>F58</f>
        <v>TID_BranchLineTaskConf_215_5_taskName_GL_Main</v>
      </c>
      <c r="M53" s="39">
        <f t="shared" si="5"/>
        <v>10801050</v>
      </c>
      <c r="N53" s="39" t="s">
        <v>51</v>
      </c>
      <c r="O53" s="39" t="s">
        <v>52</v>
      </c>
      <c r="Q53" s="39" t="s">
        <v>52</v>
      </c>
      <c r="R53" s="39" t="s">
        <v>184</v>
      </c>
      <c r="S53" s="39" t="str">
        <f t="shared" si="19"/>
        <v>buildingLevelUp{buildingType:206,buildingLevel:7}</v>
      </c>
      <c r="T53" s="39" t="s">
        <v>52</v>
      </c>
      <c r="U53" s="39" t="s">
        <v>152</v>
      </c>
      <c r="V53" s="39" t="s">
        <v>185</v>
      </c>
      <c r="W53" s="39">
        <v>100182</v>
      </c>
      <c r="Y53" s="39" t="s">
        <v>56</v>
      </c>
      <c r="Z53" s="39" t="s">
        <v>57</v>
      </c>
      <c r="AB53" s="39">
        <v>6622008</v>
      </c>
    </row>
    <row r="54" spans="1:28" s="39" customFormat="1" x14ac:dyDescent="0.45">
      <c r="A54" s="39">
        <f t="shared" si="34"/>
        <v>10801070</v>
      </c>
      <c r="B54" s="42">
        <v>8</v>
      </c>
      <c r="C54" s="39">
        <v>1</v>
      </c>
      <c r="D54" s="39">
        <v>7</v>
      </c>
      <c r="E54" s="39" t="s">
        <v>48</v>
      </c>
      <c r="F54" s="65" t="s">
        <v>3341</v>
      </c>
      <c r="G54" s="42" t="s">
        <v>3282</v>
      </c>
      <c r="H54" s="42">
        <v>6</v>
      </c>
      <c r="I54" s="42" t="s">
        <v>3283</v>
      </c>
      <c r="J54" s="39" t="str">
        <f t="shared" si="36"/>
        <v>完成海岛战弈第6关</v>
      </c>
      <c r="K54" s="39">
        <f t="shared" si="35"/>
        <v>10801070</v>
      </c>
      <c r="L54" s="39" t="str">
        <f t="shared" ref="L54" si="37">F53</f>
        <v>TID_BranchLineTaskConfSpecial_206_1_taskName_GL_Main</v>
      </c>
      <c r="M54" s="39">
        <f t="shared" ref="M54" si="38">A53</f>
        <v>10801060</v>
      </c>
      <c r="N54" s="39" t="s">
        <v>51</v>
      </c>
      <c r="O54" s="39" t="s">
        <v>52</v>
      </c>
      <c r="Q54" s="39" t="s">
        <v>52</v>
      </c>
      <c r="R54" s="39" t="s">
        <v>3338</v>
      </c>
      <c r="S54" s="39" t="str">
        <f t="shared" si="19"/>
        <v>autoChessPassLevel { level: 6,value:1}</v>
      </c>
      <c r="T54" s="39" t="s">
        <v>52</v>
      </c>
      <c r="W54" s="39">
        <v>100342</v>
      </c>
      <c r="Y54" s="39" t="s">
        <v>56</v>
      </c>
      <c r="Z54" s="39" t="s">
        <v>57</v>
      </c>
      <c r="AB54" s="39">
        <v>6622004</v>
      </c>
    </row>
    <row r="55" spans="1:28" s="39" customFormat="1" x14ac:dyDescent="0.45">
      <c r="A55" s="39">
        <f t="shared" ref="A55:A59" si="39">10000000+B55*100000+C55*1000+D55*10</f>
        <v>10801080</v>
      </c>
      <c r="B55" s="42">
        <v>8</v>
      </c>
      <c r="C55" s="39">
        <v>1</v>
      </c>
      <c r="D55" s="39">
        <v>8</v>
      </c>
      <c r="E55" s="39" t="s">
        <v>48</v>
      </c>
      <c r="F55" s="39" t="s">
        <v>3262</v>
      </c>
      <c r="G55" s="42" t="s">
        <v>89</v>
      </c>
      <c r="H55" s="42">
        <v>4</v>
      </c>
      <c r="I55" s="42" t="s">
        <v>90</v>
      </c>
      <c r="J55" s="39" t="str">
        <f t="shared" si="36"/>
        <v>清剿4级或更高级【普通】蛮族</v>
      </c>
      <c r="K55" s="39">
        <f t="shared" si="35"/>
        <v>10801080</v>
      </c>
      <c r="L55" s="39" t="str">
        <f>F78</f>
        <v>TID_BranchLineTaskConf_10012040_taskName_GL_Main</v>
      </c>
      <c r="M55" s="39">
        <f t="shared" si="5"/>
        <v>10801070</v>
      </c>
      <c r="N55" s="39" t="s">
        <v>51</v>
      </c>
      <c r="O55" s="39" t="s">
        <v>52</v>
      </c>
      <c r="Q55" s="39" t="s">
        <v>52</v>
      </c>
      <c r="R55" s="39" t="s">
        <v>91</v>
      </c>
      <c r="S55" s="39" t="str">
        <f t="shared" si="19"/>
        <v>statisticReach{type:"BattleKillMonsterEvent4_1",value:1}</v>
      </c>
      <c r="T55" s="39" t="s">
        <v>52</v>
      </c>
      <c r="U55" s="39" t="s">
        <v>191</v>
      </c>
      <c r="V55" s="39" t="s">
        <v>92</v>
      </c>
      <c r="W55" s="39">
        <v>100325</v>
      </c>
      <c r="Y55" s="39" t="s">
        <v>56</v>
      </c>
      <c r="Z55" s="39" t="s">
        <v>57</v>
      </c>
      <c r="AB55" s="39">
        <v>6622007</v>
      </c>
    </row>
    <row r="56" spans="1:28" s="39" customFormat="1" x14ac:dyDescent="0.45">
      <c r="A56" s="39">
        <f t="shared" si="39"/>
        <v>10801090</v>
      </c>
      <c r="B56" s="42">
        <v>8</v>
      </c>
      <c r="C56" s="39">
        <v>1</v>
      </c>
      <c r="D56" s="39">
        <v>9</v>
      </c>
      <c r="E56" s="39" t="s">
        <v>48</v>
      </c>
      <c r="F56" s="39" t="s">
        <v>3309</v>
      </c>
      <c r="G56" s="42" t="s">
        <v>96</v>
      </c>
      <c r="H56" s="42">
        <v>8</v>
      </c>
      <c r="I56" s="42" t="s">
        <v>63</v>
      </c>
      <c r="J56" s="39" t="str">
        <f t="shared" si="36"/>
        <v>升级城镇中心至8级</v>
      </c>
      <c r="K56" s="39">
        <f t="shared" ref="K56:K59" si="40">A56</f>
        <v>10801090</v>
      </c>
      <c r="L56" s="39" t="str">
        <f>F79</f>
        <v>TID_BranchLineTaskConf_11010111_taskName_GL_Main</v>
      </c>
      <c r="M56" s="39">
        <f t="shared" si="5"/>
        <v>10801080</v>
      </c>
      <c r="N56" s="39" t="s">
        <v>51</v>
      </c>
      <c r="O56" s="39" t="s">
        <v>52</v>
      </c>
      <c r="Q56" s="39" t="s">
        <v>52</v>
      </c>
      <c r="R56" s="39" t="s">
        <v>97</v>
      </c>
      <c r="S56" s="39" t="str">
        <f t="shared" si="19"/>
        <v>buildingLevelUp{buildingType:201,buildingLevel:8}</v>
      </c>
      <c r="T56" s="39" t="s">
        <v>52</v>
      </c>
      <c r="U56" s="39" t="s">
        <v>98</v>
      </c>
      <c r="V56" s="39" t="s">
        <v>99</v>
      </c>
      <c r="W56" s="39">
        <v>100177</v>
      </c>
      <c r="Y56" s="39" t="s">
        <v>56</v>
      </c>
      <c r="Z56" s="39" t="s">
        <v>57</v>
      </c>
      <c r="AB56" s="39">
        <v>6622009</v>
      </c>
    </row>
    <row r="57" spans="1:28" s="38" customFormat="1" ht="16.149999999999999" customHeight="1" x14ac:dyDescent="0.45">
      <c r="A57" s="38">
        <f t="shared" si="39"/>
        <v>10801100</v>
      </c>
      <c r="B57" s="41">
        <v>8</v>
      </c>
      <c r="C57" s="38">
        <v>1</v>
      </c>
      <c r="D57" s="38">
        <v>10</v>
      </c>
      <c r="E57" s="38" t="s">
        <v>48</v>
      </c>
      <c r="F57" s="64" t="s">
        <v>3310</v>
      </c>
      <c r="G57" s="41" t="s">
        <v>3293</v>
      </c>
      <c r="H57" s="41">
        <v>1</v>
      </c>
      <c r="I57" s="41" t="s">
        <v>194</v>
      </c>
      <c r="J57" s="38" t="str">
        <f t="shared" si="36"/>
        <v>建造1个大使馆</v>
      </c>
      <c r="K57" s="38">
        <f t="shared" si="40"/>
        <v>10801100</v>
      </c>
      <c r="L57" s="38" t="str">
        <f>F54</f>
        <v>TID_BranchLineTaskConf_20000001_06_taskName_GL_Main</v>
      </c>
      <c r="M57" s="38">
        <f t="shared" si="5"/>
        <v>10801090</v>
      </c>
      <c r="N57" s="38" t="s">
        <v>51</v>
      </c>
      <c r="O57" s="38" t="s">
        <v>52</v>
      </c>
      <c r="Q57" s="38" t="s">
        <v>52</v>
      </c>
      <c r="R57" s="38" t="s">
        <v>195</v>
      </c>
      <c r="S57" s="38" t="str">
        <f t="shared" si="19"/>
        <v>buildingSum{buildingType:230,sum:1}</v>
      </c>
      <c r="T57" s="38" t="s">
        <v>52</v>
      </c>
      <c r="U57" s="38" t="s">
        <v>196</v>
      </c>
      <c r="V57" s="38" t="s">
        <v>197</v>
      </c>
      <c r="W57" s="38">
        <v>100306</v>
      </c>
      <c r="Y57" s="38" t="s">
        <v>56</v>
      </c>
      <c r="Z57" s="38" t="s">
        <v>57</v>
      </c>
      <c r="AB57" s="38">
        <v>6622005</v>
      </c>
    </row>
    <row r="58" spans="1:28" s="38" customFormat="1" ht="16.149999999999999" customHeight="1" x14ac:dyDescent="0.45">
      <c r="A58" s="38">
        <f t="shared" si="39"/>
        <v>10801110</v>
      </c>
      <c r="B58" s="41">
        <v>8</v>
      </c>
      <c r="C58" s="38">
        <v>1</v>
      </c>
      <c r="D58" s="38">
        <v>11</v>
      </c>
      <c r="E58" s="38" t="s">
        <v>48</v>
      </c>
      <c r="F58" s="64" t="s">
        <v>3311</v>
      </c>
      <c r="G58" s="41" t="s">
        <v>3254</v>
      </c>
      <c r="H58" s="41">
        <v>8</v>
      </c>
      <c r="I58" s="41" t="s">
        <v>63</v>
      </c>
      <c r="J58" s="38" t="str">
        <f t="shared" ref="J58" si="41">G58&amp;H58&amp;I58</f>
        <v>升级城墙至8级</v>
      </c>
      <c r="K58" s="38">
        <f t="shared" si="40"/>
        <v>10801110</v>
      </c>
      <c r="L58" s="38" t="str">
        <f>F85</f>
        <v>TID_BranchLineTaskConf_204_2_taskName_GL_Main</v>
      </c>
      <c r="M58" s="38">
        <f t="shared" si="5"/>
        <v>10801100</v>
      </c>
      <c r="N58" s="38" t="s">
        <v>51</v>
      </c>
      <c r="O58" s="38" t="s">
        <v>52</v>
      </c>
      <c r="Q58" s="38" t="s">
        <v>52</v>
      </c>
      <c r="R58" s="38" t="s">
        <v>107</v>
      </c>
      <c r="S58" s="38" t="str">
        <f t="shared" si="19"/>
        <v>buildingLevelUp{buildingType:215,buildingLevel:8}</v>
      </c>
      <c r="T58" s="38" t="s">
        <v>52</v>
      </c>
      <c r="U58" s="38" t="s">
        <v>108</v>
      </c>
      <c r="V58" s="38" t="s">
        <v>109</v>
      </c>
      <c r="W58" s="38">
        <v>100184</v>
      </c>
      <c r="Y58" s="38" t="s">
        <v>56</v>
      </c>
      <c r="Z58" s="38" t="s">
        <v>57</v>
      </c>
      <c r="AB58" s="38">
        <v>6622004</v>
      </c>
    </row>
    <row r="59" spans="1:28" s="38" customFormat="1" ht="16.149999999999999" customHeight="1" x14ac:dyDescent="0.45">
      <c r="A59" s="38">
        <f t="shared" si="39"/>
        <v>10901010</v>
      </c>
      <c r="B59" s="41">
        <v>9</v>
      </c>
      <c r="C59" s="38">
        <v>1</v>
      </c>
      <c r="D59" s="38">
        <f t="shared" ref="D59:D62" si="42">IF(B59=B58,D58+1,1)</f>
        <v>1</v>
      </c>
      <c r="E59" s="38" t="s">
        <v>48</v>
      </c>
      <c r="F59" s="64" t="s">
        <v>3312</v>
      </c>
      <c r="G59" s="41" t="s">
        <v>3303</v>
      </c>
      <c r="H59" s="41">
        <v>9</v>
      </c>
      <c r="I59" s="41" t="s">
        <v>63</v>
      </c>
      <c r="J59" s="38" t="str">
        <f t="shared" ref="J59:J63" si="43">G59&amp;H59&amp;I59</f>
        <v>升级城镇中心至9级</v>
      </c>
      <c r="K59" s="38">
        <f t="shared" si="40"/>
        <v>10901010</v>
      </c>
      <c r="L59" s="38" t="str">
        <f>F90</f>
        <v>TID_BranchLineTaskConf_400_2_taskName_GL_Main</v>
      </c>
      <c r="M59" s="38">
        <f t="shared" si="5"/>
        <v>10801110</v>
      </c>
      <c r="N59" s="38" t="s">
        <v>51</v>
      </c>
      <c r="O59" s="38" t="s">
        <v>52</v>
      </c>
      <c r="Q59" s="38" t="s">
        <v>52</v>
      </c>
      <c r="R59" s="38" t="s">
        <v>97</v>
      </c>
      <c r="S59" s="38" t="str">
        <f t="shared" si="19"/>
        <v>buildingLevelUp{buildingType:201,buildingLevel:9}</v>
      </c>
      <c r="T59" s="38" t="s">
        <v>52</v>
      </c>
      <c r="U59" s="38" t="s">
        <v>98</v>
      </c>
      <c r="V59" s="38" t="s">
        <v>99</v>
      </c>
      <c r="W59" s="38">
        <v>100177</v>
      </c>
      <c r="Y59" s="38" t="s">
        <v>56</v>
      </c>
      <c r="Z59" s="38" t="s">
        <v>57</v>
      </c>
      <c r="AB59" s="38">
        <v>6622004</v>
      </c>
    </row>
    <row r="60" spans="1:28" s="38" customFormat="1" ht="16.149999999999999" customHeight="1" x14ac:dyDescent="0.45">
      <c r="A60" s="38">
        <f t="shared" ref="A60" si="44">10000000+B60*100000+C60*1000+D60*10</f>
        <v>10901020</v>
      </c>
      <c r="B60" s="41">
        <v>9</v>
      </c>
      <c r="C60" s="38">
        <v>1</v>
      </c>
      <c r="D60" s="38">
        <f t="shared" si="42"/>
        <v>2</v>
      </c>
      <c r="E60" s="38" t="s">
        <v>48</v>
      </c>
      <c r="F60" s="64" t="s">
        <v>3313</v>
      </c>
      <c r="G60" s="41" t="s">
        <v>3314</v>
      </c>
      <c r="H60" s="41">
        <v>15</v>
      </c>
      <c r="I60" s="41" t="s">
        <v>63</v>
      </c>
      <c r="J60" s="38" t="str">
        <f t="shared" si="43"/>
        <v>任意英雄等级提升至15级</v>
      </c>
      <c r="K60" s="38">
        <f t="shared" ref="K60" si="45">A60</f>
        <v>10901020</v>
      </c>
      <c r="L60" s="38" t="str">
        <f>F62</f>
        <v>TID_BranchLineTaskConf_peasant_3_taskName_GL_Main</v>
      </c>
      <c r="M60" s="38">
        <f t="shared" si="5"/>
        <v>10901010</v>
      </c>
      <c r="N60" s="38" t="s">
        <v>51</v>
      </c>
      <c r="O60" s="38" t="s">
        <v>52</v>
      </c>
      <c r="Q60" s="38" t="s">
        <v>52</v>
      </c>
      <c r="R60" s="38" t="s">
        <v>64</v>
      </c>
      <c r="S60" s="38" t="str">
        <f t="shared" si="19"/>
        <v>heroLevelUp{heroId:0,level:15}</v>
      </c>
      <c r="T60" s="38" t="s">
        <v>52</v>
      </c>
      <c r="U60" s="38" t="s">
        <v>61</v>
      </c>
      <c r="V60" s="38" t="s">
        <v>112</v>
      </c>
      <c r="W60" s="38">
        <v>100147</v>
      </c>
      <c r="Y60" s="38" t="s">
        <v>56</v>
      </c>
      <c r="Z60" s="38" t="s">
        <v>57</v>
      </c>
      <c r="AB60" s="38">
        <v>6622301</v>
      </c>
    </row>
    <row r="61" spans="1:28" s="38" customFormat="1" ht="16.149999999999999" customHeight="1" x14ac:dyDescent="0.45">
      <c r="A61" s="38">
        <f t="shared" ref="A61:A65" si="46">10000000+B61*100000+C61*1000+D61*10</f>
        <v>10901030</v>
      </c>
      <c r="B61" s="41">
        <v>9</v>
      </c>
      <c r="C61" s="38">
        <v>1</v>
      </c>
      <c r="D61" s="38">
        <f t="shared" si="42"/>
        <v>3</v>
      </c>
      <c r="E61" s="38" t="s">
        <v>48</v>
      </c>
      <c r="F61" s="64" t="s">
        <v>3265</v>
      </c>
      <c r="G61" s="41" t="s">
        <v>3298</v>
      </c>
      <c r="H61" s="41">
        <v>5</v>
      </c>
      <c r="I61" s="41" t="s">
        <v>90</v>
      </c>
      <c r="J61" s="38" t="str">
        <f t="shared" si="43"/>
        <v>清剿5级或更高级【普通】蛮族</v>
      </c>
      <c r="K61" s="38">
        <f t="shared" ref="K61:K65" si="47">A61</f>
        <v>10901030</v>
      </c>
      <c r="L61" s="38" t="str">
        <f>F63</f>
        <v>TID_BranchLineTaskConf_20000001_08_taskName_GL_Main</v>
      </c>
      <c r="M61" s="38">
        <f t="shared" si="5"/>
        <v>10901020</v>
      </c>
      <c r="N61" s="38" t="s">
        <v>51</v>
      </c>
      <c r="O61" s="38" t="s">
        <v>52</v>
      </c>
      <c r="Q61" s="38" t="s">
        <v>52</v>
      </c>
      <c r="R61" s="38" t="s">
        <v>91</v>
      </c>
      <c r="S61" s="38" t="str">
        <f t="shared" si="19"/>
        <v>statisticReach{type:"BattleKillMonsterEvent5_1",value:1}</v>
      </c>
      <c r="T61" s="38" t="s">
        <v>52</v>
      </c>
      <c r="U61" s="38" t="s">
        <v>61</v>
      </c>
      <c r="V61" s="38" t="s">
        <v>92</v>
      </c>
      <c r="W61" s="38">
        <f>VLOOKUP(V61,[1]界面跳转!$I:$J,2,FALSE)</f>
        <v>7254</v>
      </c>
      <c r="Y61" s="38" t="s">
        <v>56</v>
      </c>
      <c r="Z61" s="38" t="s">
        <v>57</v>
      </c>
      <c r="AB61" s="38">
        <v>6622009</v>
      </c>
    </row>
    <row r="62" spans="1:28" s="39" customFormat="1" x14ac:dyDescent="0.45">
      <c r="A62" s="39">
        <f t="shared" si="46"/>
        <v>10901040</v>
      </c>
      <c r="B62" s="42">
        <v>9</v>
      </c>
      <c r="C62" s="39">
        <v>1</v>
      </c>
      <c r="D62" s="39">
        <f t="shared" si="42"/>
        <v>4</v>
      </c>
      <c r="E62" s="39" t="s">
        <v>48</v>
      </c>
      <c r="F62" s="39" t="s">
        <v>3315</v>
      </c>
      <c r="G62" s="42" t="s">
        <v>201</v>
      </c>
      <c r="H62" s="42">
        <v>20</v>
      </c>
      <c r="I62" s="42" t="s">
        <v>80</v>
      </c>
      <c r="J62" s="39" t="str">
        <f t="shared" si="43"/>
        <v>训练农民到20名</v>
      </c>
      <c r="K62" s="39">
        <f t="shared" si="47"/>
        <v>10901040</v>
      </c>
      <c r="L62" s="39" t="str">
        <f>F64</f>
        <v>TID_BranchLineTaskConf_211_8_taskName_GL_Main</v>
      </c>
      <c r="M62" s="39">
        <f t="shared" si="5"/>
        <v>10901030</v>
      </c>
      <c r="N62" s="39" t="s">
        <v>51</v>
      </c>
      <c r="O62" s="39" t="s">
        <v>52</v>
      </c>
      <c r="Q62" s="39" t="s">
        <v>52</v>
      </c>
      <c r="R62" s="39" t="s">
        <v>202</v>
      </c>
      <c r="S62" s="39" t="str">
        <f t="shared" si="19"/>
        <v>statisticReach{type:"InnerPeasantTrainEvent",value:20}</v>
      </c>
      <c r="T62" s="39" t="s">
        <v>52</v>
      </c>
      <c r="U62" s="39" t="s">
        <v>66</v>
      </c>
      <c r="W62" s="39">
        <v>100190</v>
      </c>
      <c r="Y62" s="39" t="s">
        <v>56</v>
      </c>
      <c r="Z62" s="39" t="s">
        <v>57</v>
      </c>
      <c r="AB62" s="39">
        <v>6622009</v>
      </c>
    </row>
    <row r="63" spans="1:28" s="39" customFormat="1" x14ac:dyDescent="0.45">
      <c r="A63" s="39">
        <f t="shared" si="46"/>
        <v>10901050</v>
      </c>
      <c r="B63" s="42">
        <v>9</v>
      </c>
      <c r="C63" s="39">
        <v>1</v>
      </c>
      <c r="D63" s="39">
        <v>5</v>
      </c>
      <c r="E63" s="39" t="s">
        <v>48</v>
      </c>
      <c r="F63" s="65" t="s">
        <v>3342</v>
      </c>
      <c r="G63" s="42" t="s">
        <v>3282</v>
      </c>
      <c r="H63" s="42">
        <v>8</v>
      </c>
      <c r="I63" s="42" t="s">
        <v>3283</v>
      </c>
      <c r="J63" s="39" t="str">
        <f t="shared" si="43"/>
        <v>完成海岛战弈第8关</v>
      </c>
      <c r="K63" s="39">
        <f t="shared" si="47"/>
        <v>10901050</v>
      </c>
      <c r="L63" s="39" t="str">
        <f t="shared" ref="L63" si="48">F62</f>
        <v>TID_BranchLineTaskConf_peasant_3_taskName_GL_Main</v>
      </c>
      <c r="M63" s="39">
        <f t="shared" si="5"/>
        <v>10901040</v>
      </c>
      <c r="N63" s="39" t="s">
        <v>51</v>
      </c>
      <c r="O63" s="39" t="s">
        <v>52</v>
      </c>
      <c r="Q63" s="39" t="s">
        <v>52</v>
      </c>
      <c r="R63" s="39" t="s">
        <v>3338</v>
      </c>
      <c r="S63" s="39" t="str">
        <f t="shared" ref="S63" si="49">SUBSTITUTE(R63,"@@@",H63)</f>
        <v>autoChessPassLevel { level: 8,value:1}</v>
      </c>
      <c r="T63" s="39" t="s">
        <v>52</v>
      </c>
      <c r="W63" s="39">
        <v>100342</v>
      </c>
      <c r="Y63" s="39" t="s">
        <v>56</v>
      </c>
      <c r="Z63" s="39" t="s">
        <v>57</v>
      </c>
      <c r="AB63" s="39">
        <v>6622004</v>
      </c>
    </row>
    <row r="64" spans="1:28" s="39" customFormat="1" x14ac:dyDescent="0.45">
      <c r="A64" s="39">
        <f t="shared" si="46"/>
        <v>10901060</v>
      </c>
      <c r="B64" s="42">
        <v>9</v>
      </c>
      <c r="C64" s="39">
        <v>1</v>
      </c>
      <c r="D64" s="39">
        <v>6</v>
      </c>
      <c r="E64" s="39" t="s">
        <v>48</v>
      </c>
      <c r="F64" s="39" t="s">
        <v>3316</v>
      </c>
      <c r="G64" s="42" t="s">
        <v>124</v>
      </c>
      <c r="H64" s="42">
        <v>9</v>
      </c>
      <c r="I64" s="42" t="s">
        <v>63</v>
      </c>
      <c r="J64" s="39" t="str">
        <f t="shared" ref="J64:J68" si="50">G64&amp;H64&amp;I64</f>
        <v>升级学院至9级</v>
      </c>
      <c r="K64" s="39">
        <f t="shared" si="47"/>
        <v>10901060</v>
      </c>
      <c r="L64" s="39" t="str">
        <f>F66</f>
        <v>TID_BranchLineTaskConf_10910113_taskName_GL_Main</v>
      </c>
      <c r="M64" s="39">
        <f t="shared" si="5"/>
        <v>10901050</v>
      </c>
      <c r="N64" s="39" t="s">
        <v>51</v>
      </c>
      <c r="O64" s="39" t="s">
        <v>52</v>
      </c>
      <c r="Q64" s="39" t="s">
        <v>52</v>
      </c>
      <c r="R64" s="39" t="s">
        <v>125</v>
      </c>
      <c r="S64" s="39" t="str">
        <f t="shared" si="19"/>
        <v>buildingLevelUp{buildingType:211,buildingLevel:9}</v>
      </c>
      <c r="T64" s="39" t="s">
        <v>52</v>
      </c>
      <c r="U64" s="39" t="s">
        <v>126</v>
      </c>
      <c r="V64" s="39" t="s">
        <v>127</v>
      </c>
      <c r="W64" s="39">
        <v>100183</v>
      </c>
      <c r="Y64" s="39" t="s">
        <v>56</v>
      </c>
      <c r="Z64" s="39" t="s">
        <v>57</v>
      </c>
      <c r="AB64" s="39">
        <v>6622110</v>
      </c>
    </row>
    <row r="65" spans="1:34" s="39" customFormat="1" x14ac:dyDescent="0.45">
      <c r="A65" s="39">
        <f t="shared" si="46"/>
        <v>10901070</v>
      </c>
      <c r="B65" s="42">
        <v>9</v>
      </c>
      <c r="C65" s="39">
        <v>1</v>
      </c>
      <c r="D65" s="39">
        <v>7</v>
      </c>
      <c r="E65" s="39" t="s">
        <v>48</v>
      </c>
      <c r="F65" s="39" t="s">
        <v>3317</v>
      </c>
      <c r="G65" s="42" t="s">
        <v>106</v>
      </c>
      <c r="H65" s="42">
        <v>9</v>
      </c>
      <c r="I65" s="42" t="s">
        <v>63</v>
      </c>
      <c r="J65" s="39" t="str">
        <f t="shared" si="50"/>
        <v>升级城墙至9级</v>
      </c>
      <c r="K65" s="39">
        <f t="shared" si="47"/>
        <v>10901070</v>
      </c>
      <c r="L65" s="39" t="str">
        <f>F94</f>
        <v>TID_BranchLineTaskConf_215_8_taskName_GL_Main</v>
      </c>
      <c r="M65" s="39">
        <f t="shared" si="5"/>
        <v>10901060</v>
      </c>
      <c r="N65" s="39" t="s">
        <v>51</v>
      </c>
      <c r="O65" s="39" t="s">
        <v>52</v>
      </c>
      <c r="Q65" s="39" t="s">
        <v>52</v>
      </c>
      <c r="R65" s="39" t="s">
        <v>107</v>
      </c>
      <c r="S65" s="39" t="str">
        <f t="shared" si="19"/>
        <v>buildingLevelUp{buildingType:215,buildingLevel:9}</v>
      </c>
      <c r="T65" s="39" t="s">
        <v>52</v>
      </c>
      <c r="U65" s="39" t="s">
        <v>108</v>
      </c>
      <c r="V65" s="39" t="s">
        <v>109</v>
      </c>
      <c r="W65" s="39">
        <v>100184</v>
      </c>
      <c r="Y65" s="39" t="s">
        <v>56</v>
      </c>
      <c r="Z65" s="39" t="s">
        <v>57</v>
      </c>
      <c r="AB65" s="39">
        <v>6622004</v>
      </c>
    </row>
    <row r="66" spans="1:34" s="39" customFormat="1" x14ac:dyDescent="0.45">
      <c r="A66" s="39">
        <f t="shared" ref="A66:A68" si="51">10000000+B66*100000+C66*1000+D66*10</f>
        <v>10901080</v>
      </c>
      <c r="B66" s="42">
        <v>9</v>
      </c>
      <c r="C66" s="39">
        <v>1</v>
      </c>
      <c r="D66" s="39">
        <v>8</v>
      </c>
      <c r="E66" s="39" t="s">
        <v>48</v>
      </c>
      <c r="F66" s="39" t="s">
        <v>3318</v>
      </c>
      <c r="G66" s="42" t="s">
        <v>96</v>
      </c>
      <c r="H66" s="42">
        <v>10</v>
      </c>
      <c r="I66" s="42" t="s">
        <v>63</v>
      </c>
      <c r="J66" s="39" t="str">
        <f t="shared" si="50"/>
        <v>升级城镇中心至10级</v>
      </c>
      <c r="K66" s="39">
        <f t="shared" ref="K66:K68" si="52">A66</f>
        <v>10901080</v>
      </c>
      <c r="L66" s="39" t="str">
        <f>F95</f>
        <v>TID_BranchLineTaskConf_226_3_taskName_GL_Main</v>
      </c>
      <c r="M66" s="39">
        <f t="shared" ref="M66:M68" si="53">A65</f>
        <v>10901070</v>
      </c>
      <c r="N66" s="39" t="s">
        <v>51</v>
      </c>
      <c r="O66" s="39" t="s">
        <v>52</v>
      </c>
      <c r="Q66" s="39" t="s">
        <v>52</v>
      </c>
      <c r="R66" s="39" t="s">
        <v>97</v>
      </c>
      <c r="S66" s="39" t="str">
        <f t="shared" si="19"/>
        <v>buildingLevelUp{buildingType:201,buildingLevel:10}</v>
      </c>
      <c r="T66" s="39" t="s">
        <v>52</v>
      </c>
      <c r="U66" s="39" t="s">
        <v>98</v>
      </c>
      <c r="V66" s="39" t="s">
        <v>99</v>
      </c>
      <c r="W66" s="39">
        <v>100177</v>
      </c>
      <c r="Y66" s="39" t="s">
        <v>56</v>
      </c>
      <c r="Z66" s="39" t="s">
        <v>57</v>
      </c>
      <c r="AB66" s="79">
        <v>6622010</v>
      </c>
    </row>
    <row r="67" spans="1:34" s="38" customFormat="1" ht="16.149999999999999" customHeight="1" x14ac:dyDescent="0.45">
      <c r="A67" s="38">
        <f t="shared" si="51"/>
        <v>10901090</v>
      </c>
      <c r="B67" s="41">
        <v>9</v>
      </c>
      <c r="C67" s="38">
        <v>1</v>
      </c>
      <c r="D67" s="38">
        <f t="shared" ref="D67" si="54">IF(B67=B66,D66+1,1)</f>
        <v>9</v>
      </c>
      <c r="E67" s="38" t="s">
        <v>48</v>
      </c>
      <c r="F67" s="64" t="s">
        <v>3319</v>
      </c>
      <c r="G67" s="41" t="s">
        <v>3320</v>
      </c>
      <c r="H67" s="41" t="s">
        <v>207</v>
      </c>
      <c r="I67" s="41" t="s">
        <v>208</v>
      </c>
      <c r="J67" s="38" t="str">
        <f t="shared" si="50"/>
        <v>升级至城堡时代</v>
      </c>
      <c r="K67" s="38">
        <f t="shared" si="52"/>
        <v>10901090</v>
      </c>
      <c r="L67" s="38" t="str">
        <f>F69</f>
        <v>TID_BranchLineTaskConf_11010102_taskName_GL_Main</v>
      </c>
      <c r="M67" s="38">
        <f t="shared" si="53"/>
        <v>10901080</v>
      </c>
      <c r="N67" s="38" t="s">
        <v>51</v>
      </c>
      <c r="O67" s="38" t="s">
        <v>52</v>
      </c>
      <c r="Q67" s="38" t="s">
        <v>52</v>
      </c>
      <c r="R67" s="38" t="s">
        <v>209</v>
      </c>
      <c r="S67" s="38" t="str">
        <f t="shared" si="19"/>
        <v>civilLevelUp{age:3,complete:1}</v>
      </c>
      <c r="T67" s="38" t="s">
        <v>52</v>
      </c>
      <c r="V67" s="38" t="s">
        <v>210</v>
      </c>
      <c r="W67" s="38">
        <f>VLOOKUP(V67,[1]界面跳转!$I:$J,2,FALSE)</f>
        <v>7003</v>
      </c>
      <c r="Y67" s="38" t="s">
        <v>56</v>
      </c>
      <c r="Z67" s="38" t="s">
        <v>57</v>
      </c>
      <c r="AB67" s="79">
        <v>6622010</v>
      </c>
    </row>
    <row r="68" spans="1:34" s="38" customFormat="1" ht="16.149999999999999" customHeight="1" x14ac:dyDescent="0.45">
      <c r="A68" s="38">
        <f t="shared" si="51"/>
        <v>10901100</v>
      </c>
      <c r="B68" s="41">
        <v>9</v>
      </c>
      <c r="C68" s="38">
        <v>1</v>
      </c>
      <c r="D68" s="38">
        <v>10</v>
      </c>
      <c r="E68" s="38" t="s">
        <v>48</v>
      </c>
      <c r="F68" s="64" t="s">
        <v>3343</v>
      </c>
      <c r="G68" s="41" t="s">
        <v>3282</v>
      </c>
      <c r="H68" s="41">
        <v>10</v>
      </c>
      <c r="I68" s="41" t="s">
        <v>3283</v>
      </c>
      <c r="J68" s="38" t="str">
        <f t="shared" si="50"/>
        <v>完成海岛战弈第10关</v>
      </c>
      <c r="K68" s="38">
        <f t="shared" si="52"/>
        <v>10901100</v>
      </c>
      <c r="L68" s="38" t="str">
        <f t="shared" ref="L68" si="55">F67</f>
        <v>TID_BranchLineTaskConf_10910114_taskName_GL_Main</v>
      </c>
      <c r="M68" s="38">
        <f t="shared" si="53"/>
        <v>10901090</v>
      </c>
      <c r="N68" s="38" t="s">
        <v>51</v>
      </c>
      <c r="O68" s="38" t="s">
        <v>52</v>
      </c>
      <c r="Q68" s="38" t="s">
        <v>52</v>
      </c>
      <c r="R68" s="38" t="s">
        <v>3338</v>
      </c>
      <c r="S68" s="38" t="str">
        <f t="shared" si="19"/>
        <v>autoChessPassLevel { level: 10,value:1}</v>
      </c>
      <c r="T68" s="38" t="s">
        <v>52</v>
      </c>
      <c r="W68" s="38">
        <v>100342</v>
      </c>
      <c r="Y68" s="38" t="s">
        <v>56</v>
      </c>
      <c r="Z68" s="38" t="s">
        <v>57</v>
      </c>
      <c r="AB68" s="79">
        <v>6622004</v>
      </c>
    </row>
    <row r="69" spans="1:34" x14ac:dyDescent="0.45">
      <c r="A69" s="4">
        <f t="shared" ref="A69:A103" si="56">10000000+B69*100000+C69*1000+D69*10</f>
        <v>11001010</v>
      </c>
      <c r="B69" s="22">
        <v>10</v>
      </c>
      <c r="C69" s="4">
        <v>1</v>
      </c>
      <c r="D69" s="4">
        <v>1</v>
      </c>
      <c r="E69" s="4" t="s">
        <v>48</v>
      </c>
      <c r="F69" s="4" t="s">
        <v>212</v>
      </c>
      <c r="G69" s="22" t="s">
        <v>75</v>
      </c>
      <c r="H69" s="22">
        <v>1</v>
      </c>
      <c r="I69" s="22" t="s">
        <v>213</v>
      </c>
      <c r="J69" s="4" t="str">
        <f t="shared" ref="J69:J103" si="57">G69&amp;H69&amp;I69</f>
        <v>建造1个金矿场</v>
      </c>
      <c r="K69" s="4">
        <f t="shared" ref="K69:K103" si="58">A69</f>
        <v>11001010</v>
      </c>
      <c r="L69" s="4" t="str">
        <f>F68</f>
        <v>TID_BranchLineTaskConf_20000001_10_taskName_GL_Main</v>
      </c>
      <c r="M69" s="4">
        <f>A65</f>
        <v>10901070</v>
      </c>
      <c r="N69" s="4" t="s">
        <v>51</v>
      </c>
      <c r="O69" s="4" t="s">
        <v>52</v>
      </c>
      <c r="P69" s="4" t="str">
        <f t="shared" ref="P69:P123" si="59">SUBSTITUTE(N69,"@@@",M69)</f>
        <v>taskReward{taskId:10901070}</v>
      </c>
      <c r="Q69" s="4" t="s">
        <v>52</v>
      </c>
      <c r="R69" s="4" t="s">
        <v>214</v>
      </c>
      <c r="S69" s="4" t="str">
        <f t="shared" ref="S69:S103" si="60">SUBSTITUTE(R69,"@@@",H69)</f>
        <v>buildingSum{buildingType:234,sum:1}</v>
      </c>
      <c r="T69" s="4" t="s">
        <v>52</v>
      </c>
      <c r="U69" s="4" t="s">
        <v>215</v>
      </c>
      <c r="V69" s="4" t="s">
        <v>216</v>
      </c>
      <c r="W69" s="4">
        <v>100160</v>
      </c>
      <c r="Y69" s="4" t="s">
        <v>56</v>
      </c>
      <c r="Z69" s="4" t="s">
        <v>57</v>
      </c>
      <c r="AB69" s="4">
        <v>6622010</v>
      </c>
      <c r="AH69" s="4">
        <v>1</v>
      </c>
    </row>
    <row r="70" spans="1:34" x14ac:dyDescent="0.45">
      <c r="A70" s="4">
        <f t="shared" si="56"/>
        <v>11001020</v>
      </c>
      <c r="B70" s="22">
        <v>10</v>
      </c>
      <c r="C70" s="4">
        <v>1</v>
      </c>
      <c r="D70" s="4">
        <f t="shared" ref="D70:D111" si="61">IF(B70=B69,D69+1,1)</f>
        <v>2</v>
      </c>
      <c r="E70" s="4" t="s">
        <v>48</v>
      </c>
      <c r="F70" s="4" t="s">
        <v>217</v>
      </c>
      <c r="G70" s="43" t="s">
        <v>218</v>
      </c>
      <c r="H70" s="22"/>
      <c r="I70" s="22"/>
      <c r="J70" s="4" t="str">
        <f t="shared" si="57"/>
        <v>派遣农民进金矿场</v>
      </c>
      <c r="K70" s="4">
        <f t="shared" si="58"/>
        <v>11001020</v>
      </c>
      <c r="L70" s="4" t="str">
        <f t="shared" ref="L70:L117" si="62">F69</f>
        <v>TID_BranchLineTaskConf_11010102_taskName_GL_Main</v>
      </c>
      <c r="M70" s="4">
        <f t="shared" ref="M70:M117" si="63">A69</f>
        <v>11001010</v>
      </c>
      <c r="N70" s="4" t="s">
        <v>51</v>
      </c>
      <c r="O70" s="4" t="s">
        <v>52</v>
      </c>
      <c r="P70" s="4" t="str">
        <f t="shared" si="59"/>
        <v>taskReward{taskId:11001010}</v>
      </c>
      <c r="Q70" s="4" t="s">
        <v>52</v>
      </c>
      <c r="R70" s="4" t="s">
        <v>219</v>
      </c>
      <c r="S70" s="4" t="str">
        <f t="shared" si="60"/>
        <v>deployedFarmerToBuildingResource{cityElementType:234,value:1}</v>
      </c>
      <c r="T70" s="4" t="s">
        <v>52</v>
      </c>
      <c r="U70" s="4" t="s">
        <v>66</v>
      </c>
      <c r="V70" s="4"/>
      <c r="W70" s="4">
        <v>100214</v>
      </c>
      <c r="Y70" s="4" t="s">
        <v>56</v>
      </c>
      <c r="Z70" s="4" t="s">
        <v>57</v>
      </c>
      <c r="AB70" s="4">
        <v>6622004</v>
      </c>
      <c r="AH70" s="4">
        <v>1</v>
      </c>
    </row>
    <row r="71" spans="1:34" x14ac:dyDescent="0.45">
      <c r="A71" s="4">
        <f t="shared" si="56"/>
        <v>11001030</v>
      </c>
      <c r="B71" s="22">
        <v>10</v>
      </c>
      <c r="C71" s="4">
        <v>1</v>
      </c>
      <c r="D71" s="4">
        <f t="shared" si="61"/>
        <v>3</v>
      </c>
      <c r="E71" s="4" t="s">
        <v>48</v>
      </c>
      <c r="F71" t="s">
        <v>220</v>
      </c>
      <c r="G71" s="22" t="s">
        <v>221</v>
      </c>
      <c r="H71" s="22">
        <v>10</v>
      </c>
      <c r="I71" s="22" t="s">
        <v>63</v>
      </c>
      <c r="J71" s="4" t="str">
        <f t="shared" si="57"/>
        <v>升级金矿场至10级</v>
      </c>
      <c r="K71" s="4">
        <f t="shared" si="58"/>
        <v>11001030</v>
      </c>
      <c r="L71" s="4" t="str">
        <f>F69</f>
        <v>TID_BranchLineTaskConf_11010102_taskName_GL_Main</v>
      </c>
      <c r="M71" s="4">
        <f>A69</f>
        <v>11001010</v>
      </c>
      <c r="N71" s="4" t="s">
        <v>51</v>
      </c>
      <c r="O71" s="4" t="s">
        <v>52</v>
      </c>
      <c r="P71" s="4" t="str">
        <f t="shared" si="59"/>
        <v>taskReward{taskId:11001010}</v>
      </c>
      <c r="Q71" s="4" t="s">
        <v>52</v>
      </c>
      <c r="R71" s="4" t="s">
        <v>222</v>
      </c>
      <c r="S71" s="4" t="str">
        <f t="shared" si="60"/>
        <v>buildingLevelUp{buildingType:234,buildingLevel:10}</v>
      </c>
      <c r="T71" s="4" t="s">
        <v>52</v>
      </c>
      <c r="U71" s="4" t="s">
        <v>223</v>
      </c>
      <c r="V71" s="4" t="s">
        <v>224</v>
      </c>
      <c r="W71" s="4">
        <f>VLOOKUP(V71,[1]界面跳转!$I:$J,2,FALSE)</f>
        <v>7067</v>
      </c>
      <c r="Y71" s="4" t="s">
        <v>56</v>
      </c>
      <c r="Z71" s="4" t="s">
        <v>57</v>
      </c>
      <c r="AB71" s="4">
        <v>6622010</v>
      </c>
      <c r="AH71" s="4">
        <v>1</v>
      </c>
    </row>
    <row r="72" spans="1:34" x14ac:dyDescent="0.45">
      <c r="A72" s="4">
        <f t="shared" si="56"/>
        <v>11001040</v>
      </c>
      <c r="B72" s="22">
        <v>10</v>
      </c>
      <c r="C72" s="4">
        <v>1</v>
      </c>
      <c r="D72" s="4">
        <f t="shared" si="61"/>
        <v>4</v>
      </c>
      <c r="E72" s="4" t="s">
        <v>48</v>
      </c>
      <c r="F72" t="s">
        <v>225</v>
      </c>
      <c r="G72" s="22" t="s">
        <v>67</v>
      </c>
      <c r="H72" s="22">
        <v>10</v>
      </c>
      <c r="I72" s="22" t="s">
        <v>63</v>
      </c>
      <c r="J72" s="4" t="str">
        <f t="shared" si="57"/>
        <v>升级伐木场至10级</v>
      </c>
      <c r="K72" s="4">
        <f t="shared" si="58"/>
        <v>11001040</v>
      </c>
      <c r="L72" s="4" t="str">
        <f t="shared" si="62"/>
        <v>TID_BranchLineTaskConf_234_1_taskName_GL_Main</v>
      </c>
      <c r="M72" s="4">
        <f t="shared" si="63"/>
        <v>11001030</v>
      </c>
      <c r="N72" s="4" t="s">
        <v>51</v>
      </c>
      <c r="O72" s="4" t="s">
        <v>52</v>
      </c>
      <c r="P72" s="4" t="str">
        <f t="shared" si="59"/>
        <v>taskReward{taskId:11001030}</v>
      </c>
      <c r="Q72" s="4" t="s">
        <v>52</v>
      </c>
      <c r="R72" s="4" t="s">
        <v>68</v>
      </c>
      <c r="S72" s="4" t="str">
        <f t="shared" si="60"/>
        <v>buildingLevelUp{buildingType:204,buildingLevel:10}</v>
      </c>
      <c r="T72" s="4" t="s">
        <v>52</v>
      </c>
      <c r="U72" s="4" t="s">
        <v>69</v>
      </c>
      <c r="V72" s="4" t="s">
        <v>226</v>
      </c>
      <c r="W72" s="4">
        <f>VLOOKUP(V72,[1]界面跳转!$I:$J,2,FALSE)</f>
        <v>7011</v>
      </c>
      <c r="Y72" s="4" t="s">
        <v>56</v>
      </c>
      <c r="Z72" s="4" t="s">
        <v>57</v>
      </c>
      <c r="AB72" s="4">
        <v>6622010</v>
      </c>
      <c r="AH72" s="4">
        <v>1</v>
      </c>
    </row>
    <row r="73" spans="1:34" x14ac:dyDescent="0.45">
      <c r="A73" s="4">
        <f t="shared" si="56"/>
        <v>11001050</v>
      </c>
      <c r="B73" s="22">
        <v>10</v>
      </c>
      <c r="C73" s="4">
        <v>1</v>
      </c>
      <c r="D73" s="4">
        <f t="shared" si="61"/>
        <v>5</v>
      </c>
      <c r="E73" s="4" t="s">
        <v>48</v>
      </c>
      <c r="F73" t="s">
        <v>227</v>
      </c>
      <c r="G73" s="22" t="s">
        <v>228</v>
      </c>
      <c r="H73" s="22">
        <v>10</v>
      </c>
      <c r="I73" s="22" t="s">
        <v>63</v>
      </c>
      <c r="J73" s="4" t="str">
        <f t="shared" si="57"/>
        <v>升级石矿场至10级</v>
      </c>
      <c r="K73" s="4">
        <f t="shared" si="58"/>
        <v>11001050</v>
      </c>
      <c r="L73" s="4" t="str">
        <f t="shared" si="62"/>
        <v>TID_BranchLineTaskConf_204_1_taskName_GL_Main</v>
      </c>
      <c r="M73" s="4">
        <f t="shared" si="63"/>
        <v>11001040</v>
      </c>
      <c r="N73" s="4" t="s">
        <v>51</v>
      </c>
      <c r="O73" s="4" t="s">
        <v>52</v>
      </c>
      <c r="P73" s="4" t="str">
        <f t="shared" si="59"/>
        <v>taskReward{taskId:11001040}</v>
      </c>
      <c r="Q73" s="4" t="s">
        <v>52</v>
      </c>
      <c r="R73" s="4" t="s">
        <v>229</v>
      </c>
      <c r="S73" s="4" t="str">
        <f t="shared" si="60"/>
        <v>buildingLevelUp{buildingType:205,buildingLevel:10}</v>
      </c>
      <c r="T73" s="4" t="s">
        <v>52</v>
      </c>
      <c r="U73" s="4" t="s">
        <v>66</v>
      </c>
      <c r="V73" s="4" t="s">
        <v>230</v>
      </c>
      <c r="W73" s="4">
        <f>VLOOKUP(V73,[1]界面跳转!$I:$J,2,FALSE)</f>
        <v>7013</v>
      </c>
      <c r="Y73" s="4" t="s">
        <v>56</v>
      </c>
      <c r="Z73" s="4" t="s">
        <v>57</v>
      </c>
      <c r="AB73" s="4">
        <v>6622010</v>
      </c>
      <c r="AH73" s="4">
        <v>1</v>
      </c>
    </row>
    <row r="74" spans="1:34" x14ac:dyDescent="0.45">
      <c r="A74" s="4">
        <f t="shared" si="56"/>
        <v>11001060</v>
      </c>
      <c r="B74" s="22">
        <v>10</v>
      </c>
      <c r="C74" s="4">
        <v>1</v>
      </c>
      <c r="D74" s="4">
        <f t="shared" si="61"/>
        <v>6</v>
      </c>
      <c r="E74" s="4" t="s">
        <v>48</v>
      </c>
      <c r="F74" t="s">
        <v>231</v>
      </c>
      <c r="G74" s="22" t="s">
        <v>71</v>
      </c>
      <c r="H74" s="22">
        <v>10</v>
      </c>
      <c r="I74" s="22" t="s">
        <v>63</v>
      </c>
      <c r="J74" s="4" t="str">
        <f t="shared" si="57"/>
        <v>升级磨坊至10级</v>
      </c>
      <c r="K74" s="4">
        <f t="shared" si="58"/>
        <v>11001060</v>
      </c>
      <c r="L74" s="4" t="str">
        <f t="shared" si="62"/>
        <v>TID_BranchLineTaskConf_205_1_taskName_GL_Main</v>
      </c>
      <c r="M74" s="4">
        <f t="shared" si="63"/>
        <v>11001050</v>
      </c>
      <c r="N74" s="4" t="s">
        <v>51</v>
      </c>
      <c r="O74" s="4" t="s">
        <v>52</v>
      </c>
      <c r="P74" s="4" t="str">
        <f t="shared" si="59"/>
        <v>taskReward{taskId:11001050}</v>
      </c>
      <c r="Q74" s="4" t="s">
        <v>52</v>
      </c>
      <c r="R74" s="4" t="s">
        <v>72</v>
      </c>
      <c r="S74" s="4" t="str">
        <f t="shared" si="60"/>
        <v>buildingLevelUp{buildingType:203,buildingLevel:10}</v>
      </c>
      <c r="T74" s="4" t="s">
        <v>52</v>
      </c>
      <c r="U74" s="4" t="s">
        <v>73</v>
      </c>
      <c r="V74" s="4" t="s">
        <v>181</v>
      </c>
      <c r="W74" s="4">
        <f>VLOOKUP(V74,[1]界面跳转!$I:$J,2,FALSE)</f>
        <v>7009</v>
      </c>
      <c r="Y74" s="4" t="s">
        <v>56</v>
      </c>
      <c r="Z74" s="4" t="s">
        <v>57</v>
      </c>
      <c r="AB74" s="4">
        <v>6622010</v>
      </c>
      <c r="AH74" s="4">
        <v>1</v>
      </c>
    </row>
    <row r="75" spans="1:34" x14ac:dyDescent="0.45">
      <c r="A75" s="4">
        <f t="shared" si="56"/>
        <v>11001070</v>
      </c>
      <c r="B75" s="22">
        <v>10</v>
      </c>
      <c r="C75" s="4">
        <v>1</v>
      </c>
      <c r="D75" s="4">
        <f t="shared" si="61"/>
        <v>7</v>
      </c>
      <c r="E75" s="4" t="s">
        <v>48</v>
      </c>
      <c r="F75" s="4" t="s">
        <v>232</v>
      </c>
      <c r="G75" s="22" t="s">
        <v>150</v>
      </c>
      <c r="H75" s="22">
        <v>10</v>
      </c>
      <c r="I75" s="22" t="s">
        <v>63</v>
      </c>
      <c r="J75" s="4" t="str">
        <f t="shared" si="57"/>
        <v>升级居民房舍至10级</v>
      </c>
      <c r="K75" s="4">
        <f t="shared" si="58"/>
        <v>11001070</v>
      </c>
      <c r="L75" s="4" t="str">
        <f t="shared" si="62"/>
        <v>TID_BranchLineTaskConf_203_1_taskName_GL_Main</v>
      </c>
      <c r="M75" s="4">
        <f t="shared" si="63"/>
        <v>11001060</v>
      </c>
      <c r="N75" s="4" t="s">
        <v>51</v>
      </c>
      <c r="O75" s="4" t="s">
        <v>52</v>
      </c>
      <c r="P75" s="4" t="str">
        <f t="shared" si="59"/>
        <v>taskReward{taskId:11001060}</v>
      </c>
      <c r="Q75" s="4" t="s">
        <v>52</v>
      </c>
      <c r="R75" s="47" t="s">
        <v>233</v>
      </c>
      <c r="S75" s="4" t="str">
        <f t="shared" si="60"/>
        <v>buildingLevelUpWithCnt{buildingType:202,buildingLevel:10,buildingCnt:1}</v>
      </c>
      <c r="T75" s="4" t="s">
        <v>52</v>
      </c>
      <c r="U75" s="4" t="s">
        <v>234</v>
      </c>
      <c r="V75" s="4" t="s">
        <v>153</v>
      </c>
      <c r="W75" s="4">
        <f>VLOOKUP(V75,[1]界面跳转!$I:$J,2,FALSE)</f>
        <v>7006</v>
      </c>
      <c r="Y75" s="4" t="s">
        <v>56</v>
      </c>
      <c r="Z75" s="4" t="s">
        <v>57</v>
      </c>
      <c r="AB75" s="4">
        <v>6622010</v>
      </c>
      <c r="AH75" s="4">
        <v>1</v>
      </c>
    </row>
    <row r="76" spans="1:34" x14ac:dyDescent="0.45">
      <c r="A76" s="4">
        <f t="shared" si="56"/>
        <v>11001080</v>
      </c>
      <c r="B76" s="22">
        <v>10</v>
      </c>
      <c r="C76" s="4">
        <v>1</v>
      </c>
      <c r="D76" s="4">
        <f t="shared" si="61"/>
        <v>8</v>
      </c>
      <c r="E76" s="4" t="s">
        <v>48</v>
      </c>
      <c r="F76" s="4" t="s">
        <v>235</v>
      </c>
      <c r="G76" s="22" t="s">
        <v>101</v>
      </c>
      <c r="H76" s="22">
        <v>10</v>
      </c>
      <c r="I76" s="22" t="s">
        <v>63</v>
      </c>
      <c r="J76" s="4" t="str">
        <f t="shared" si="57"/>
        <v>升级治疗房舍至10级</v>
      </c>
      <c r="K76" s="4">
        <f t="shared" si="58"/>
        <v>11001080</v>
      </c>
      <c r="L76" s="4" t="str">
        <f t="shared" si="62"/>
        <v>TID_BranchLineTaskConf_11010107_taskName_GL_Main</v>
      </c>
      <c r="M76" s="4">
        <f t="shared" si="63"/>
        <v>11001070</v>
      </c>
      <c r="N76" s="4" t="s">
        <v>51</v>
      </c>
      <c r="O76" s="4" t="s">
        <v>52</v>
      </c>
      <c r="P76" s="4" t="str">
        <f t="shared" si="59"/>
        <v>taskReward{taskId:11001070}</v>
      </c>
      <c r="Q76" s="4" t="s">
        <v>52</v>
      </c>
      <c r="R76" s="4" t="s">
        <v>102</v>
      </c>
      <c r="S76" s="4" t="str">
        <f t="shared" si="60"/>
        <v>buildingLevelUp{buildingType:222,buildingLevel:10}</v>
      </c>
      <c r="T76" s="4" t="s">
        <v>52</v>
      </c>
      <c r="U76" s="4" t="s">
        <v>103</v>
      </c>
      <c r="V76" s="4" t="s">
        <v>236</v>
      </c>
      <c r="W76" s="4">
        <f>VLOOKUP(V76,[1]界面跳转!$I:$J,2,FALSE)</f>
        <v>7041</v>
      </c>
      <c r="Y76" s="4" t="s">
        <v>56</v>
      </c>
      <c r="Z76" s="4" t="s">
        <v>57</v>
      </c>
      <c r="AB76" s="4">
        <v>6622010</v>
      </c>
      <c r="AH76" s="4">
        <v>1</v>
      </c>
    </row>
    <row r="77" spans="1:34" x14ac:dyDescent="0.45">
      <c r="A77" s="4">
        <f t="shared" si="56"/>
        <v>11001090</v>
      </c>
      <c r="B77" s="22">
        <v>10</v>
      </c>
      <c r="C77" s="4">
        <v>1</v>
      </c>
      <c r="D77" s="4">
        <f t="shared" si="61"/>
        <v>9</v>
      </c>
      <c r="E77" s="4" t="s">
        <v>48</v>
      </c>
      <c r="F77" s="4" t="s">
        <v>237</v>
      </c>
      <c r="G77" s="22" t="s">
        <v>238</v>
      </c>
      <c r="H77" s="22">
        <v>10</v>
      </c>
      <c r="I77" s="22" t="s">
        <v>63</v>
      </c>
      <c r="J77" s="4" t="str">
        <f t="shared" si="57"/>
        <v>升级任意1个兵营至10级</v>
      </c>
      <c r="K77" s="4">
        <f t="shared" si="58"/>
        <v>11001090</v>
      </c>
      <c r="L77" s="4" t="str">
        <f t="shared" si="62"/>
        <v>TID_BranchLineTaskConf_222_4_taskName_GL_Main</v>
      </c>
      <c r="M77" s="4">
        <f t="shared" si="63"/>
        <v>11001080</v>
      </c>
      <c r="N77" s="4" t="s">
        <v>51</v>
      </c>
      <c r="O77" s="4" t="s">
        <v>52</v>
      </c>
      <c r="P77" s="4" t="str">
        <f t="shared" si="59"/>
        <v>taskReward{taskId:11001080}</v>
      </c>
      <c r="Q77" s="4" t="s">
        <v>52</v>
      </c>
      <c r="R77" s="4" t="s">
        <v>239</v>
      </c>
      <c r="S77" s="4" t="str">
        <f t="shared" si="60"/>
        <v>barracksLevelUp{level:10,count:1}</v>
      </c>
      <c r="T77" s="4" t="s">
        <v>52</v>
      </c>
      <c r="U77" s="4" t="s">
        <v>152</v>
      </c>
      <c r="V77" s="4" t="s">
        <v>240</v>
      </c>
      <c r="W77" s="4">
        <v>100209</v>
      </c>
      <c r="Y77" s="4" t="s">
        <v>56</v>
      </c>
      <c r="Z77" s="4" t="s">
        <v>57</v>
      </c>
      <c r="AB77" s="4">
        <v>6622010</v>
      </c>
      <c r="AH77" s="4">
        <v>1</v>
      </c>
    </row>
    <row r="78" spans="1:34" s="40" customFormat="1" ht="16.149999999999999" customHeight="1" x14ac:dyDescent="0.45">
      <c r="A78" s="40">
        <f t="shared" si="56"/>
        <v>11001100</v>
      </c>
      <c r="B78" s="44">
        <v>10</v>
      </c>
      <c r="C78" s="40">
        <v>1</v>
      </c>
      <c r="D78" s="4">
        <f t="shared" si="61"/>
        <v>10</v>
      </c>
      <c r="E78" s="40" t="s">
        <v>48</v>
      </c>
      <c r="F78" s="40" t="s">
        <v>133</v>
      </c>
      <c r="G78" s="44" t="s">
        <v>89</v>
      </c>
      <c r="H78" s="44">
        <v>4</v>
      </c>
      <c r="I78" s="44" t="s">
        <v>90</v>
      </c>
      <c r="J78" s="40" t="str">
        <f t="shared" si="57"/>
        <v>清剿4级或更高级【普通】蛮族</v>
      </c>
      <c r="K78" s="40">
        <f t="shared" si="58"/>
        <v>11001100</v>
      </c>
      <c r="L78" s="4" t="str">
        <f t="shared" si="62"/>
        <v>TID_BranchLineTaskConf_11010110_taskName_GL_Main</v>
      </c>
      <c r="M78" s="4">
        <f t="shared" si="63"/>
        <v>11001090</v>
      </c>
      <c r="N78" s="40" t="s">
        <v>51</v>
      </c>
      <c r="O78" s="40" t="s">
        <v>52</v>
      </c>
      <c r="P78" s="40" t="str">
        <f t="shared" si="59"/>
        <v>taskReward{taskId:11001090}</v>
      </c>
      <c r="Q78" s="40" t="s">
        <v>52</v>
      </c>
      <c r="R78" s="40" t="s">
        <v>91</v>
      </c>
      <c r="S78" s="40" t="str">
        <f t="shared" si="60"/>
        <v>statisticReach{type:"BattleKillMonsterEvent4_1",value:1}</v>
      </c>
      <c r="T78" s="40" t="s">
        <v>52</v>
      </c>
      <c r="U78" s="40" t="s">
        <v>61</v>
      </c>
      <c r="V78" s="40" t="s">
        <v>92</v>
      </c>
      <c r="W78" s="40">
        <f>VLOOKUP(V78,[1]界面跳转!$I:$J,2,FALSE)</f>
        <v>7254</v>
      </c>
      <c r="Y78" s="40" t="s">
        <v>56</v>
      </c>
      <c r="Z78" s="40" t="s">
        <v>57</v>
      </c>
      <c r="AB78" s="40">
        <v>6622004</v>
      </c>
      <c r="AH78" s="4">
        <v>1</v>
      </c>
    </row>
    <row r="79" spans="1:34" ht="16.149999999999999" customHeight="1" x14ac:dyDescent="0.45">
      <c r="A79" s="4">
        <f t="shared" si="56"/>
        <v>11001110</v>
      </c>
      <c r="B79" s="22">
        <v>10</v>
      </c>
      <c r="C79" s="4">
        <v>1</v>
      </c>
      <c r="D79" s="4">
        <f t="shared" si="61"/>
        <v>11</v>
      </c>
      <c r="E79" s="4" t="s">
        <v>48</v>
      </c>
      <c r="F79" s="4" t="s">
        <v>241</v>
      </c>
      <c r="G79" s="22" t="s">
        <v>111</v>
      </c>
      <c r="H79" s="22">
        <v>20</v>
      </c>
      <c r="I79" s="22" t="s">
        <v>63</v>
      </c>
      <c r="J79" s="4" t="str">
        <f t="shared" si="57"/>
        <v>任意英雄等级提升至20级</v>
      </c>
      <c r="K79" s="4">
        <f t="shared" si="58"/>
        <v>11001110</v>
      </c>
      <c r="L79" s="4" t="str">
        <f t="shared" si="62"/>
        <v>TID_BranchLineTaskConf_10012040_taskName_GL_Main</v>
      </c>
      <c r="M79" s="4">
        <f t="shared" si="63"/>
        <v>11001100</v>
      </c>
      <c r="N79" s="4" t="s">
        <v>51</v>
      </c>
      <c r="O79" s="4" t="s">
        <v>52</v>
      </c>
      <c r="P79" s="4" t="str">
        <f t="shared" si="59"/>
        <v>taskReward{taskId:11001100}</v>
      </c>
      <c r="Q79" s="4" t="s">
        <v>52</v>
      </c>
      <c r="R79" s="4" t="s">
        <v>64</v>
      </c>
      <c r="S79" s="4" t="str">
        <f t="shared" si="60"/>
        <v>heroLevelUp{heroId:0,level:20}</v>
      </c>
      <c r="T79" s="4" t="s">
        <v>52</v>
      </c>
      <c r="U79" s="4" t="s">
        <v>61</v>
      </c>
      <c r="V79" s="48" t="s">
        <v>112</v>
      </c>
      <c r="W79" s="26">
        <v>100147</v>
      </c>
      <c r="Y79" s="4" t="s">
        <v>56</v>
      </c>
      <c r="Z79" s="4" t="s">
        <v>57</v>
      </c>
      <c r="AB79" s="4">
        <v>6622010</v>
      </c>
      <c r="AH79" s="4">
        <v>1</v>
      </c>
    </row>
    <row r="80" spans="1:34" ht="16.149999999999999" customHeight="1" x14ac:dyDescent="0.45">
      <c r="A80" s="4">
        <f t="shared" si="56"/>
        <v>11001120</v>
      </c>
      <c r="B80" s="22">
        <v>10</v>
      </c>
      <c r="C80" s="4">
        <v>1</v>
      </c>
      <c r="D80" s="4">
        <f t="shared" si="61"/>
        <v>12</v>
      </c>
      <c r="E80" s="4" t="s">
        <v>48</v>
      </c>
      <c r="F80" s="4" t="s">
        <v>242</v>
      </c>
      <c r="G80" s="22" t="s">
        <v>114</v>
      </c>
      <c r="H80" s="22">
        <v>10</v>
      </c>
      <c r="I80" s="22" t="s">
        <v>63</v>
      </c>
      <c r="J80" s="4" t="str">
        <f t="shared" si="57"/>
        <v>任意英雄固有技能升级至10级</v>
      </c>
      <c r="K80" s="4">
        <f t="shared" si="58"/>
        <v>11001120</v>
      </c>
      <c r="L80" s="4" t="str">
        <f t="shared" si="62"/>
        <v>TID_BranchLineTaskConf_11010111_taskName_GL_Main</v>
      </c>
      <c r="M80" s="4">
        <f t="shared" si="63"/>
        <v>11001110</v>
      </c>
      <c r="N80" s="4" t="s">
        <v>51</v>
      </c>
      <c r="O80" s="4" t="s">
        <v>52</v>
      </c>
      <c r="P80" s="4" t="str">
        <f t="shared" si="59"/>
        <v>taskReward{taskId:11001110}</v>
      </c>
      <c r="Q80" s="4" t="s">
        <v>52</v>
      </c>
      <c r="R80" s="4" t="s">
        <v>243</v>
      </c>
      <c r="S80" s="4" t="str">
        <f t="shared" si="60"/>
        <v>heroSkillUp{heroId:0,level:10}</v>
      </c>
      <c r="T80" s="4" t="s">
        <v>52</v>
      </c>
      <c r="U80" s="4"/>
      <c r="V80" s="4" t="s">
        <v>65</v>
      </c>
      <c r="W80" s="4">
        <f>VLOOKUP(V80,[1]界面跳转!$I:$J,2,FALSE)</f>
        <v>7109</v>
      </c>
      <c r="Y80" s="4" t="s">
        <v>56</v>
      </c>
      <c r="Z80" s="4" t="s">
        <v>57</v>
      </c>
      <c r="AB80" s="4">
        <v>6622010</v>
      </c>
      <c r="AH80" s="4">
        <v>1</v>
      </c>
    </row>
    <row r="81" spans="1:34" ht="16.149999999999999" customHeight="1" x14ac:dyDescent="0.45">
      <c r="A81" s="4">
        <f t="shared" si="56"/>
        <v>11001130</v>
      </c>
      <c r="B81" s="22">
        <v>10</v>
      </c>
      <c r="C81" s="4">
        <v>1</v>
      </c>
      <c r="D81" s="4">
        <f t="shared" si="61"/>
        <v>13</v>
      </c>
      <c r="E81" s="4" t="s">
        <v>48</v>
      </c>
      <c r="F81" s="4" t="s">
        <v>244</v>
      </c>
      <c r="G81" s="22" t="s">
        <v>245</v>
      </c>
      <c r="H81" s="22">
        <v>1</v>
      </c>
      <c r="I81" s="22" t="s">
        <v>246</v>
      </c>
      <c r="J81" s="4" t="str">
        <f t="shared" si="57"/>
        <v>任意英雄进行1次天赋升级</v>
      </c>
      <c r="K81" s="4">
        <f t="shared" si="58"/>
        <v>11001130</v>
      </c>
      <c r="L81" s="4" t="str">
        <f t="shared" si="62"/>
        <v>TID_BranchLineTaskConf_20120003_taskName_GL_Main</v>
      </c>
      <c r="M81" s="4">
        <f t="shared" si="63"/>
        <v>11001120</v>
      </c>
      <c r="N81" s="4" t="s">
        <v>51</v>
      </c>
      <c r="O81" s="4" t="s">
        <v>52</v>
      </c>
      <c r="P81" s="4" t="str">
        <f t="shared" si="59"/>
        <v>taskReward{taskId:11001120}</v>
      </c>
      <c r="Q81" s="4" t="s">
        <v>52</v>
      </c>
      <c r="R81" s="4" t="s">
        <v>247</v>
      </c>
      <c r="S81" s="4" t="str">
        <f t="shared" si="60"/>
        <v>heroInBornAbility{heroId:0,talentId:0,level:0}</v>
      </c>
      <c r="T81" s="4" t="s">
        <v>52</v>
      </c>
      <c r="U81" s="4"/>
      <c r="V81" s="4" t="s">
        <v>65</v>
      </c>
      <c r="W81" s="4">
        <v>100136</v>
      </c>
      <c r="Y81" s="4" t="s">
        <v>56</v>
      </c>
      <c r="Z81" s="4" t="s">
        <v>57</v>
      </c>
      <c r="AB81" s="4">
        <v>6622010</v>
      </c>
      <c r="AH81" s="4">
        <v>1</v>
      </c>
    </row>
    <row r="82" spans="1:34" x14ac:dyDescent="0.45">
      <c r="A82" s="4">
        <f t="shared" si="56"/>
        <v>11001140</v>
      </c>
      <c r="B82" s="22">
        <v>10</v>
      </c>
      <c r="C82" s="4">
        <v>1</v>
      </c>
      <c r="D82" s="4">
        <f t="shared" si="61"/>
        <v>14</v>
      </c>
      <c r="E82" s="4" t="s">
        <v>48</v>
      </c>
      <c r="F82" t="s">
        <v>248</v>
      </c>
      <c r="G82" s="22" t="s">
        <v>106</v>
      </c>
      <c r="H82" s="22">
        <v>10</v>
      </c>
      <c r="I82" s="22" t="s">
        <v>63</v>
      </c>
      <c r="J82" s="4" t="str">
        <f t="shared" si="57"/>
        <v>升级城墙至10级</v>
      </c>
      <c r="K82" s="4">
        <f t="shared" ref="K82" si="64">A82</f>
        <v>11001140</v>
      </c>
      <c r="L82" s="4" t="str">
        <f t="shared" si="62"/>
        <v>TID_BranchLineTaskConf_11001200_taskName_GL_Main</v>
      </c>
      <c r="M82" s="4">
        <f t="shared" si="63"/>
        <v>11001130</v>
      </c>
      <c r="N82" s="4" t="s">
        <v>51</v>
      </c>
      <c r="O82" s="4" t="s">
        <v>52</v>
      </c>
      <c r="P82" s="4" t="str">
        <f t="shared" si="59"/>
        <v>taskReward{taskId:11001130}</v>
      </c>
      <c r="Q82" s="4" t="s">
        <v>52</v>
      </c>
      <c r="R82" s="4" t="s">
        <v>107</v>
      </c>
      <c r="S82" s="4" t="str">
        <f t="shared" ref="S82" si="65">SUBSTITUTE(R82,"@@@",H82)</f>
        <v>buildingLevelUp{buildingType:215,buildingLevel:10}</v>
      </c>
      <c r="T82" s="4" t="s">
        <v>52</v>
      </c>
      <c r="U82" s="4" t="s">
        <v>108</v>
      </c>
      <c r="V82" s="4" t="s">
        <v>249</v>
      </c>
      <c r="W82" s="4">
        <f>VLOOKUP(V82,[1]界面跳转!$I:$J,2,FALSE)</f>
        <v>7039</v>
      </c>
      <c r="Y82" s="4" t="s">
        <v>56</v>
      </c>
      <c r="Z82" s="4" t="s">
        <v>57</v>
      </c>
      <c r="AB82" s="4">
        <v>6622010</v>
      </c>
      <c r="AH82" s="4">
        <v>1</v>
      </c>
    </row>
    <row r="83" spans="1:34" ht="16.149999999999999" customHeight="1" x14ac:dyDescent="0.45">
      <c r="A83" s="4">
        <f t="shared" si="56"/>
        <v>11001150</v>
      </c>
      <c r="B83" s="22">
        <v>10</v>
      </c>
      <c r="C83" s="4">
        <v>1</v>
      </c>
      <c r="D83" s="4">
        <f t="shared" si="61"/>
        <v>15</v>
      </c>
      <c r="E83" s="4" t="s">
        <v>48</v>
      </c>
      <c r="F83" s="4" t="s">
        <v>250</v>
      </c>
      <c r="G83" s="45" t="s">
        <v>96</v>
      </c>
      <c r="H83" s="45">
        <v>11</v>
      </c>
      <c r="I83" s="45" t="s">
        <v>63</v>
      </c>
      <c r="J83" s="4" t="str">
        <f t="shared" si="57"/>
        <v>升级城镇中心至11级</v>
      </c>
      <c r="K83" s="4">
        <f t="shared" si="58"/>
        <v>11001150</v>
      </c>
      <c r="L83" s="4" t="str">
        <f t="shared" si="62"/>
        <v>TID_BranchLineTaskConf_215_7_taskName_GL_Main</v>
      </c>
      <c r="M83" s="4">
        <f t="shared" si="63"/>
        <v>11001140</v>
      </c>
      <c r="N83" s="4" t="s">
        <v>51</v>
      </c>
      <c r="O83" s="4" t="s">
        <v>52</v>
      </c>
      <c r="P83" s="4" t="str">
        <f t="shared" si="59"/>
        <v>taskReward{taskId:11001140}</v>
      </c>
      <c r="Q83" s="4" t="s">
        <v>52</v>
      </c>
      <c r="R83" s="4" t="s">
        <v>97</v>
      </c>
      <c r="S83" s="4" t="str">
        <f t="shared" si="60"/>
        <v>buildingLevelUp{buildingType:201,buildingLevel:11}</v>
      </c>
      <c r="T83" s="4" t="s">
        <v>52</v>
      </c>
      <c r="U83" s="4" t="s">
        <v>98</v>
      </c>
      <c r="V83" s="4" t="s">
        <v>251</v>
      </c>
      <c r="W83" s="4">
        <f>VLOOKUP(V83,[1]界面跳转!$I:$J,2,FALSE)</f>
        <v>7001</v>
      </c>
      <c r="Y83" s="4" t="s">
        <v>56</v>
      </c>
      <c r="Z83" s="4" t="s">
        <v>57</v>
      </c>
      <c r="AB83" s="4">
        <v>6622011</v>
      </c>
      <c r="AG83" s="4">
        <v>1</v>
      </c>
      <c r="AH83" s="4">
        <v>1</v>
      </c>
    </row>
    <row r="84" spans="1:34" s="39" customFormat="1" ht="16.149999999999999" customHeight="1" x14ac:dyDescent="0.45">
      <c r="A84" s="4">
        <f t="shared" ref="A84" si="66">10000000+B84*100000+C84*1000+D84*10</f>
        <v>11001160</v>
      </c>
      <c r="B84" s="22">
        <v>10</v>
      </c>
      <c r="C84" s="4">
        <v>1</v>
      </c>
      <c r="D84" s="4">
        <f t="shared" ref="D84" si="67">IF(B84=B83,D83+1,1)</f>
        <v>16</v>
      </c>
      <c r="E84" s="39" t="s">
        <v>48</v>
      </c>
      <c r="F84" s="39" t="s">
        <v>252</v>
      </c>
      <c r="G84" s="46" t="s">
        <v>253</v>
      </c>
      <c r="H84" s="46">
        <v>1</v>
      </c>
      <c r="I84" s="46" t="s">
        <v>59</v>
      </c>
      <c r="J84" s="39" t="str">
        <f t="shared" si="57"/>
        <v>进入活动中心1次</v>
      </c>
      <c r="K84" s="39">
        <f t="shared" si="58"/>
        <v>11001160</v>
      </c>
      <c r="L84" s="39" t="str">
        <f>F36</f>
        <v>TID_BranchLineTaskConf_10510118_taskName_GL_Main</v>
      </c>
      <c r="M84" s="39">
        <f>A33</f>
        <v>10601030</v>
      </c>
      <c r="N84" s="39" t="s">
        <v>254</v>
      </c>
      <c r="O84" s="39" t="s">
        <v>52</v>
      </c>
      <c r="Q84" s="39" t="s">
        <v>52</v>
      </c>
      <c r="R84" s="39" t="s">
        <v>255</v>
      </c>
      <c r="S84" s="39" t="str">
        <f t="shared" si="60"/>
        <v>clientClick{taskId:11001160}</v>
      </c>
      <c r="T84" s="39" t="s">
        <v>52</v>
      </c>
      <c r="V84" s="39" t="s">
        <v>256</v>
      </c>
      <c r="W84" s="39">
        <f>VLOOKUP(V84,[1]界面跳转!$I:$J,2,FALSE)</f>
        <v>7487</v>
      </c>
      <c r="Y84" s="39" t="s">
        <v>56</v>
      </c>
      <c r="Z84" s="39" t="s">
        <v>57</v>
      </c>
      <c r="AA84" s="39">
        <f>AD84*1000+AE84</f>
        <v>1001</v>
      </c>
      <c r="AB84" s="39">
        <v>6622200</v>
      </c>
      <c r="AD84" s="39">
        <v>1</v>
      </c>
      <c r="AE84" s="39">
        <v>1</v>
      </c>
      <c r="AH84" s="4">
        <v>1</v>
      </c>
    </row>
    <row r="85" spans="1:34" x14ac:dyDescent="0.45">
      <c r="A85" s="4">
        <f t="shared" si="56"/>
        <v>11101010</v>
      </c>
      <c r="B85" s="4">
        <v>11</v>
      </c>
      <c r="C85" s="4">
        <v>1</v>
      </c>
      <c r="D85" s="4">
        <f>IF(B85=B83,D83+1,1)</f>
        <v>1</v>
      </c>
      <c r="E85" s="4" t="s">
        <v>48</v>
      </c>
      <c r="F85" t="s">
        <v>257</v>
      </c>
      <c r="G85" s="22" t="s">
        <v>67</v>
      </c>
      <c r="H85" s="22">
        <v>11</v>
      </c>
      <c r="I85" s="22" t="s">
        <v>63</v>
      </c>
      <c r="J85" s="4" t="str">
        <f t="shared" si="57"/>
        <v>升级伐木场至11级</v>
      </c>
      <c r="K85" s="4">
        <f t="shared" si="58"/>
        <v>11101010</v>
      </c>
      <c r="L85" s="4" t="str">
        <f>F83</f>
        <v>TID_BranchLineTaskConf_11010116_taskName_GL_Main</v>
      </c>
      <c r="M85" s="4">
        <f>A83</f>
        <v>11001150</v>
      </c>
      <c r="N85" s="4" t="s">
        <v>51</v>
      </c>
      <c r="O85" s="4" t="s">
        <v>52</v>
      </c>
      <c r="P85" s="4" t="str">
        <f t="shared" si="59"/>
        <v>taskReward{taskId:11001150}</v>
      </c>
      <c r="Q85" s="4" t="s">
        <v>52</v>
      </c>
      <c r="R85" s="4" t="s">
        <v>68</v>
      </c>
      <c r="S85" s="4" t="str">
        <f t="shared" si="60"/>
        <v>buildingLevelUp{buildingType:204,buildingLevel:11}</v>
      </c>
      <c r="T85" s="4" t="s">
        <v>52</v>
      </c>
      <c r="U85" s="4" t="s">
        <v>69</v>
      </c>
      <c r="V85" s="4" t="s">
        <v>226</v>
      </c>
      <c r="W85" s="4">
        <f>VLOOKUP(V85,[1]界面跳转!$I:$J,2,FALSE)</f>
        <v>7011</v>
      </c>
      <c r="Y85" s="4" t="s">
        <v>56</v>
      </c>
      <c r="Z85" s="4" t="s">
        <v>57</v>
      </c>
      <c r="AB85" s="4">
        <v>6622011</v>
      </c>
      <c r="AH85" s="4">
        <v>1</v>
      </c>
    </row>
    <row r="86" spans="1:34" x14ac:dyDescent="0.45">
      <c r="A86" s="4">
        <f t="shared" si="56"/>
        <v>11101020</v>
      </c>
      <c r="B86" s="22">
        <v>11</v>
      </c>
      <c r="C86" s="4">
        <v>1</v>
      </c>
      <c r="D86" s="4">
        <f t="shared" si="61"/>
        <v>2</v>
      </c>
      <c r="E86" s="4" t="s">
        <v>48</v>
      </c>
      <c r="F86" t="s">
        <v>258</v>
      </c>
      <c r="G86" s="22" t="s">
        <v>228</v>
      </c>
      <c r="H86" s="22">
        <v>11</v>
      </c>
      <c r="I86" s="22" t="s">
        <v>63</v>
      </c>
      <c r="J86" s="4" t="str">
        <f t="shared" si="57"/>
        <v>升级石矿场至11级</v>
      </c>
      <c r="K86" s="4">
        <f t="shared" si="58"/>
        <v>11101020</v>
      </c>
      <c r="L86" s="4" t="str">
        <f t="shared" si="62"/>
        <v>TID_BranchLineTaskConf_204_2_taskName_GL_Main</v>
      </c>
      <c r="M86" s="4">
        <f t="shared" si="63"/>
        <v>11101010</v>
      </c>
      <c r="N86" s="4" t="s">
        <v>51</v>
      </c>
      <c r="O86" s="4" t="s">
        <v>52</v>
      </c>
      <c r="P86" s="4" t="str">
        <f t="shared" si="59"/>
        <v>taskReward{taskId:11101010}</v>
      </c>
      <c r="Q86" s="4" t="s">
        <v>52</v>
      </c>
      <c r="R86" s="4" t="s">
        <v>229</v>
      </c>
      <c r="S86" s="4" t="str">
        <f t="shared" si="60"/>
        <v>buildingLevelUp{buildingType:205,buildingLevel:11}</v>
      </c>
      <c r="T86" s="4" t="s">
        <v>52</v>
      </c>
      <c r="U86" s="4" t="s">
        <v>66</v>
      </c>
      <c r="V86" s="4" t="s">
        <v>230</v>
      </c>
      <c r="W86" s="4">
        <f>VLOOKUP(V86,[1]界面跳转!$I:$J,2,FALSE)</f>
        <v>7013</v>
      </c>
      <c r="Y86" s="4" t="s">
        <v>56</v>
      </c>
      <c r="Z86" s="4" t="s">
        <v>57</v>
      </c>
      <c r="AB86" s="4">
        <v>6622011</v>
      </c>
      <c r="AH86" s="4">
        <v>1</v>
      </c>
    </row>
    <row r="87" spans="1:34" s="40" customFormat="1" ht="16.149999999999999" customHeight="1" x14ac:dyDescent="0.45">
      <c r="A87" s="40">
        <f t="shared" ref="A87" si="68">10000000+B87*100000+C87*1000+D87*10</f>
        <v>11101030</v>
      </c>
      <c r="B87" s="44">
        <v>11</v>
      </c>
      <c r="C87" s="40">
        <v>1</v>
      </c>
      <c r="D87" s="40">
        <f t="shared" ref="D87" si="69">IF(B87=B86,D86+1,1)</f>
        <v>3</v>
      </c>
      <c r="E87" s="40" t="s">
        <v>48</v>
      </c>
      <c r="F87" s="40" t="s">
        <v>259</v>
      </c>
      <c r="G87" s="44" t="s">
        <v>186</v>
      </c>
      <c r="H87" s="44">
        <v>5</v>
      </c>
      <c r="I87" s="44" t="s">
        <v>59</v>
      </c>
      <c r="J87" s="40" t="str">
        <f t="shared" si="57"/>
        <v>采集任意资源点5次</v>
      </c>
      <c r="K87" s="40">
        <f t="shared" si="58"/>
        <v>11101030</v>
      </c>
      <c r="L87" s="4" t="str">
        <f t="shared" si="62"/>
        <v>TID_BranchLineTaskConf_205_2_taskName_GL_Main</v>
      </c>
      <c r="M87" s="4">
        <f t="shared" si="63"/>
        <v>11101020</v>
      </c>
      <c r="N87" s="40" t="s">
        <v>254</v>
      </c>
      <c r="O87" s="40" t="s">
        <v>52</v>
      </c>
      <c r="P87" s="40" t="str">
        <f t="shared" ref="P87" si="70">SUBSTITUTE(N87,"@@@",M87)</f>
        <v>taskComplete{taskId:11101020}</v>
      </c>
      <c r="Q87" s="40" t="s">
        <v>52</v>
      </c>
      <c r="R87" s="40" t="s">
        <v>187</v>
      </c>
      <c r="S87" s="40" t="str">
        <f t="shared" si="60"/>
        <v>occupyAnyResourceLand{count:5}</v>
      </c>
      <c r="T87" s="40" t="s">
        <v>52</v>
      </c>
      <c r="V87" s="40" t="s">
        <v>188</v>
      </c>
      <c r="W87" s="40">
        <v>7160</v>
      </c>
      <c r="Y87" s="40" t="s">
        <v>56</v>
      </c>
      <c r="Z87" s="40" t="s">
        <v>57</v>
      </c>
      <c r="AA87" s="40">
        <f t="shared" ref="AA87" si="71">AD87*1000+AE87</f>
        <v>16001</v>
      </c>
      <c r="AB87" s="40">
        <v>6622301</v>
      </c>
      <c r="AD87" s="40">
        <v>16</v>
      </c>
      <c r="AE87" s="40">
        <f t="shared" ref="AE87" si="72">IF(AD87=AD86,AE86+1,1)</f>
        <v>1</v>
      </c>
      <c r="AH87" s="4">
        <v>1</v>
      </c>
    </row>
    <row r="88" spans="1:34" x14ac:dyDescent="0.45">
      <c r="A88" s="4">
        <f t="shared" si="56"/>
        <v>11101040</v>
      </c>
      <c r="B88" s="22">
        <v>11</v>
      </c>
      <c r="C88" s="4">
        <v>1</v>
      </c>
      <c r="D88" s="4">
        <f t="shared" si="61"/>
        <v>4</v>
      </c>
      <c r="E88" s="4" t="s">
        <v>48</v>
      </c>
      <c r="F88" t="s">
        <v>260</v>
      </c>
      <c r="G88" s="22" t="s">
        <v>221</v>
      </c>
      <c r="H88" s="22">
        <v>11</v>
      </c>
      <c r="I88" s="22" t="s">
        <v>63</v>
      </c>
      <c r="J88" s="4" t="str">
        <f t="shared" si="57"/>
        <v>升级金矿场至11级</v>
      </c>
      <c r="K88" s="4">
        <f t="shared" si="58"/>
        <v>11101040</v>
      </c>
      <c r="L88" s="4" t="str">
        <f t="shared" si="62"/>
        <v>TID_BranchLineTaskConf_11101030_2_taskName_GL_Main</v>
      </c>
      <c r="M88" s="4">
        <f t="shared" si="63"/>
        <v>11101030</v>
      </c>
      <c r="N88" s="4" t="s">
        <v>51</v>
      </c>
      <c r="O88" s="4" t="s">
        <v>52</v>
      </c>
      <c r="P88" s="4" t="str">
        <f t="shared" si="59"/>
        <v>taskReward{taskId:11101030}</v>
      </c>
      <c r="Q88" s="4" t="s">
        <v>52</v>
      </c>
      <c r="R88" s="4" t="s">
        <v>222</v>
      </c>
      <c r="S88" s="4" t="str">
        <f t="shared" si="60"/>
        <v>buildingLevelUp{buildingType:234,buildingLevel:11}</v>
      </c>
      <c r="T88" s="4" t="s">
        <v>52</v>
      </c>
      <c r="U88" s="4" t="s">
        <v>223</v>
      </c>
      <c r="V88" s="4" t="s">
        <v>224</v>
      </c>
      <c r="W88" s="4">
        <f>VLOOKUP(V88,[1]界面跳转!$I:$J,2,FALSE)</f>
        <v>7067</v>
      </c>
      <c r="Y88" s="4" t="s">
        <v>56</v>
      </c>
      <c r="Z88" s="4" t="s">
        <v>57</v>
      </c>
      <c r="AB88" s="4">
        <v>6622011</v>
      </c>
      <c r="AH88" s="4">
        <v>1</v>
      </c>
    </row>
    <row r="89" spans="1:34" x14ac:dyDescent="0.45">
      <c r="A89" s="4">
        <f t="shared" si="56"/>
        <v>11101050</v>
      </c>
      <c r="B89" s="22">
        <v>11</v>
      </c>
      <c r="C89" s="4">
        <v>1</v>
      </c>
      <c r="D89" s="4">
        <f t="shared" si="61"/>
        <v>5</v>
      </c>
      <c r="E89" s="4" t="s">
        <v>48</v>
      </c>
      <c r="F89" t="s">
        <v>261</v>
      </c>
      <c r="G89" s="22" t="s">
        <v>71</v>
      </c>
      <c r="H89" s="22">
        <v>11</v>
      </c>
      <c r="I89" s="22" t="s">
        <v>63</v>
      </c>
      <c r="J89" s="4" t="str">
        <f t="shared" si="57"/>
        <v>升级磨坊至11级</v>
      </c>
      <c r="K89" s="4">
        <f t="shared" si="58"/>
        <v>11101050</v>
      </c>
      <c r="L89" s="4" t="str">
        <f t="shared" si="62"/>
        <v>TID_BranchLineTaskConf_234_2_taskName_GL_Main</v>
      </c>
      <c r="M89" s="4">
        <f t="shared" si="63"/>
        <v>11101040</v>
      </c>
      <c r="N89" s="4" t="s">
        <v>51</v>
      </c>
      <c r="O89" s="4" t="s">
        <v>52</v>
      </c>
      <c r="P89" s="4" t="str">
        <f t="shared" si="59"/>
        <v>taskReward{taskId:11101040}</v>
      </c>
      <c r="Q89" s="4" t="s">
        <v>52</v>
      </c>
      <c r="R89" s="4" t="s">
        <v>72</v>
      </c>
      <c r="S89" s="4" t="str">
        <f t="shared" si="60"/>
        <v>buildingLevelUp{buildingType:203,buildingLevel:11}</v>
      </c>
      <c r="T89" s="4" t="s">
        <v>52</v>
      </c>
      <c r="U89" s="4" t="s">
        <v>73</v>
      </c>
      <c r="V89" s="4" t="s">
        <v>181</v>
      </c>
      <c r="W89" s="4">
        <f>VLOOKUP(V89,[1]界面跳转!$I:$J,2,FALSE)</f>
        <v>7009</v>
      </c>
      <c r="Y89" s="4" t="s">
        <v>56</v>
      </c>
      <c r="Z89" s="4" t="s">
        <v>57</v>
      </c>
      <c r="AB89" s="4">
        <v>6622011</v>
      </c>
      <c r="AH89" s="4">
        <v>1</v>
      </c>
    </row>
    <row r="90" spans="1:34" x14ac:dyDescent="0.45">
      <c r="A90" s="4">
        <f t="shared" si="56"/>
        <v>11101060</v>
      </c>
      <c r="B90" s="22">
        <v>11</v>
      </c>
      <c r="C90" s="4">
        <v>1</v>
      </c>
      <c r="D90" s="4">
        <f t="shared" si="61"/>
        <v>6</v>
      </c>
      <c r="E90" s="4" t="s">
        <v>48</v>
      </c>
      <c r="F90" t="s">
        <v>262</v>
      </c>
      <c r="G90" s="22" t="s">
        <v>263</v>
      </c>
      <c r="H90" s="22">
        <v>11</v>
      </c>
      <c r="I90" s="22" t="s">
        <v>63</v>
      </c>
      <c r="J90" s="4" t="str">
        <f t="shared" si="57"/>
        <v>升级仓库至11级</v>
      </c>
      <c r="K90" s="4">
        <f t="shared" si="58"/>
        <v>11101060</v>
      </c>
      <c r="L90" s="4" t="str">
        <f t="shared" si="62"/>
        <v>TID_BranchLineTaskConf_203_2_taskName_GL_Main</v>
      </c>
      <c r="M90" s="4">
        <f t="shared" si="63"/>
        <v>11101050</v>
      </c>
      <c r="N90" s="4" t="s">
        <v>51</v>
      </c>
      <c r="O90" s="4" t="s">
        <v>52</v>
      </c>
      <c r="P90" s="4" t="str">
        <f t="shared" si="59"/>
        <v>taskReward{taskId:11101050}</v>
      </c>
      <c r="Q90" s="4" t="s">
        <v>52</v>
      </c>
      <c r="R90" s="4" t="s">
        <v>264</v>
      </c>
      <c r="S90" s="4" t="str">
        <f t="shared" si="60"/>
        <v>buildingLevelUp{buildingType:400,buildingLevel:11}</v>
      </c>
      <c r="T90" s="4" t="s">
        <v>52</v>
      </c>
      <c r="U90" s="4" t="s">
        <v>265</v>
      </c>
      <c r="V90" s="4" t="s">
        <v>266</v>
      </c>
      <c r="W90" s="4">
        <f>VLOOKUP(V90,[2]界面跳转!$I:$J,2,FALSE)</f>
        <v>100134</v>
      </c>
      <c r="Y90" s="4" t="s">
        <v>56</v>
      </c>
      <c r="Z90" s="4" t="s">
        <v>57</v>
      </c>
      <c r="AB90" s="4">
        <v>6622011</v>
      </c>
      <c r="AH90" s="4">
        <v>1</v>
      </c>
    </row>
    <row r="91" spans="1:34" x14ac:dyDescent="0.45">
      <c r="A91" s="4">
        <f t="shared" ref="A91" si="73">10000000+B91*100000+C91*1000+D91*10</f>
        <v>11101070</v>
      </c>
      <c r="B91" s="22">
        <v>11</v>
      </c>
      <c r="C91" s="4">
        <v>1</v>
      </c>
      <c r="D91" s="4">
        <f t="shared" si="61"/>
        <v>7</v>
      </c>
      <c r="E91" s="4" t="s">
        <v>48</v>
      </c>
      <c r="F91" s="4" t="s">
        <v>267</v>
      </c>
      <c r="G91" s="22" t="s">
        <v>268</v>
      </c>
      <c r="H91" s="22">
        <v>11</v>
      </c>
      <c r="I91" s="22" t="s">
        <v>63</v>
      </c>
      <c r="J91" s="4" t="str">
        <f t="shared" ref="J91" si="74">G91&amp;H91&amp;I91</f>
        <v>升级市集至11级</v>
      </c>
      <c r="K91" s="4">
        <f t="shared" ref="K91" si="75">A91</f>
        <v>11101070</v>
      </c>
      <c r="L91" s="4" t="str">
        <f t="shared" si="62"/>
        <v>TID_BranchLineTaskConf_400_2_taskName_GL_Main</v>
      </c>
      <c r="M91" s="4">
        <f t="shared" si="63"/>
        <v>11101060</v>
      </c>
      <c r="N91" s="4" t="s">
        <v>51</v>
      </c>
      <c r="O91" s="4" t="s">
        <v>52</v>
      </c>
      <c r="P91" s="4" t="str">
        <f t="shared" si="59"/>
        <v>taskReward{taskId:11101060}</v>
      </c>
      <c r="Q91" s="4" t="s">
        <v>52</v>
      </c>
      <c r="R91" s="4" t="s">
        <v>269</v>
      </c>
      <c r="S91" s="4" t="str">
        <f t="shared" ref="S91" si="76">SUBSTITUTE(R91,"@@@",H91)</f>
        <v>buildingLevelUp{buildingType:231,buildingLevel:11}</v>
      </c>
      <c r="T91" s="4" t="s">
        <v>52</v>
      </c>
      <c r="U91" s="4" t="s">
        <v>270</v>
      </c>
      <c r="V91" s="4" t="s">
        <v>271</v>
      </c>
      <c r="W91" s="4">
        <f>VLOOKUP(V91,[1]界面跳转!$I:$J,2,FALSE)</f>
        <v>7058</v>
      </c>
      <c r="Y91" s="4" t="s">
        <v>56</v>
      </c>
      <c r="Z91" s="4" t="s">
        <v>57</v>
      </c>
      <c r="AB91" s="4">
        <v>6622011</v>
      </c>
      <c r="AH91" s="4">
        <v>1</v>
      </c>
    </row>
    <row r="92" spans="1:34" x14ac:dyDescent="0.45">
      <c r="A92" s="4">
        <f t="shared" si="56"/>
        <v>11101080</v>
      </c>
      <c r="B92" s="22">
        <v>11</v>
      </c>
      <c r="C92" s="4">
        <v>1</v>
      </c>
      <c r="D92" s="4">
        <f t="shared" si="61"/>
        <v>8</v>
      </c>
      <c r="E92" s="4" t="s">
        <v>48</v>
      </c>
      <c r="F92" t="s">
        <v>272</v>
      </c>
      <c r="G92" s="22" t="s">
        <v>150</v>
      </c>
      <c r="H92" s="22">
        <v>11</v>
      </c>
      <c r="I92" s="22" t="s">
        <v>63</v>
      </c>
      <c r="J92" s="4" t="str">
        <f t="shared" si="57"/>
        <v>升级居民房舍至11级</v>
      </c>
      <c r="K92" s="4">
        <f t="shared" si="58"/>
        <v>11101080</v>
      </c>
      <c r="L92" s="4" t="str">
        <f t="shared" si="62"/>
        <v>TID_BranchLineTaskConf_231_2_taskName_GL_Main</v>
      </c>
      <c r="M92" s="4">
        <f t="shared" si="63"/>
        <v>11101070</v>
      </c>
      <c r="N92" s="4" t="s">
        <v>51</v>
      </c>
      <c r="O92" s="4" t="s">
        <v>52</v>
      </c>
      <c r="P92" s="4" t="str">
        <f t="shared" si="59"/>
        <v>taskReward{taskId:11101070}</v>
      </c>
      <c r="Q92" s="4" t="s">
        <v>52</v>
      </c>
      <c r="R92" s="4" t="s">
        <v>151</v>
      </c>
      <c r="S92" s="4" t="str">
        <f t="shared" si="60"/>
        <v>buildingLevelUp{buildingType:202,buildingLevel:11}</v>
      </c>
      <c r="T92" s="4" t="s">
        <v>52</v>
      </c>
      <c r="U92" s="4" t="s">
        <v>234</v>
      </c>
      <c r="V92" s="4" t="s">
        <v>153</v>
      </c>
      <c r="W92" s="4">
        <f>VLOOKUP(V92,[1]界面跳转!$I:$J,2,FALSE)</f>
        <v>7006</v>
      </c>
      <c r="Y92" s="4" t="s">
        <v>56</v>
      </c>
      <c r="Z92" s="4" t="s">
        <v>57</v>
      </c>
      <c r="AB92" s="4">
        <v>6622011</v>
      </c>
      <c r="AH92" s="4">
        <v>1</v>
      </c>
    </row>
    <row r="93" spans="1:34" x14ac:dyDescent="0.45">
      <c r="A93" s="4">
        <f t="shared" si="56"/>
        <v>11101090</v>
      </c>
      <c r="B93" s="22">
        <v>11</v>
      </c>
      <c r="C93" s="4">
        <v>1</v>
      </c>
      <c r="D93" s="4">
        <f t="shared" si="61"/>
        <v>9</v>
      </c>
      <c r="E93" s="4" t="s">
        <v>48</v>
      </c>
      <c r="F93" s="4" t="s">
        <v>273</v>
      </c>
      <c r="G93" s="22" t="s">
        <v>101</v>
      </c>
      <c r="H93" s="22">
        <v>11</v>
      </c>
      <c r="I93" s="22" t="s">
        <v>63</v>
      </c>
      <c r="J93" s="4" t="str">
        <f t="shared" si="57"/>
        <v>升级治疗房舍至11级</v>
      </c>
      <c r="K93" s="4">
        <f t="shared" si="58"/>
        <v>11101090</v>
      </c>
      <c r="L93" s="4" t="str">
        <f t="shared" si="62"/>
        <v>TID_BranchLineTaskConf_202_1_taskName_GL_Main</v>
      </c>
      <c r="M93" s="4">
        <f t="shared" si="63"/>
        <v>11101080</v>
      </c>
      <c r="N93" s="4" t="s">
        <v>51</v>
      </c>
      <c r="O93" s="4" t="s">
        <v>52</v>
      </c>
      <c r="P93" s="4" t="str">
        <f t="shared" si="59"/>
        <v>taskReward{taskId:11101080}</v>
      </c>
      <c r="Q93" s="4" t="s">
        <v>52</v>
      </c>
      <c r="R93" s="4" t="s">
        <v>102</v>
      </c>
      <c r="S93" s="4" t="str">
        <f t="shared" si="60"/>
        <v>buildingLevelUp{buildingType:222,buildingLevel:11}</v>
      </c>
      <c r="T93" s="4" t="s">
        <v>52</v>
      </c>
      <c r="U93" s="4" t="s">
        <v>103</v>
      </c>
      <c r="V93" s="4" t="s">
        <v>236</v>
      </c>
      <c r="W93" s="4">
        <f>VLOOKUP(V93,[1]界面跳转!$I:$J,2,FALSE)</f>
        <v>7041</v>
      </c>
      <c r="Y93" s="4" t="s">
        <v>56</v>
      </c>
      <c r="Z93" s="4" t="s">
        <v>57</v>
      </c>
      <c r="AB93" s="4">
        <v>6622011</v>
      </c>
      <c r="AH93" s="4">
        <v>1</v>
      </c>
    </row>
    <row r="94" spans="1:34" x14ac:dyDescent="0.45">
      <c r="A94" s="4">
        <f t="shared" si="56"/>
        <v>11101100</v>
      </c>
      <c r="B94" s="22">
        <v>11</v>
      </c>
      <c r="C94" s="4">
        <v>1</v>
      </c>
      <c r="D94" s="4">
        <f t="shared" si="61"/>
        <v>10</v>
      </c>
      <c r="E94" s="4" t="s">
        <v>48</v>
      </c>
      <c r="F94" t="s">
        <v>274</v>
      </c>
      <c r="G94" s="22" t="s">
        <v>106</v>
      </c>
      <c r="H94" s="22">
        <v>11</v>
      </c>
      <c r="I94" s="22" t="s">
        <v>63</v>
      </c>
      <c r="J94" s="4" t="str">
        <f t="shared" si="57"/>
        <v>升级城墙至11级</v>
      </c>
      <c r="K94" s="4">
        <f t="shared" si="58"/>
        <v>11101100</v>
      </c>
      <c r="L94" s="4" t="str">
        <f t="shared" si="62"/>
        <v>TID_BranchLineTaskConf_222_5_taskName_GL_Main</v>
      </c>
      <c r="M94" s="4">
        <f t="shared" si="63"/>
        <v>11101090</v>
      </c>
      <c r="N94" s="4" t="s">
        <v>51</v>
      </c>
      <c r="O94" s="4" t="s">
        <v>52</v>
      </c>
      <c r="P94" s="4" t="str">
        <f t="shared" si="59"/>
        <v>taskReward{taskId:11101090}</v>
      </c>
      <c r="Q94" s="4" t="s">
        <v>52</v>
      </c>
      <c r="R94" s="4" t="s">
        <v>107</v>
      </c>
      <c r="S94" s="4" t="str">
        <f t="shared" si="60"/>
        <v>buildingLevelUp{buildingType:215,buildingLevel:11}</v>
      </c>
      <c r="T94" s="4" t="s">
        <v>52</v>
      </c>
      <c r="U94" s="4" t="s">
        <v>108</v>
      </c>
      <c r="V94" s="4" t="s">
        <v>249</v>
      </c>
      <c r="W94" s="4">
        <f>VLOOKUP(V94,[1]界面跳转!$I:$J,2,FALSE)</f>
        <v>7039</v>
      </c>
      <c r="Y94" s="4" t="s">
        <v>56</v>
      </c>
      <c r="Z94" s="4" t="s">
        <v>57</v>
      </c>
      <c r="AB94" s="4">
        <v>6622011</v>
      </c>
      <c r="AH94" s="4">
        <v>1</v>
      </c>
    </row>
    <row r="95" spans="1:34" x14ac:dyDescent="0.45">
      <c r="A95" s="4">
        <f t="shared" si="56"/>
        <v>11101110</v>
      </c>
      <c r="B95" s="22">
        <v>11</v>
      </c>
      <c r="C95" s="4">
        <v>1</v>
      </c>
      <c r="D95" s="4">
        <f t="shared" si="61"/>
        <v>11</v>
      </c>
      <c r="E95" s="4" t="s">
        <v>48</v>
      </c>
      <c r="F95" t="s">
        <v>275</v>
      </c>
      <c r="G95" s="22" t="s">
        <v>139</v>
      </c>
      <c r="H95" s="22">
        <v>7</v>
      </c>
      <c r="I95" s="22" t="s">
        <v>63</v>
      </c>
      <c r="J95" s="4" t="str">
        <f t="shared" si="57"/>
        <v>升级瞭望塔至7级</v>
      </c>
      <c r="K95" s="4">
        <f t="shared" si="58"/>
        <v>11101110</v>
      </c>
      <c r="L95" s="4" t="str">
        <f t="shared" si="62"/>
        <v>TID_BranchLineTaskConf_215_8_taskName_GL_Main</v>
      </c>
      <c r="M95" s="4">
        <f t="shared" si="63"/>
        <v>11101100</v>
      </c>
      <c r="N95" s="4" t="s">
        <v>51</v>
      </c>
      <c r="O95" s="4" t="s">
        <v>52</v>
      </c>
      <c r="P95" s="4" t="str">
        <f t="shared" si="59"/>
        <v>taskReward{taskId:11101100}</v>
      </c>
      <c r="Q95" s="4" t="s">
        <v>52</v>
      </c>
      <c r="R95" s="4" t="s">
        <v>140</v>
      </c>
      <c r="S95" s="4" t="str">
        <f t="shared" si="60"/>
        <v>buildingLevelUp{buildingType:226,buildingLevel:7}</v>
      </c>
      <c r="T95" s="4" t="s">
        <v>52</v>
      </c>
      <c r="U95" s="4" t="s">
        <v>276</v>
      </c>
      <c r="V95" s="4" t="s">
        <v>141</v>
      </c>
      <c r="W95" s="4">
        <v>100186</v>
      </c>
      <c r="Y95" s="4" t="s">
        <v>56</v>
      </c>
      <c r="Z95" s="4" t="s">
        <v>57</v>
      </c>
      <c r="AB95" s="4">
        <v>6622011</v>
      </c>
      <c r="AH95" s="4">
        <v>1</v>
      </c>
    </row>
    <row r="96" spans="1:34" ht="16.149999999999999" customHeight="1" x14ac:dyDescent="0.45">
      <c r="A96" s="4">
        <f t="shared" si="56"/>
        <v>11101120</v>
      </c>
      <c r="B96" s="22">
        <v>11</v>
      </c>
      <c r="C96" s="4">
        <v>1</v>
      </c>
      <c r="D96" s="4">
        <f t="shared" si="61"/>
        <v>12</v>
      </c>
      <c r="E96" s="4" t="s">
        <v>48</v>
      </c>
      <c r="F96" s="4" t="s">
        <v>277</v>
      </c>
      <c r="G96" s="45" t="s">
        <v>96</v>
      </c>
      <c r="H96" s="45">
        <v>12</v>
      </c>
      <c r="I96" s="45" t="s">
        <v>63</v>
      </c>
      <c r="J96" s="4" t="str">
        <f t="shared" si="57"/>
        <v>升级城镇中心至12级</v>
      </c>
      <c r="K96" s="4">
        <f t="shared" si="58"/>
        <v>11101120</v>
      </c>
      <c r="L96" s="4" t="str">
        <f t="shared" si="62"/>
        <v>TID_BranchLineTaskConf_226_3_taskName_GL_Main</v>
      </c>
      <c r="M96" s="4">
        <f t="shared" si="63"/>
        <v>11101110</v>
      </c>
      <c r="N96" s="4" t="s">
        <v>51</v>
      </c>
      <c r="O96" s="4" t="s">
        <v>52</v>
      </c>
      <c r="P96" s="4" t="str">
        <f t="shared" si="59"/>
        <v>taskReward{taskId:11101110}</v>
      </c>
      <c r="Q96" s="4" t="s">
        <v>52</v>
      </c>
      <c r="R96" s="4" t="s">
        <v>97</v>
      </c>
      <c r="S96" s="4" t="str">
        <f t="shared" si="60"/>
        <v>buildingLevelUp{buildingType:201,buildingLevel:12}</v>
      </c>
      <c r="T96" s="4" t="s">
        <v>52</v>
      </c>
      <c r="U96" s="4" t="s">
        <v>98</v>
      </c>
      <c r="V96" s="4" t="s">
        <v>251</v>
      </c>
      <c r="W96" s="4">
        <f>VLOOKUP(V96,[1]界面跳转!$I:$J,2,FALSE)</f>
        <v>7001</v>
      </c>
      <c r="Y96" s="4" t="s">
        <v>56</v>
      </c>
      <c r="Z96" s="4" t="s">
        <v>57</v>
      </c>
      <c r="AB96" s="4">
        <v>6622012</v>
      </c>
      <c r="AG96" s="4">
        <v>1</v>
      </c>
      <c r="AH96" s="4">
        <v>1</v>
      </c>
    </row>
    <row r="97" spans="1:34" x14ac:dyDescent="0.45">
      <c r="A97" s="4">
        <f t="shared" si="56"/>
        <v>11201010</v>
      </c>
      <c r="B97" s="22">
        <v>12</v>
      </c>
      <c r="C97" s="4">
        <v>1</v>
      </c>
      <c r="D97" s="4">
        <f t="shared" si="61"/>
        <v>1</v>
      </c>
      <c r="E97" s="4" t="s">
        <v>48</v>
      </c>
      <c r="F97" s="4" t="s">
        <v>278</v>
      </c>
      <c r="G97" s="22" t="s">
        <v>279</v>
      </c>
      <c r="H97" s="22">
        <v>2</v>
      </c>
      <c r="I97" s="22" t="s">
        <v>280</v>
      </c>
      <c r="J97" s="4" t="str">
        <f t="shared" ref="J97" si="77">G97&amp;H97&amp;I97</f>
        <v>一个编队上阵2名英雄</v>
      </c>
      <c r="K97" s="4">
        <f t="shared" ref="K97" si="78">A97</f>
        <v>11201010</v>
      </c>
      <c r="L97" s="4" t="str">
        <f t="shared" si="62"/>
        <v>TID_BranchLineTaskConf_11110113_taskName_GL_Main</v>
      </c>
      <c r="M97" s="4">
        <f t="shared" si="63"/>
        <v>11101120</v>
      </c>
      <c r="N97" s="4" t="s">
        <v>51</v>
      </c>
      <c r="O97" s="4" t="s">
        <v>52</v>
      </c>
      <c r="P97" s="4" t="str">
        <f t="shared" si="59"/>
        <v>taskReward{taskId:11101120}</v>
      </c>
      <c r="Q97" s="4" t="s">
        <v>52</v>
      </c>
      <c r="R97" s="4" t="s">
        <v>281</v>
      </c>
      <c r="S97" s="4" t="str">
        <f t="shared" ref="S97" si="79">SUBSTITUTE(R97,"@@@",H97)</f>
        <v>presetTeam{heroCnt:2,soldierNum:0,teamCnt:1}</v>
      </c>
      <c r="T97" s="4" t="s">
        <v>52</v>
      </c>
      <c r="U97" s="4" t="s">
        <v>282</v>
      </c>
      <c r="V97" s="4"/>
      <c r="W97" s="49">
        <v>100114</v>
      </c>
      <c r="Y97" s="4" t="s">
        <v>56</v>
      </c>
      <c r="Z97" s="4" t="s">
        <v>57</v>
      </c>
      <c r="AB97" s="4">
        <v>6622012</v>
      </c>
      <c r="AH97" s="4">
        <v>1</v>
      </c>
    </row>
    <row r="98" spans="1:34" x14ac:dyDescent="0.45">
      <c r="A98" s="4">
        <f t="shared" si="56"/>
        <v>11201020</v>
      </c>
      <c r="B98" s="22">
        <v>12</v>
      </c>
      <c r="C98" s="4">
        <v>1</v>
      </c>
      <c r="D98" s="4">
        <f t="shared" si="61"/>
        <v>2</v>
      </c>
      <c r="E98" s="4" t="s">
        <v>48</v>
      </c>
      <c r="F98" s="4" t="s">
        <v>283</v>
      </c>
      <c r="G98" s="22" t="s">
        <v>75</v>
      </c>
      <c r="H98" s="22">
        <v>1</v>
      </c>
      <c r="I98" s="22" t="s">
        <v>284</v>
      </c>
      <c r="J98" s="4" t="str">
        <f t="shared" si="57"/>
        <v>建造1个战争大厅</v>
      </c>
      <c r="K98" s="4">
        <f t="shared" si="58"/>
        <v>11201020</v>
      </c>
      <c r="L98" s="4" t="str">
        <f t="shared" si="62"/>
        <v>TID_BranchLineTaskConf_20201011_1_taskName_GL_Main</v>
      </c>
      <c r="M98" s="4">
        <f t="shared" si="63"/>
        <v>11201010</v>
      </c>
      <c r="N98" s="4" t="s">
        <v>51</v>
      </c>
      <c r="O98" s="4" t="s">
        <v>52</v>
      </c>
      <c r="P98" s="4" t="str">
        <f t="shared" si="59"/>
        <v>taskReward{taskId:11201010}</v>
      </c>
      <c r="Q98" s="4" t="s">
        <v>52</v>
      </c>
      <c r="R98" s="4" t="s">
        <v>285</v>
      </c>
      <c r="S98" s="4" t="str">
        <f t="shared" si="60"/>
        <v>buildingSum{buildingType:229,sum:1}</v>
      </c>
      <c r="T98" s="4" t="s">
        <v>52</v>
      </c>
      <c r="U98" s="4" t="s">
        <v>282</v>
      </c>
      <c r="V98" s="4" t="s">
        <v>286</v>
      </c>
      <c r="W98" s="4">
        <v>100161</v>
      </c>
      <c r="Y98" s="4" t="s">
        <v>56</v>
      </c>
      <c r="Z98" s="4" t="s">
        <v>57</v>
      </c>
      <c r="AB98" s="4">
        <v>6622012</v>
      </c>
      <c r="AH98" s="4">
        <v>1</v>
      </c>
    </row>
    <row r="99" spans="1:34" x14ac:dyDescent="0.45">
      <c r="A99" s="4">
        <f t="shared" si="56"/>
        <v>11201030</v>
      </c>
      <c r="B99" s="22">
        <v>12</v>
      </c>
      <c r="C99" s="4">
        <v>1</v>
      </c>
      <c r="D99" s="4">
        <f t="shared" si="61"/>
        <v>3</v>
      </c>
      <c r="E99" s="4" t="s">
        <v>48</v>
      </c>
      <c r="F99" t="s">
        <v>287</v>
      </c>
      <c r="G99" s="22" t="s">
        <v>288</v>
      </c>
      <c r="H99" s="22">
        <v>10</v>
      </c>
      <c r="I99" s="22" t="s">
        <v>63</v>
      </c>
      <c r="J99" s="4" t="str">
        <f t="shared" si="57"/>
        <v>升级战争大厅至10级</v>
      </c>
      <c r="K99" s="4">
        <f t="shared" si="58"/>
        <v>11201030</v>
      </c>
      <c r="L99" s="4" t="str">
        <f t="shared" si="62"/>
        <v>TID_BranchLineTaskConf_11210101_taskName_GL_Main</v>
      </c>
      <c r="M99" s="4">
        <f t="shared" si="63"/>
        <v>11201020</v>
      </c>
      <c r="N99" s="4" t="s">
        <v>51</v>
      </c>
      <c r="O99" s="4" t="s">
        <v>52</v>
      </c>
      <c r="P99" s="4" t="str">
        <f t="shared" si="59"/>
        <v>taskReward{taskId:11201020}</v>
      </c>
      <c r="Q99" s="4" t="s">
        <v>52</v>
      </c>
      <c r="R99" s="4" t="s">
        <v>289</v>
      </c>
      <c r="S99" s="4" t="str">
        <f t="shared" si="60"/>
        <v>buildingLevelUp{buildingType:229,buildingLevel:10}</v>
      </c>
      <c r="T99" s="4" t="s">
        <v>52</v>
      </c>
      <c r="U99" s="4" t="s">
        <v>290</v>
      </c>
      <c r="V99" s="4" t="s">
        <v>291</v>
      </c>
      <c r="W99" s="4">
        <f>VLOOKUP(V99,[1]界面跳转!$I:$J,2,FALSE)</f>
        <v>7052</v>
      </c>
      <c r="Y99" s="4" t="s">
        <v>56</v>
      </c>
      <c r="Z99" s="4" t="s">
        <v>57</v>
      </c>
      <c r="AB99" s="4">
        <v>6622012</v>
      </c>
      <c r="AH99" s="4">
        <v>1</v>
      </c>
    </row>
    <row r="100" spans="1:34" x14ac:dyDescent="0.45">
      <c r="A100" s="4">
        <f t="shared" si="56"/>
        <v>11201040</v>
      </c>
      <c r="B100" s="22">
        <v>12</v>
      </c>
      <c r="C100" s="4">
        <v>1</v>
      </c>
      <c r="D100" s="4">
        <f t="shared" si="61"/>
        <v>4</v>
      </c>
      <c r="E100" s="4" t="s">
        <v>48</v>
      </c>
      <c r="F100" t="s">
        <v>292</v>
      </c>
      <c r="G100" s="22" t="s">
        <v>67</v>
      </c>
      <c r="H100" s="22">
        <v>12</v>
      </c>
      <c r="I100" s="22" t="s">
        <v>63</v>
      </c>
      <c r="J100" s="4" t="str">
        <f t="shared" si="57"/>
        <v>升级伐木场至12级</v>
      </c>
      <c r="K100" s="4">
        <f t="shared" si="58"/>
        <v>11201040</v>
      </c>
      <c r="L100" s="4" t="str">
        <f>F101</f>
        <v>TID_UpgradeBuildings_015</v>
      </c>
      <c r="M100" s="4">
        <f t="shared" si="63"/>
        <v>11201030</v>
      </c>
      <c r="N100" s="4" t="s">
        <v>51</v>
      </c>
      <c r="O100" s="4" t="s">
        <v>52</v>
      </c>
      <c r="P100" s="4" t="str">
        <f t="shared" si="59"/>
        <v>taskReward{taskId:11201030}</v>
      </c>
      <c r="Q100" s="4" t="s">
        <v>52</v>
      </c>
      <c r="R100" s="4" t="s">
        <v>68</v>
      </c>
      <c r="S100" s="4" t="str">
        <f t="shared" si="60"/>
        <v>buildingLevelUp{buildingType:204,buildingLevel:12}</v>
      </c>
      <c r="T100" s="4" t="s">
        <v>52</v>
      </c>
      <c r="U100" s="4" t="s">
        <v>69</v>
      </c>
      <c r="V100" s="4" t="s">
        <v>226</v>
      </c>
      <c r="W100" s="4">
        <f>VLOOKUP(V100,[1]界面跳转!$I:$J,2,FALSE)</f>
        <v>7011</v>
      </c>
      <c r="Y100" s="4" t="s">
        <v>56</v>
      </c>
      <c r="Z100" s="4" t="s">
        <v>57</v>
      </c>
      <c r="AB100" s="4">
        <v>6622012</v>
      </c>
      <c r="AH100" s="4">
        <v>1</v>
      </c>
    </row>
    <row r="101" spans="1:34" x14ac:dyDescent="0.45">
      <c r="A101" s="4">
        <f t="shared" ref="A101" si="80">10000000+B101*100000+C101*1000+D101*10</f>
        <v>11201050</v>
      </c>
      <c r="B101" s="22">
        <v>12</v>
      </c>
      <c r="C101" s="4">
        <v>1</v>
      </c>
      <c r="D101" s="4">
        <f t="shared" si="61"/>
        <v>5</v>
      </c>
      <c r="E101" s="4" t="s">
        <v>48</v>
      </c>
      <c r="F101" s="4" t="s">
        <v>293</v>
      </c>
      <c r="G101" s="22" t="s">
        <v>294</v>
      </c>
      <c r="H101" s="22">
        <v>12</v>
      </c>
      <c r="I101" s="22" t="s">
        <v>63</v>
      </c>
      <c r="J101" s="4" t="str">
        <f t="shared" ref="J101" si="81">G101&amp;H101&amp;I101</f>
        <v>升级枪兵营至12级</v>
      </c>
      <c r="K101" s="4">
        <f t="shared" ref="K101" si="82">A101</f>
        <v>11201050</v>
      </c>
      <c r="L101" s="4" t="str">
        <f>F99</f>
        <v>TID_BranchLineTaskConf_229_1_taskName_GL_Main</v>
      </c>
      <c r="M101" s="4">
        <f t="shared" si="63"/>
        <v>11201040</v>
      </c>
      <c r="N101" s="4" t="s">
        <v>51</v>
      </c>
      <c r="O101" s="4" t="s">
        <v>52</v>
      </c>
      <c r="P101" s="4" t="str">
        <f t="shared" si="59"/>
        <v>taskReward{taskId:11201040}</v>
      </c>
      <c r="Q101" s="4" t="s">
        <v>52</v>
      </c>
      <c r="R101" s="4" t="s">
        <v>295</v>
      </c>
      <c r="S101" s="4" t="str">
        <f t="shared" ref="S101" si="83">SUBSTITUTE(R101,"@@@",H101)</f>
        <v>buildingLevelUp{buildingType:232,buildingLevel:12}</v>
      </c>
      <c r="T101" s="4" t="s">
        <v>52</v>
      </c>
      <c r="U101" s="4" t="s">
        <v>296</v>
      </c>
      <c r="V101" s="4" t="s">
        <v>297</v>
      </c>
      <c r="W101" s="4">
        <f>VLOOKUP(V101,[1]界面跳转!$I:$J,2,FALSE)</f>
        <v>7061</v>
      </c>
      <c r="Y101" s="4" t="s">
        <v>56</v>
      </c>
      <c r="Z101" s="4" t="s">
        <v>57</v>
      </c>
      <c r="AB101" s="4">
        <v>6622012</v>
      </c>
      <c r="AH101" s="4">
        <v>1</v>
      </c>
    </row>
    <row r="102" spans="1:34" s="40" customFormat="1" ht="16.149999999999999" customHeight="1" x14ac:dyDescent="0.45">
      <c r="A102" s="40">
        <f t="shared" ref="A102" si="84">10000000+B102*100000+C102*1000+D102*10</f>
        <v>11201060</v>
      </c>
      <c r="B102" s="44">
        <v>12</v>
      </c>
      <c r="C102" s="40">
        <v>1</v>
      </c>
      <c r="D102" s="4">
        <f t="shared" si="61"/>
        <v>6</v>
      </c>
      <c r="E102" s="40" t="s">
        <v>48</v>
      </c>
      <c r="F102" s="40" t="s">
        <v>298</v>
      </c>
      <c r="G102" s="44" t="s">
        <v>189</v>
      </c>
      <c r="H102" s="44">
        <v>3</v>
      </c>
      <c r="I102" s="44" t="s">
        <v>59</v>
      </c>
      <c r="J102" s="40" t="str">
        <f t="shared" si="57"/>
        <v>清剿任意等级【普通】蛮族3次</v>
      </c>
      <c r="K102" s="40">
        <f t="shared" si="58"/>
        <v>11201060</v>
      </c>
      <c r="L102" s="4" t="str">
        <f>F100</f>
        <v>TID_BranchLineTaskConf_204_3_taskName_GL_Main</v>
      </c>
      <c r="M102" s="4">
        <f>A100</f>
        <v>11201040</v>
      </c>
      <c r="N102" s="40" t="s">
        <v>51</v>
      </c>
      <c r="O102" s="40" t="s">
        <v>52</v>
      </c>
      <c r="P102" s="40" t="str">
        <f t="shared" si="59"/>
        <v>taskReward{taskId:11201040}</v>
      </c>
      <c r="Q102" s="40" t="s">
        <v>52</v>
      </c>
      <c r="R102" s="40" t="s">
        <v>190</v>
      </c>
      <c r="S102" s="40" t="str">
        <f t="shared" si="60"/>
        <v>statisticReach{type:"BattleKillMonsterEvent0_1",value:3}</v>
      </c>
      <c r="T102" s="40" t="s">
        <v>52</v>
      </c>
      <c r="U102" s="40" t="s">
        <v>61</v>
      </c>
      <c r="V102" s="40" t="s">
        <v>92</v>
      </c>
      <c r="W102" s="40">
        <f>VLOOKUP(V102,[1]界面跳转!$I:$J,2,FALSE)</f>
        <v>7254</v>
      </c>
      <c r="Y102" s="40" t="s">
        <v>56</v>
      </c>
      <c r="Z102" s="40" t="s">
        <v>57</v>
      </c>
      <c r="AB102" s="40">
        <v>6622004</v>
      </c>
      <c r="AH102" s="4">
        <v>1</v>
      </c>
    </row>
    <row r="103" spans="1:34" x14ac:dyDescent="0.45">
      <c r="A103" s="4">
        <f t="shared" si="56"/>
        <v>11201070</v>
      </c>
      <c r="B103" s="22">
        <v>12</v>
      </c>
      <c r="C103" s="4">
        <v>1</v>
      </c>
      <c r="D103" s="4">
        <f t="shared" si="61"/>
        <v>7</v>
      </c>
      <c r="E103" s="4" t="s">
        <v>48</v>
      </c>
      <c r="F103" t="s">
        <v>299</v>
      </c>
      <c r="G103" s="22" t="s">
        <v>228</v>
      </c>
      <c r="H103" s="22">
        <v>12</v>
      </c>
      <c r="I103" s="22" t="s">
        <v>63</v>
      </c>
      <c r="J103" s="4" t="str">
        <f t="shared" si="57"/>
        <v>升级石矿场至12级</v>
      </c>
      <c r="K103" s="4">
        <f t="shared" si="58"/>
        <v>11201070</v>
      </c>
      <c r="L103" s="4" t="str">
        <f t="shared" si="62"/>
        <v>TID_BranchLineTaskConf_10013010_taskName_GL_Main</v>
      </c>
      <c r="M103" s="4">
        <f t="shared" si="63"/>
        <v>11201060</v>
      </c>
      <c r="N103" s="4" t="s">
        <v>51</v>
      </c>
      <c r="O103" s="4" t="s">
        <v>52</v>
      </c>
      <c r="P103" s="4" t="str">
        <f t="shared" si="59"/>
        <v>taskReward{taskId:11201060}</v>
      </c>
      <c r="Q103" s="4" t="s">
        <v>52</v>
      </c>
      <c r="R103" s="4" t="s">
        <v>229</v>
      </c>
      <c r="S103" s="4" t="str">
        <f t="shared" si="60"/>
        <v>buildingLevelUp{buildingType:205,buildingLevel:12}</v>
      </c>
      <c r="T103" s="4" t="s">
        <v>52</v>
      </c>
      <c r="U103" s="4" t="s">
        <v>66</v>
      </c>
      <c r="V103" s="4" t="s">
        <v>230</v>
      </c>
      <c r="W103" s="4">
        <f>VLOOKUP(V103,[1]界面跳转!$I:$J,2,FALSE)</f>
        <v>7013</v>
      </c>
      <c r="Y103" s="4" t="s">
        <v>56</v>
      </c>
      <c r="Z103" s="4" t="s">
        <v>57</v>
      </c>
      <c r="AB103" s="4">
        <v>6622012</v>
      </c>
      <c r="AH103" s="4">
        <v>1</v>
      </c>
    </row>
    <row r="104" spans="1:34" x14ac:dyDescent="0.45">
      <c r="A104" s="4">
        <f t="shared" ref="A104:A163" si="85">10000000+B104*100000+C104*1000+D104*10</f>
        <v>11201080</v>
      </c>
      <c r="B104" s="22">
        <v>12</v>
      </c>
      <c r="C104" s="4">
        <v>1</v>
      </c>
      <c r="D104" s="4">
        <f t="shared" si="61"/>
        <v>8</v>
      </c>
      <c r="E104" s="4" t="s">
        <v>48</v>
      </c>
      <c r="F104" t="s">
        <v>300</v>
      </c>
      <c r="G104" s="22" t="s">
        <v>221</v>
      </c>
      <c r="H104" s="22">
        <v>12</v>
      </c>
      <c r="I104" s="22" t="s">
        <v>63</v>
      </c>
      <c r="J104" s="4" t="str">
        <f t="shared" ref="J104:J168" si="86">G104&amp;H104&amp;I104</f>
        <v>升级金矿场至12级</v>
      </c>
      <c r="K104" s="4">
        <f t="shared" ref="K104:K168" si="87">A104</f>
        <v>11201080</v>
      </c>
      <c r="L104" s="4" t="str">
        <f t="shared" si="62"/>
        <v>TID_BranchLineTaskConf_205_3_taskName_GL_Main</v>
      </c>
      <c r="M104" s="4">
        <f t="shared" si="63"/>
        <v>11201070</v>
      </c>
      <c r="N104" s="4" t="s">
        <v>51</v>
      </c>
      <c r="O104" s="4" t="s">
        <v>52</v>
      </c>
      <c r="P104" s="4" t="str">
        <f t="shared" si="59"/>
        <v>taskReward{taskId:11201070}</v>
      </c>
      <c r="Q104" s="4" t="s">
        <v>52</v>
      </c>
      <c r="R104" s="4" t="s">
        <v>222</v>
      </c>
      <c r="S104" s="4" t="str">
        <f t="shared" ref="S104:S168" si="88">SUBSTITUTE(R104,"@@@",H104)</f>
        <v>buildingLevelUp{buildingType:234,buildingLevel:12}</v>
      </c>
      <c r="T104" s="4" t="s">
        <v>52</v>
      </c>
      <c r="U104" s="4" t="s">
        <v>223</v>
      </c>
      <c r="V104" s="4" t="s">
        <v>224</v>
      </c>
      <c r="W104" s="4">
        <f>VLOOKUP(V104,[1]界面跳转!$I:$J,2,FALSE)</f>
        <v>7067</v>
      </c>
      <c r="Y104" s="4" t="s">
        <v>56</v>
      </c>
      <c r="Z104" s="4" t="s">
        <v>57</v>
      </c>
      <c r="AB104" s="4">
        <v>6622012</v>
      </c>
      <c r="AH104" s="4">
        <v>1</v>
      </c>
    </row>
    <row r="105" spans="1:34" x14ac:dyDescent="0.45">
      <c r="A105" s="4">
        <f t="shared" si="85"/>
        <v>11201090</v>
      </c>
      <c r="B105" s="22">
        <v>12</v>
      </c>
      <c r="C105" s="4">
        <v>1</v>
      </c>
      <c r="D105" s="4">
        <f t="shared" si="61"/>
        <v>9</v>
      </c>
      <c r="E105" s="4" t="s">
        <v>48</v>
      </c>
      <c r="F105" t="s">
        <v>301</v>
      </c>
      <c r="G105" s="22" t="s">
        <v>71</v>
      </c>
      <c r="H105" s="22">
        <v>12</v>
      </c>
      <c r="I105" s="22" t="s">
        <v>63</v>
      </c>
      <c r="J105" s="4" t="str">
        <f t="shared" si="86"/>
        <v>升级磨坊至12级</v>
      </c>
      <c r="K105" s="4">
        <f t="shared" si="87"/>
        <v>11201090</v>
      </c>
      <c r="L105" s="4" t="str">
        <f t="shared" si="62"/>
        <v>TID_BranchLineTaskConf_234_3_taskName_GL_Main</v>
      </c>
      <c r="M105" s="4">
        <f t="shared" si="63"/>
        <v>11201080</v>
      </c>
      <c r="N105" s="4" t="s">
        <v>51</v>
      </c>
      <c r="O105" s="4" t="s">
        <v>52</v>
      </c>
      <c r="P105" s="4" t="str">
        <f t="shared" si="59"/>
        <v>taskReward{taskId:11201080}</v>
      </c>
      <c r="Q105" s="4" t="s">
        <v>52</v>
      </c>
      <c r="R105" s="4" t="s">
        <v>72</v>
      </c>
      <c r="S105" s="4" t="str">
        <f t="shared" si="88"/>
        <v>buildingLevelUp{buildingType:203,buildingLevel:12}</v>
      </c>
      <c r="T105" s="4" t="s">
        <v>52</v>
      </c>
      <c r="U105" s="4" t="s">
        <v>73</v>
      </c>
      <c r="V105" s="4" t="s">
        <v>181</v>
      </c>
      <c r="W105" s="4">
        <f>VLOOKUP(V105,[1]界面跳转!$I:$J,2,FALSE)</f>
        <v>7009</v>
      </c>
      <c r="Y105" s="4" t="s">
        <v>56</v>
      </c>
      <c r="Z105" s="4" t="s">
        <v>57</v>
      </c>
      <c r="AB105" s="4">
        <v>6622012</v>
      </c>
      <c r="AH105" s="4">
        <v>1</v>
      </c>
    </row>
    <row r="106" spans="1:34" x14ac:dyDescent="0.45">
      <c r="A106" s="4">
        <f t="shared" si="85"/>
        <v>11201100</v>
      </c>
      <c r="B106" s="22">
        <v>12</v>
      </c>
      <c r="C106" s="4">
        <v>1</v>
      </c>
      <c r="D106" s="4">
        <f t="shared" si="61"/>
        <v>10</v>
      </c>
      <c r="E106" s="4" t="s">
        <v>48</v>
      </c>
      <c r="F106" t="s">
        <v>302</v>
      </c>
      <c r="G106" s="22" t="s">
        <v>150</v>
      </c>
      <c r="H106" s="22">
        <v>12</v>
      </c>
      <c r="I106" s="22" t="s">
        <v>63</v>
      </c>
      <c r="J106" s="4" t="str">
        <f t="shared" si="86"/>
        <v>升级居民房舍至12级</v>
      </c>
      <c r="K106" s="4">
        <f t="shared" si="87"/>
        <v>11201100</v>
      </c>
      <c r="L106" s="4" t="str">
        <f t="shared" si="62"/>
        <v>TID_BranchLineTaskConf_203_3_taskName_GL_Main</v>
      </c>
      <c r="M106" s="4">
        <f t="shared" si="63"/>
        <v>11201090</v>
      </c>
      <c r="N106" s="4" t="s">
        <v>51</v>
      </c>
      <c r="O106" s="4" t="s">
        <v>52</v>
      </c>
      <c r="P106" s="4" t="str">
        <f t="shared" si="59"/>
        <v>taskReward{taskId:11201090}</v>
      </c>
      <c r="Q106" s="4" t="s">
        <v>52</v>
      </c>
      <c r="R106" s="4" t="s">
        <v>151</v>
      </c>
      <c r="S106" s="4" t="str">
        <f t="shared" si="88"/>
        <v>buildingLevelUp{buildingType:202,buildingLevel:12}</v>
      </c>
      <c r="T106" s="4" t="s">
        <v>52</v>
      </c>
      <c r="U106" s="4" t="s">
        <v>234</v>
      </c>
      <c r="V106" s="4" t="s">
        <v>153</v>
      </c>
      <c r="W106" s="4">
        <f>VLOOKUP(V106,[1]界面跳转!$I:$J,2,FALSE)</f>
        <v>7006</v>
      </c>
      <c r="Y106" s="4" t="s">
        <v>56</v>
      </c>
      <c r="Z106" s="4" t="s">
        <v>57</v>
      </c>
      <c r="AB106" s="4">
        <v>6622012</v>
      </c>
      <c r="AH106" s="4">
        <v>1</v>
      </c>
    </row>
    <row r="107" spans="1:34" x14ac:dyDescent="0.45">
      <c r="A107" s="4">
        <f t="shared" si="85"/>
        <v>11201110</v>
      </c>
      <c r="B107" s="22">
        <v>12</v>
      </c>
      <c r="C107" s="4">
        <v>1</v>
      </c>
      <c r="D107" s="4">
        <f t="shared" si="61"/>
        <v>11</v>
      </c>
      <c r="E107" s="4" t="s">
        <v>48</v>
      </c>
      <c r="F107" s="4" t="s">
        <v>303</v>
      </c>
      <c r="G107" s="22" t="s">
        <v>101</v>
      </c>
      <c r="H107" s="22">
        <v>12</v>
      </c>
      <c r="I107" s="22" t="s">
        <v>63</v>
      </c>
      <c r="J107" s="4" t="str">
        <f t="shared" si="86"/>
        <v>升级治疗房舍至12级</v>
      </c>
      <c r="K107" s="4">
        <f t="shared" si="87"/>
        <v>11201110</v>
      </c>
      <c r="L107" s="4" t="str">
        <f t="shared" si="62"/>
        <v>TID_BranchLineTaskConf_202_2_taskName_GL_Main</v>
      </c>
      <c r="M107" s="4">
        <f t="shared" si="63"/>
        <v>11201100</v>
      </c>
      <c r="N107" s="4" t="s">
        <v>51</v>
      </c>
      <c r="O107" s="4" t="s">
        <v>52</v>
      </c>
      <c r="P107" s="4" t="str">
        <f t="shared" si="59"/>
        <v>taskReward{taskId:11201100}</v>
      </c>
      <c r="Q107" s="4" t="s">
        <v>52</v>
      </c>
      <c r="R107" s="4" t="s">
        <v>102</v>
      </c>
      <c r="S107" s="4" t="str">
        <f t="shared" si="88"/>
        <v>buildingLevelUp{buildingType:222,buildingLevel:12}</v>
      </c>
      <c r="T107" s="4" t="s">
        <v>52</v>
      </c>
      <c r="U107" s="4" t="s">
        <v>103</v>
      </c>
      <c r="V107" s="4" t="s">
        <v>236</v>
      </c>
      <c r="W107" s="4">
        <f>VLOOKUP(V107,[1]界面跳转!$I:$J,2,FALSE)</f>
        <v>7041</v>
      </c>
      <c r="Y107" s="4" t="s">
        <v>56</v>
      </c>
      <c r="Z107" s="4" t="s">
        <v>57</v>
      </c>
      <c r="AB107" s="4">
        <v>6622012</v>
      </c>
      <c r="AH107" s="4">
        <v>1</v>
      </c>
    </row>
    <row r="108" spans="1:34" x14ac:dyDescent="0.45">
      <c r="A108" s="4">
        <f t="shared" si="85"/>
        <v>11201120</v>
      </c>
      <c r="B108" s="22">
        <v>12</v>
      </c>
      <c r="C108" s="4">
        <v>1</v>
      </c>
      <c r="D108" s="4">
        <f t="shared" si="61"/>
        <v>12</v>
      </c>
      <c r="E108" s="4" t="s">
        <v>48</v>
      </c>
      <c r="F108" t="s">
        <v>304</v>
      </c>
      <c r="G108" s="22" t="s">
        <v>106</v>
      </c>
      <c r="H108" s="22">
        <v>12</v>
      </c>
      <c r="I108" s="22" t="s">
        <v>63</v>
      </c>
      <c r="J108" s="4" t="str">
        <f t="shared" si="86"/>
        <v>升级城墙至12级</v>
      </c>
      <c r="K108" s="4">
        <f t="shared" si="87"/>
        <v>11201120</v>
      </c>
      <c r="L108" s="4" t="str">
        <f t="shared" si="62"/>
        <v>TID_BranchLineTaskConf_222_6_taskName_GL_Main</v>
      </c>
      <c r="M108" s="4">
        <f t="shared" si="63"/>
        <v>11201110</v>
      </c>
      <c r="N108" s="4" t="s">
        <v>51</v>
      </c>
      <c r="O108" s="4" t="s">
        <v>52</v>
      </c>
      <c r="P108" s="4" t="str">
        <f t="shared" si="59"/>
        <v>taskReward{taskId:11201110}</v>
      </c>
      <c r="Q108" s="4" t="s">
        <v>52</v>
      </c>
      <c r="R108" s="4" t="s">
        <v>107</v>
      </c>
      <c r="S108" s="4" t="str">
        <f t="shared" si="88"/>
        <v>buildingLevelUp{buildingType:215,buildingLevel:12}</v>
      </c>
      <c r="T108" s="4" t="s">
        <v>52</v>
      </c>
      <c r="U108" s="4" t="s">
        <v>108</v>
      </c>
      <c r="V108" s="4" t="s">
        <v>249</v>
      </c>
      <c r="W108" s="4">
        <f>VLOOKUP(V108,[1]界面跳转!$I:$J,2,FALSE)</f>
        <v>7039</v>
      </c>
      <c r="Y108" s="4" t="s">
        <v>56</v>
      </c>
      <c r="Z108" s="4" t="s">
        <v>57</v>
      </c>
      <c r="AB108" s="4">
        <v>6622012</v>
      </c>
      <c r="AH108" s="4">
        <v>1</v>
      </c>
    </row>
    <row r="109" spans="1:34" x14ac:dyDescent="0.45">
      <c r="A109" s="4">
        <f t="shared" si="85"/>
        <v>11201130</v>
      </c>
      <c r="B109" s="22">
        <v>12</v>
      </c>
      <c r="C109" s="4">
        <v>1</v>
      </c>
      <c r="D109" s="4">
        <f t="shared" si="61"/>
        <v>13</v>
      </c>
      <c r="E109" s="4" t="s">
        <v>48</v>
      </c>
      <c r="F109" s="34" t="s">
        <v>305</v>
      </c>
      <c r="G109" s="22" t="s">
        <v>124</v>
      </c>
      <c r="H109" s="22">
        <v>12</v>
      </c>
      <c r="I109" s="22" t="s">
        <v>63</v>
      </c>
      <c r="J109" s="4" t="str">
        <f t="shared" si="86"/>
        <v>升级学院至12级</v>
      </c>
      <c r="K109" s="4">
        <f t="shared" si="87"/>
        <v>11201130</v>
      </c>
      <c r="L109" s="4" t="str">
        <f t="shared" si="62"/>
        <v>TID_BranchLineTaskConf_215_9_taskName_GL_Main</v>
      </c>
      <c r="M109" s="4">
        <f t="shared" si="63"/>
        <v>11201120</v>
      </c>
      <c r="N109" s="4" t="s">
        <v>51</v>
      </c>
      <c r="O109" s="4" t="s">
        <v>52</v>
      </c>
      <c r="P109" s="4" t="str">
        <f t="shared" si="59"/>
        <v>taskReward{taskId:11201120}</v>
      </c>
      <c r="Q109" s="4" t="s">
        <v>52</v>
      </c>
      <c r="R109" s="4" t="s">
        <v>125</v>
      </c>
      <c r="S109" s="4" t="str">
        <f t="shared" si="88"/>
        <v>buildingLevelUp{buildingType:211,buildingLevel:12}</v>
      </c>
      <c r="T109" s="4" t="s">
        <v>52</v>
      </c>
      <c r="U109" s="4" t="s">
        <v>126</v>
      </c>
      <c r="V109" s="4" t="s">
        <v>127</v>
      </c>
      <c r="W109" s="4">
        <f>VLOOKUP(V109,[1]界面跳转!$I:$J,2,FALSE)</f>
        <v>7029</v>
      </c>
      <c r="Y109" s="4" t="s">
        <v>56</v>
      </c>
      <c r="Z109" s="4" t="s">
        <v>57</v>
      </c>
      <c r="AB109" s="4">
        <v>6622012</v>
      </c>
      <c r="AH109" s="4">
        <v>1</v>
      </c>
    </row>
    <row r="110" spans="1:34" x14ac:dyDescent="0.45">
      <c r="A110" s="4">
        <f t="shared" ref="A110" si="89">10000000+B110*100000+C110*1000+D110*10</f>
        <v>11201140</v>
      </c>
      <c r="B110" s="22">
        <v>12</v>
      </c>
      <c r="C110" s="4">
        <v>1</v>
      </c>
      <c r="D110" s="4">
        <f t="shared" si="61"/>
        <v>14</v>
      </c>
      <c r="E110" s="4" t="s">
        <v>48</v>
      </c>
      <c r="F110" s="4" t="s">
        <v>306</v>
      </c>
      <c r="G110" s="22" t="s">
        <v>307</v>
      </c>
      <c r="H110" s="22" t="s">
        <v>308</v>
      </c>
      <c r="I110" s="22">
        <v>1</v>
      </c>
      <c r="J110" s="4" t="str">
        <f t="shared" ref="J110" si="90">G110&amp;H110&amp;I110</f>
        <v>解锁英雄编队1</v>
      </c>
      <c r="K110" s="4">
        <f t="shared" ref="K110" si="91">A110</f>
        <v>11201140</v>
      </c>
      <c r="L110" s="4" t="str">
        <f t="shared" si="62"/>
        <v>TID_BranchLineTaskConf_211_11_taskName_GL_Main</v>
      </c>
      <c r="M110" s="4">
        <f t="shared" si="63"/>
        <v>11201130</v>
      </c>
      <c r="N110" s="4" t="s">
        <v>51</v>
      </c>
      <c r="O110" s="4" t="s">
        <v>52</v>
      </c>
      <c r="P110" s="4" t="str">
        <f t="shared" si="59"/>
        <v>taskReward{taskId:11201130}</v>
      </c>
      <c r="Q110" s="4" t="s">
        <v>52</v>
      </c>
      <c r="R110" s="4" t="s">
        <v>309</v>
      </c>
      <c r="S110" s="4" t="str">
        <f t="shared" si="88"/>
        <v>castleScienceMultiLevelUp{techId:10801,level:1,relationIfWith:true}</v>
      </c>
      <c r="T110" s="4" t="s">
        <v>52</v>
      </c>
      <c r="U110" s="4"/>
      <c r="V110" s="4" t="s">
        <v>310</v>
      </c>
      <c r="W110" s="4">
        <v>100144</v>
      </c>
      <c r="Y110" s="4" t="s">
        <v>56</v>
      </c>
      <c r="Z110" s="4" t="s">
        <v>57</v>
      </c>
      <c r="AB110" s="4">
        <v>6622012</v>
      </c>
      <c r="AH110" s="4">
        <v>1</v>
      </c>
    </row>
    <row r="111" spans="1:34" ht="16.149999999999999" customHeight="1" x14ac:dyDescent="0.45">
      <c r="A111" s="4">
        <f t="shared" si="85"/>
        <v>11201150</v>
      </c>
      <c r="B111" s="22">
        <v>12</v>
      </c>
      <c r="C111" s="4">
        <v>1</v>
      </c>
      <c r="D111" s="4">
        <f t="shared" si="61"/>
        <v>15</v>
      </c>
      <c r="E111" s="4" t="s">
        <v>48</v>
      </c>
      <c r="F111" s="4" t="s">
        <v>311</v>
      </c>
      <c r="G111" s="45" t="s">
        <v>96</v>
      </c>
      <c r="H111" s="45">
        <v>13</v>
      </c>
      <c r="I111" s="45" t="s">
        <v>63</v>
      </c>
      <c r="J111" s="4" t="str">
        <f t="shared" si="86"/>
        <v>升级城镇中心至13级</v>
      </c>
      <c r="K111" s="4">
        <f t="shared" si="87"/>
        <v>11201150</v>
      </c>
      <c r="L111" s="4" t="str">
        <f t="shared" si="62"/>
        <v>TID_BranchLineTaskConf_11201140_taskName_GL_Main</v>
      </c>
      <c r="M111" s="4">
        <f t="shared" si="63"/>
        <v>11201140</v>
      </c>
      <c r="N111" s="4" t="s">
        <v>51</v>
      </c>
      <c r="O111" s="4" t="s">
        <v>52</v>
      </c>
      <c r="P111" s="4" t="str">
        <f t="shared" si="59"/>
        <v>taskReward{taskId:11201140}</v>
      </c>
      <c r="Q111" s="4" t="s">
        <v>52</v>
      </c>
      <c r="R111" s="4" t="s">
        <v>97</v>
      </c>
      <c r="S111" s="4" t="str">
        <f t="shared" si="88"/>
        <v>buildingLevelUp{buildingType:201,buildingLevel:13}</v>
      </c>
      <c r="T111" s="4" t="s">
        <v>52</v>
      </c>
      <c r="U111" s="4" t="s">
        <v>98</v>
      </c>
      <c r="V111" s="4" t="s">
        <v>251</v>
      </c>
      <c r="W111" s="4">
        <f>VLOOKUP(V111,[1]界面跳转!$I:$J,2,FALSE)</f>
        <v>7001</v>
      </c>
      <c r="Y111" s="4" t="s">
        <v>56</v>
      </c>
      <c r="Z111" s="4" t="s">
        <v>57</v>
      </c>
      <c r="AB111" s="4">
        <v>6622013</v>
      </c>
      <c r="AG111" s="4">
        <v>1</v>
      </c>
      <c r="AH111" s="4">
        <v>1</v>
      </c>
    </row>
    <row r="112" spans="1:34" x14ac:dyDescent="0.45">
      <c r="A112" s="4">
        <f t="shared" si="85"/>
        <v>11301010</v>
      </c>
      <c r="B112" s="22">
        <v>13</v>
      </c>
      <c r="C112" s="4">
        <v>1</v>
      </c>
      <c r="D112" s="4">
        <f t="shared" ref="D112:D176" si="92">IF(B112=B111,D111+1,1)</f>
        <v>1</v>
      </c>
      <c r="E112" s="4" t="s">
        <v>48</v>
      </c>
      <c r="F112" t="s">
        <v>312</v>
      </c>
      <c r="G112" s="22" t="s">
        <v>67</v>
      </c>
      <c r="H112" s="22">
        <v>13</v>
      </c>
      <c r="I112" s="22" t="s">
        <v>63</v>
      </c>
      <c r="J112" s="4" t="str">
        <f t="shared" si="86"/>
        <v>升级伐木场至13级</v>
      </c>
      <c r="K112" s="4">
        <f t="shared" si="87"/>
        <v>11301010</v>
      </c>
      <c r="L112" s="4" t="str">
        <f t="shared" si="62"/>
        <v>TID_BranchLineTaskConf_11210112_taskName_GL_Main</v>
      </c>
      <c r="M112" s="4">
        <f t="shared" si="63"/>
        <v>11201150</v>
      </c>
      <c r="N112" s="4" t="s">
        <v>51</v>
      </c>
      <c r="O112" s="4" t="s">
        <v>52</v>
      </c>
      <c r="P112" s="4" t="str">
        <f t="shared" si="59"/>
        <v>taskReward{taskId:11201150}</v>
      </c>
      <c r="Q112" s="4" t="s">
        <v>52</v>
      </c>
      <c r="R112" s="4" t="s">
        <v>68</v>
      </c>
      <c r="S112" s="4" t="str">
        <f t="shared" si="88"/>
        <v>buildingLevelUp{buildingType:204,buildingLevel:13}</v>
      </c>
      <c r="T112" s="4" t="s">
        <v>52</v>
      </c>
      <c r="U112" s="4" t="s">
        <v>69</v>
      </c>
      <c r="V112" s="4" t="s">
        <v>226</v>
      </c>
      <c r="W112" s="4">
        <f>VLOOKUP(V112,[1]界面跳转!$I:$J,2,FALSE)</f>
        <v>7011</v>
      </c>
      <c r="Y112" s="4" t="s">
        <v>56</v>
      </c>
      <c r="Z112" s="4" t="s">
        <v>57</v>
      </c>
      <c r="AB112" s="4">
        <v>6622013</v>
      </c>
      <c r="AH112" s="4">
        <v>1</v>
      </c>
    </row>
    <row r="113" spans="1:34" x14ac:dyDescent="0.45">
      <c r="A113" s="4">
        <f t="shared" si="85"/>
        <v>11301020</v>
      </c>
      <c r="B113" s="22">
        <v>13</v>
      </c>
      <c r="C113" s="4">
        <v>1</v>
      </c>
      <c r="D113" s="4">
        <f t="shared" si="92"/>
        <v>2</v>
      </c>
      <c r="E113" s="4" t="s">
        <v>48</v>
      </c>
      <c r="F113" t="s">
        <v>313</v>
      </c>
      <c r="G113" s="22" t="s">
        <v>228</v>
      </c>
      <c r="H113" s="22">
        <v>13</v>
      </c>
      <c r="I113" s="22" t="s">
        <v>63</v>
      </c>
      <c r="J113" s="4" t="str">
        <f t="shared" si="86"/>
        <v>升级石矿场至13级</v>
      </c>
      <c r="K113" s="4">
        <f t="shared" si="87"/>
        <v>11301020</v>
      </c>
      <c r="L113" s="4" t="str">
        <f t="shared" si="62"/>
        <v>TID_BranchLineTaskConf_204_4_taskName_GL_Main</v>
      </c>
      <c r="M113" s="4">
        <f t="shared" si="63"/>
        <v>11301010</v>
      </c>
      <c r="N113" s="4" t="s">
        <v>51</v>
      </c>
      <c r="O113" s="4" t="s">
        <v>52</v>
      </c>
      <c r="P113" s="4" t="str">
        <f t="shared" si="59"/>
        <v>taskReward{taskId:11301010}</v>
      </c>
      <c r="Q113" s="4" t="s">
        <v>52</v>
      </c>
      <c r="R113" s="4" t="s">
        <v>229</v>
      </c>
      <c r="S113" s="4" t="str">
        <f t="shared" si="88"/>
        <v>buildingLevelUp{buildingType:205,buildingLevel:13}</v>
      </c>
      <c r="T113" s="4" t="s">
        <v>52</v>
      </c>
      <c r="U113" s="4" t="s">
        <v>66</v>
      </c>
      <c r="V113" s="4" t="s">
        <v>230</v>
      </c>
      <c r="W113" s="4">
        <f>VLOOKUP(V113,[1]界面跳转!$I:$J,2,FALSE)</f>
        <v>7013</v>
      </c>
      <c r="Y113" s="4" t="s">
        <v>56</v>
      </c>
      <c r="Z113" s="4" t="s">
        <v>57</v>
      </c>
      <c r="AB113" s="4">
        <v>6622013</v>
      </c>
      <c r="AH113" s="4">
        <v>1</v>
      </c>
    </row>
    <row r="114" spans="1:34" x14ac:dyDescent="0.45">
      <c r="A114" s="4">
        <f t="shared" si="85"/>
        <v>11301030</v>
      </c>
      <c r="B114" s="22">
        <v>13</v>
      </c>
      <c r="C114" s="4">
        <v>1</v>
      </c>
      <c r="D114" s="4">
        <f t="shared" si="92"/>
        <v>3</v>
      </c>
      <c r="E114" s="4" t="s">
        <v>48</v>
      </c>
      <c r="F114" t="s">
        <v>314</v>
      </c>
      <c r="G114" s="22" t="s">
        <v>221</v>
      </c>
      <c r="H114" s="22">
        <v>13</v>
      </c>
      <c r="I114" s="22" t="s">
        <v>63</v>
      </c>
      <c r="J114" s="4" t="str">
        <f t="shared" si="86"/>
        <v>升级金矿场至13级</v>
      </c>
      <c r="K114" s="4">
        <f t="shared" si="87"/>
        <v>11301030</v>
      </c>
      <c r="L114" s="4" t="str">
        <f t="shared" si="62"/>
        <v>TID_BranchLineTaskConf_205_4_taskName_GL_Main</v>
      </c>
      <c r="M114" s="4">
        <f t="shared" si="63"/>
        <v>11301020</v>
      </c>
      <c r="N114" s="4" t="s">
        <v>51</v>
      </c>
      <c r="O114" s="4" t="s">
        <v>52</v>
      </c>
      <c r="P114" s="4" t="str">
        <f t="shared" si="59"/>
        <v>taskReward{taskId:11301020}</v>
      </c>
      <c r="Q114" s="4" t="s">
        <v>52</v>
      </c>
      <c r="R114" s="4" t="s">
        <v>222</v>
      </c>
      <c r="S114" s="4" t="str">
        <f t="shared" si="88"/>
        <v>buildingLevelUp{buildingType:234,buildingLevel:13}</v>
      </c>
      <c r="T114" s="4" t="s">
        <v>52</v>
      </c>
      <c r="U114" s="4" t="s">
        <v>223</v>
      </c>
      <c r="V114" s="4" t="s">
        <v>224</v>
      </c>
      <c r="W114" s="4">
        <f>VLOOKUP(V114,[1]界面跳转!$I:$J,2,FALSE)</f>
        <v>7067</v>
      </c>
      <c r="Y114" s="4" t="s">
        <v>56</v>
      </c>
      <c r="Z114" s="4" t="s">
        <v>57</v>
      </c>
      <c r="AB114" s="4">
        <v>6622013</v>
      </c>
      <c r="AH114" s="4">
        <v>1</v>
      </c>
    </row>
    <row r="115" spans="1:34" s="40" customFormat="1" ht="16.149999999999999" customHeight="1" x14ac:dyDescent="0.45">
      <c r="A115" s="40">
        <f t="shared" si="85"/>
        <v>11301040</v>
      </c>
      <c r="B115" s="44">
        <v>13</v>
      </c>
      <c r="C115" s="40">
        <v>1</v>
      </c>
      <c r="D115" s="40">
        <f t="shared" si="92"/>
        <v>4</v>
      </c>
      <c r="E115" s="40" t="s">
        <v>48</v>
      </c>
      <c r="F115" s="40" t="s">
        <v>167</v>
      </c>
      <c r="G115" s="44" t="s">
        <v>89</v>
      </c>
      <c r="H115" s="44">
        <v>5</v>
      </c>
      <c r="I115" s="44" t="s">
        <v>90</v>
      </c>
      <c r="J115" s="40" t="str">
        <f t="shared" si="86"/>
        <v>清剿5级或更高级【普通】蛮族</v>
      </c>
      <c r="K115" s="40">
        <f t="shared" si="87"/>
        <v>11301040</v>
      </c>
      <c r="L115" s="4" t="str">
        <f t="shared" si="62"/>
        <v>TID_BranchLineTaskConf_234_4_taskName_GL_Main</v>
      </c>
      <c r="M115" s="4">
        <f t="shared" si="63"/>
        <v>11301030</v>
      </c>
      <c r="N115" s="40" t="s">
        <v>51</v>
      </c>
      <c r="O115" s="40" t="s">
        <v>52</v>
      </c>
      <c r="P115" s="40" t="str">
        <f t="shared" si="59"/>
        <v>taskReward{taskId:11301030}</v>
      </c>
      <c r="Q115" s="40" t="s">
        <v>52</v>
      </c>
      <c r="R115" s="40" t="s">
        <v>91</v>
      </c>
      <c r="S115" s="40" t="str">
        <f t="shared" si="88"/>
        <v>statisticReach{type:"BattleKillMonsterEvent5_1",value:1}</v>
      </c>
      <c r="T115" s="40" t="s">
        <v>52</v>
      </c>
      <c r="U115" s="40" t="s">
        <v>61</v>
      </c>
      <c r="V115" s="40" t="s">
        <v>92</v>
      </c>
      <c r="W115" s="40">
        <f>VLOOKUP(V115,[1]界面跳转!$I:$J,2,FALSE)</f>
        <v>7254</v>
      </c>
      <c r="Y115" s="40" t="s">
        <v>56</v>
      </c>
      <c r="Z115" s="40" t="s">
        <v>57</v>
      </c>
      <c r="AB115" s="40">
        <v>6622004</v>
      </c>
      <c r="AH115" s="4">
        <v>1</v>
      </c>
    </row>
    <row r="116" spans="1:34" x14ac:dyDescent="0.45">
      <c r="A116" s="4">
        <f t="shared" si="85"/>
        <v>11301050</v>
      </c>
      <c r="B116" s="22">
        <v>13</v>
      </c>
      <c r="C116" s="4">
        <v>1</v>
      </c>
      <c r="D116" s="4">
        <f t="shared" si="92"/>
        <v>5</v>
      </c>
      <c r="E116" s="4" t="s">
        <v>48</v>
      </c>
      <c r="F116" t="s">
        <v>315</v>
      </c>
      <c r="G116" s="22" t="s">
        <v>71</v>
      </c>
      <c r="H116" s="22">
        <v>13</v>
      </c>
      <c r="I116" s="22" t="s">
        <v>63</v>
      </c>
      <c r="J116" s="4" t="str">
        <f t="shared" si="86"/>
        <v>升级磨坊至13级</v>
      </c>
      <c r="K116" s="4">
        <f t="shared" si="87"/>
        <v>11301050</v>
      </c>
      <c r="L116" s="4" t="str">
        <f t="shared" si="62"/>
        <v>TID_BranchLineTaskConf_10012050_taskName_GL_Main</v>
      </c>
      <c r="M116" s="4">
        <f t="shared" si="63"/>
        <v>11301040</v>
      </c>
      <c r="N116" s="4" t="s">
        <v>51</v>
      </c>
      <c r="O116" s="4" t="s">
        <v>52</v>
      </c>
      <c r="P116" s="4" t="str">
        <f t="shared" si="59"/>
        <v>taskReward{taskId:11301040}</v>
      </c>
      <c r="Q116" s="4" t="s">
        <v>52</v>
      </c>
      <c r="R116" s="4" t="s">
        <v>72</v>
      </c>
      <c r="S116" s="4" t="str">
        <f t="shared" si="88"/>
        <v>buildingLevelUp{buildingType:203,buildingLevel:13}</v>
      </c>
      <c r="T116" s="4" t="s">
        <v>52</v>
      </c>
      <c r="U116" s="4" t="s">
        <v>73</v>
      </c>
      <c r="V116" s="4" t="s">
        <v>181</v>
      </c>
      <c r="W116" s="4">
        <f>VLOOKUP(V116,[1]界面跳转!$I:$J,2,FALSE)</f>
        <v>7009</v>
      </c>
      <c r="Y116" s="4" t="s">
        <v>56</v>
      </c>
      <c r="Z116" s="4" t="s">
        <v>57</v>
      </c>
      <c r="AB116" s="4">
        <v>6622013</v>
      </c>
      <c r="AH116" s="4">
        <v>1</v>
      </c>
    </row>
    <row r="117" spans="1:34" x14ac:dyDescent="0.45">
      <c r="A117" s="4">
        <f t="shared" si="85"/>
        <v>11301060</v>
      </c>
      <c r="B117" s="22">
        <v>13</v>
      </c>
      <c r="C117" s="4">
        <v>1</v>
      </c>
      <c r="D117" s="4">
        <f t="shared" si="92"/>
        <v>6</v>
      </c>
      <c r="E117" s="4" t="s">
        <v>48</v>
      </c>
      <c r="F117" t="s">
        <v>316</v>
      </c>
      <c r="G117" s="22" t="s">
        <v>150</v>
      </c>
      <c r="H117" s="22">
        <v>13</v>
      </c>
      <c r="I117" s="22" t="s">
        <v>63</v>
      </c>
      <c r="J117" s="4" t="str">
        <f t="shared" si="86"/>
        <v>升级居民房舍至13级</v>
      </c>
      <c r="K117" s="4">
        <f t="shared" si="87"/>
        <v>11301060</v>
      </c>
      <c r="L117" s="4" t="str">
        <f t="shared" si="62"/>
        <v>TID_BranchLineTaskConf_203_4_taskName_GL_Main</v>
      </c>
      <c r="M117" s="4">
        <f t="shared" si="63"/>
        <v>11301050</v>
      </c>
      <c r="N117" s="4" t="s">
        <v>51</v>
      </c>
      <c r="O117" s="4" t="s">
        <v>52</v>
      </c>
      <c r="P117" s="4" t="str">
        <f t="shared" si="59"/>
        <v>taskReward{taskId:11301050}</v>
      </c>
      <c r="Q117" s="4" t="s">
        <v>52</v>
      </c>
      <c r="R117" s="4" t="s">
        <v>151</v>
      </c>
      <c r="S117" s="4" t="str">
        <f t="shared" si="88"/>
        <v>buildingLevelUp{buildingType:202,buildingLevel:13}</v>
      </c>
      <c r="T117" s="4" t="s">
        <v>52</v>
      </c>
      <c r="U117" s="4" t="s">
        <v>234</v>
      </c>
      <c r="V117" s="4" t="s">
        <v>153</v>
      </c>
      <c r="W117" s="4">
        <f>VLOOKUP(V117,[1]界面跳转!$I:$J,2,FALSE)</f>
        <v>7006</v>
      </c>
      <c r="Y117" s="4" t="s">
        <v>56</v>
      </c>
      <c r="Z117" s="4" t="s">
        <v>57</v>
      </c>
      <c r="AB117" s="4">
        <v>6622013</v>
      </c>
      <c r="AH117" s="4">
        <v>1</v>
      </c>
    </row>
    <row r="118" spans="1:34" x14ac:dyDescent="0.45">
      <c r="A118" s="4">
        <f t="shared" si="85"/>
        <v>11301070</v>
      </c>
      <c r="B118" s="22">
        <v>13</v>
      </c>
      <c r="C118" s="4">
        <v>1</v>
      </c>
      <c r="D118" s="4">
        <f t="shared" si="92"/>
        <v>7</v>
      </c>
      <c r="E118" s="4" t="s">
        <v>48</v>
      </c>
      <c r="F118" s="4" t="s">
        <v>317</v>
      </c>
      <c r="G118" s="22" t="s">
        <v>101</v>
      </c>
      <c r="H118" s="22">
        <v>13</v>
      </c>
      <c r="I118" s="22" t="s">
        <v>63</v>
      </c>
      <c r="J118" s="4" t="str">
        <f t="shared" si="86"/>
        <v>升级治疗房舍至13级</v>
      </c>
      <c r="K118" s="4">
        <f t="shared" si="87"/>
        <v>11301070</v>
      </c>
      <c r="L118" s="4" t="str">
        <f t="shared" ref="L118:L129" si="93">F117</f>
        <v>TID_BranchLineTaskConf_202_3_taskName_GL_Main</v>
      </c>
      <c r="M118" s="4">
        <f t="shared" ref="M118:M129" si="94">A117</f>
        <v>11301060</v>
      </c>
      <c r="N118" s="4" t="s">
        <v>51</v>
      </c>
      <c r="O118" s="4" t="s">
        <v>52</v>
      </c>
      <c r="P118" s="4" t="str">
        <f t="shared" si="59"/>
        <v>taskReward{taskId:11301060}</v>
      </c>
      <c r="Q118" s="4" t="s">
        <v>52</v>
      </c>
      <c r="R118" s="4" t="s">
        <v>102</v>
      </c>
      <c r="S118" s="4" t="str">
        <f t="shared" si="88"/>
        <v>buildingLevelUp{buildingType:222,buildingLevel:13}</v>
      </c>
      <c r="T118" s="4" t="s">
        <v>52</v>
      </c>
      <c r="U118" s="4" t="s">
        <v>103</v>
      </c>
      <c r="V118" s="4" t="s">
        <v>236</v>
      </c>
      <c r="W118" s="4">
        <f>VLOOKUP(V118,[1]界面跳转!$I:$J,2,FALSE)</f>
        <v>7041</v>
      </c>
      <c r="Y118" s="4" t="s">
        <v>56</v>
      </c>
      <c r="Z118" s="4" t="s">
        <v>57</v>
      </c>
      <c r="AB118" s="4">
        <v>6622013</v>
      </c>
      <c r="AH118" s="4">
        <v>1</v>
      </c>
    </row>
    <row r="119" spans="1:34" x14ac:dyDescent="0.45">
      <c r="A119" s="4">
        <f t="shared" ref="A119" si="95">10000000+B119*100000+C119*1000+D119*10</f>
        <v>11301080</v>
      </c>
      <c r="B119" s="22">
        <v>13</v>
      </c>
      <c r="C119" s="4">
        <v>1</v>
      </c>
      <c r="D119" s="4">
        <f t="shared" si="92"/>
        <v>8</v>
      </c>
      <c r="E119" s="4" t="s">
        <v>48</v>
      </c>
      <c r="F119" t="s">
        <v>318</v>
      </c>
      <c r="G119" s="22" t="s">
        <v>319</v>
      </c>
      <c r="H119" s="22">
        <v>13</v>
      </c>
      <c r="I119" s="22" t="s">
        <v>63</v>
      </c>
      <c r="J119" s="4" t="str">
        <f t="shared" si="86"/>
        <v>升级大使馆至13级</v>
      </c>
      <c r="K119" s="4">
        <f t="shared" ref="K119" si="96">A119</f>
        <v>11301080</v>
      </c>
      <c r="L119" s="4" t="str">
        <f t="shared" si="93"/>
        <v>TID_BranchLineTaskConf_222_7_taskName_GL_Main</v>
      </c>
      <c r="M119" s="4">
        <f t="shared" si="94"/>
        <v>11301070</v>
      </c>
      <c r="N119" s="4" t="s">
        <v>51</v>
      </c>
      <c r="O119" s="4" t="s">
        <v>52</v>
      </c>
      <c r="P119" s="4" t="str">
        <f t="shared" si="59"/>
        <v>taskReward{taskId:11301070}</v>
      </c>
      <c r="Q119" s="4" t="s">
        <v>52</v>
      </c>
      <c r="R119" s="4" t="s">
        <v>320</v>
      </c>
      <c r="S119" s="4" t="str">
        <f t="shared" ref="S119" si="97">SUBSTITUTE(R119,"@@@",H119)</f>
        <v>buildingLevelUp{buildingType:230,buildingLevel:13}</v>
      </c>
      <c r="T119" s="4" t="s">
        <v>52</v>
      </c>
      <c r="U119" s="4" t="s">
        <v>321</v>
      </c>
      <c r="V119" s="4" t="s">
        <v>322</v>
      </c>
      <c r="W119" s="4">
        <f>VLOOKUP(V119,[1]界面跳转!$I:$J,2,FALSE)</f>
        <v>7055</v>
      </c>
      <c r="Y119" s="4" t="s">
        <v>56</v>
      </c>
      <c r="Z119" s="4" t="s">
        <v>57</v>
      </c>
      <c r="AB119" s="4">
        <v>6622013</v>
      </c>
      <c r="AH119" s="4">
        <v>1</v>
      </c>
    </row>
    <row r="120" spans="1:34" x14ac:dyDescent="0.45">
      <c r="A120" s="4">
        <f t="shared" si="85"/>
        <v>11301090</v>
      </c>
      <c r="B120" s="22">
        <v>13</v>
      </c>
      <c r="C120" s="4">
        <v>1</v>
      </c>
      <c r="D120" s="4">
        <f t="shared" si="92"/>
        <v>9</v>
      </c>
      <c r="E120" s="4" t="s">
        <v>48</v>
      </c>
      <c r="F120" t="s">
        <v>323</v>
      </c>
      <c r="G120" s="22" t="s">
        <v>106</v>
      </c>
      <c r="H120" s="22">
        <v>13</v>
      </c>
      <c r="I120" s="22" t="s">
        <v>63</v>
      </c>
      <c r="J120" s="4" t="str">
        <f t="shared" si="86"/>
        <v>升级城墙至13级</v>
      </c>
      <c r="K120" s="4">
        <f t="shared" si="87"/>
        <v>11301090</v>
      </c>
      <c r="L120" s="4" t="str">
        <f t="shared" si="93"/>
        <v>TID_BranchLineTaskConf_230_9_taskName_GL_Main</v>
      </c>
      <c r="M120" s="4">
        <f t="shared" si="94"/>
        <v>11301080</v>
      </c>
      <c r="N120" s="4" t="s">
        <v>51</v>
      </c>
      <c r="O120" s="4" t="s">
        <v>52</v>
      </c>
      <c r="P120" s="4" t="str">
        <f t="shared" si="59"/>
        <v>taskReward{taskId:11301080}</v>
      </c>
      <c r="Q120" s="4" t="s">
        <v>52</v>
      </c>
      <c r="R120" s="4" t="s">
        <v>107</v>
      </c>
      <c r="S120" s="4" t="str">
        <f t="shared" si="88"/>
        <v>buildingLevelUp{buildingType:215,buildingLevel:13}</v>
      </c>
      <c r="T120" s="4" t="s">
        <v>52</v>
      </c>
      <c r="U120" s="4" t="s">
        <v>108</v>
      </c>
      <c r="V120" s="4" t="s">
        <v>249</v>
      </c>
      <c r="W120" s="4">
        <f>VLOOKUP(V120,[1]界面跳转!$I:$J,2,FALSE)</f>
        <v>7039</v>
      </c>
      <c r="Y120" s="4" t="s">
        <v>56</v>
      </c>
      <c r="Z120" s="4" t="s">
        <v>57</v>
      </c>
      <c r="AB120" s="4">
        <v>6622013</v>
      </c>
      <c r="AH120" s="4">
        <v>1</v>
      </c>
    </row>
    <row r="121" spans="1:34" s="40" customFormat="1" ht="16.149999999999999" customHeight="1" x14ac:dyDescent="0.45">
      <c r="A121" s="40">
        <f t="shared" si="85"/>
        <v>11301100</v>
      </c>
      <c r="B121" s="44">
        <v>13</v>
      </c>
      <c r="C121" s="40">
        <v>1</v>
      </c>
      <c r="D121" s="40">
        <f t="shared" si="92"/>
        <v>10</v>
      </c>
      <c r="E121" s="40" t="s">
        <v>48</v>
      </c>
      <c r="F121" s="40" t="s">
        <v>298</v>
      </c>
      <c r="G121" s="44" t="s">
        <v>189</v>
      </c>
      <c r="H121" s="44">
        <v>3</v>
      </c>
      <c r="I121" s="44" t="s">
        <v>59</v>
      </c>
      <c r="J121" s="40" t="str">
        <f t="shared" si="86"/>
        <v>清剿任意等级【普通】蛮族3次</v>
      </c>
      <c r="K121" s="40">
        <f t="shared" si="87"/>
        <v>11301100</v>
      </c>
      <c r="L121" s="4" t="str">
        <f t="shared" si="93"/>
        <v>TID_BranchLineTaskConf_215_10_taskName_GL_Main</v>
      </c>
      <c r="M121" s="4">
        <f t="shared" si="94"/>
        <v>11301090</v>
      </c>
      <c r="N121" s="40" t="s">
        <v>51</v>
      </c>
      <c r="O121" s="40" t="s">
        <v>52</v>
      </c>
      <c r="P121" s="40" t="str">
        <f t="shared" ref="P121" si="98">SUBSTITUTE(N121,"@@@",M121)</f>
        <v>taskReward{taskId:11301090}</v>
      </c>
      <c r="Q121" s="40" t="s">
        <v>52</v>
      </c>
      <c r="R121" s="40" t="s">
        <v>190</v>
      </c>
      <c r="S121" s="40" t="str">
        <f t="shared" si="88"/>
        <v>statisticReach{type:"BattleKillMonsterEvent0_1",value:3}</v>
      </c>
      <c r="T121" s="40" t="s">
        <v>52</v>
      </c>
      <c r="U121" s="40" t="s">
        <v>61</v>
      </c>
      <c r="V121" s="40" t="s">
        <v>92</v>
      </c>
      <c r="W121" s="40">
        <f>VLOOKUP(V121,[1]界面跳转!$I:$J,2,FALSE)</f>
        <v>7254</v>
      </c>
      <c r="Y121" s="40" t="s">
        <v>56</v>
      </c>
      <c r="Z121" s="40" t="s">
        <v>57</v>
      </c>
      <c r="AB121" s="40">
        <v>6622004</v>
      </c>
      <c r="AH121" s="4">
        <v>1</v>
      </c>
    </row>
    <row r="122" spans="1:34" ht="16.149999999999999" customHeight="1" x14ac:dyDescent="0.45">
      <c r="A122" s="4">
        <f t="shared" si="85"/>
        <v>11301110</v>
      </c>
      <c r="B122" s="22">
        <v>13</v>
      </c>
      <c r="C122" s="4">
        <v>1</v>
      </c>
      <c r="D122" s="4">
        <f t="shared" si="92"/>
        <v>11</v>
      </c>
      <c r="E122" s="4" t="s">
        <v>48</v>
      </c>
      <c r="F122" s="4" t="s">
        <v>324</v>
      </c>
      <c r="G122" s="45" t="s">
        <v>96</v>
      </c>
      <c r="H122" s="45">
        <v>14</v>
      </c>
      <c r="I122" s="45" t="s">
        <v>63</v>
      </c>
      <c r="J122" s="4" t="str">
        <f t="shared" si="86"/>
        <v>升级城镇中心至14级</v>
      </c>
      <c r="K122" s="4">
        <f t="shared" si="87"/>
        <v>11301110</v>
      </c>
      <c r="L122" s="4" t="str">
        <f t="shared" si="93"/>
        <v>TID_BranchLineTaskConf_10013010_taskName_GL_Main</v>
      </c>
      <c r="M122" s="4">
        <f t="shared" si="94"/>
        <v>11301100</v>
      </c>
      <c r="N122" s="4" t="s">
        <v>51</v>
      </c>
      <c r="O122" s="4" t="s">
        <v>52</v>
      </c>
      <c r="P122" s="4" t="str">
        <f t="shared" si="59"/>
        <v>taskReward{taskId:11301100}</v>
      </c>
      <c r="Q122" s="4" t="s">
        <v>52</v>
      </c>
      <c r="R122" s="4" t="s">
        <v>97</v>
      </c>
      <c r="S122" s="4" t="str">
        <f t="shared" si="88"/>
        <v>buildingLevelUp{buildingType:201,buildingLevel:14}</v>
      </c>
      <c r="T122" s="4" t="s">
        <v>52</v>
      </c>
      <c r="U122" s="4" t="s">
        <v>98</v>
      </c>
      <c r="V122" s="4" t="s">
        <v>251</v>
      </c>
      <c r="W122" s="4">
        <f>VLOOKUP(V122,[1]界面跳转!$I:$J,2,FALSE)</f>
        <v>7001</v>
      </c>
      <c r="Y122" s="4" t="s">
        <v>56</v>
      </c>
      <c r="Z122" s="4" t="s">
        <v>57</v>
      </c>
      <c r="AB122" s="4">
        <v>6622014</v>
      </c>
      <c r="AG122" s="4">
        <v>1</v>
      </c>
      <c r="AH122" s="4">
        <v>1</v>
      </c>
    </row>
    <row r="123" spans="1:34" x14ac:dyDescent="0.45">
      <c r="A123" s="4">
        <f t="shared" si="85"/>
        <v>11401010</v>
      </c>
      <c r="B123" s="22">
        <v>14</v>
      </c>
      <c r="C123" s="4">
        <v>1</v>
      </c>
      <c r="D123" s="4">
        <f t="shared" si="92"/>
        <v>1</v>
      </c>
      <c r="E123" s="4" t="s">
        <v>48</v>
      </c>
      <c r="F123" t="s">
        <v>325</v>
      </c>
      <c r="G123" s="22" t="s">
        <v>67</v>
      </c>
      <c r="H123" s="22">
        <v>14</v>
      </c>
      <c r="I123" s="22" t="s">
        <v>63</v>
      </c>
      <c r="J123" s="4" t="str">
        <f t="shared" si="86"/>
        <v>升级伐木场至14级</v>
      </c>
      <c r="K123" s="4">
        <f t="shared" si="87"/>
        <v>11401010</v>
      </c>
      <c r="L123" s="4" t="str">
        <f t="shared" si="93"/>
        <v>TID_BranchLineTaskConf_11310110_taskName_GL_Main</v>
      </c>
      <c r="M123" s="4">
        <f t="shared" si="94"/>
        <v>11301110</v>
      </c>
      <c r="N123" s="4" t="s">
        <v>51</v>
      </c>
      <c r="O123" s="4" t="s">
        <v>52</v>
      </c>
      <c r="P123" s="4" t="str">
        <f t="shared" si="59"/>
        <v>taskReward{taskId:11301110}</v>
      </c>
      <c r="Q123" s="4" t="s">
        <v>52</v>
      </c>
      <c r="R123" s="4" t="s">
        <v>68</v>
      </c>
      <c r="S123" s="4" t="str">
        <f t="shared" si="88"/>
        <v>buildingLevelUp{buildingType:204,buildingLevel:14}</v>
      </c>
      <c r="T123" s="4" t="s">
        <v>52</v>
      </c>
      <c r="U123" s="4" t="s">
        <v>69</v>
      </c>
      <c r="V123" s="4" t="s">
        <v>226</v>
      </c>
      <c r="W123" s="4">
        <f>VLOOKUP(V123,[1]界面跳转!$I:$J,2,FALSE)</f>
        <v>7011</v>
      </c>
      <c r="Y123" s="4" t="s">
        <v>56</v>
      </c>
      <c r="Z123" s="4" t="s">
        <v>57</v>
      </c>
      <c r="AB123" s="4">
        <v>6622014</v>
      </c>
      <c r="AH123" s="4">
        <v>1</v>
      </c>
    </row>
    <row r="124" spans="1:34" x14ac:dyDescent="0.45">
      <c r="A124" s="4">
        <f t="shared" si="85"/>
        <v>11401020</v>
      </c>
      <c r="B124" s="22">
        <v>14</v>
      </c>
      <c r="C124" s="4">
        <v>1</v>
      </c>
      <c r="D124" s="4">
        <f t="shared" si="92"/>
        <v>2</v>
      </c>
      <c r="E124" s="4" t="s">
        <v>48</v>
      </c>
      <c r="F124" t="s">
        <v>326</v>
      </c>
      <c r="G124" s="22" t="s">
        <v>228</v>
      </c>
      <c r="H124" s="22">
        <v>14</v>
      </c>
      <c r="I124" s="22" t="s">
        <v>63</v>
      </c>
      <c r="J124" s="4" t="str">
        <f t="shared" si="86"/>
        <v>升级石矿场至14级</v>
      </c>
      <c r="K124" s="4">
        <f t="shared" si="87"/>
        <v>11401020</v>
      </c>
      <c r="L124" s="4" t="str">
        <f t="shared" si="93"/>
        <v>TID_BranchLineTaskConf_204_5_taskName_GL_Main</v>
      </c>
      <c r="M124" s="4">
        <f t="shared" si="94"/>
        <v>11401010</v>
      </c>
      <c r="N124" s="4" t="s">
        <v>51</v>
      </c>
      <c r="O124" s="4" t="s">
        <v>52</v>
      </c>
      <c r="P124" s="4" t="str">
        <f t="shared" ref="P124:P188" si="99">SUBSTITUTE(N124,"@@@",M124)</f>
        <v>taskReward{taskId:11401010}</v>
      </c>
      <c r="Q124" s="4" t="s">
        <v>52</v>
      </c>
      <c r="R124" s="4" t="s">
        <v>229</v>
      </c>
      <c r="S124" s="4" t="str">
        <f t="shared" si="88"/>
        <v>buildingLevelUp{buildingType:205,buildingLevel:14}</v>
      </c>
      <c r="T124" s="4" t="s">
        <v>52</v>
      </c>
      <c r="U124" s="4" t="s">
        <v>66</v>
      </c>
      <c r="V124" s="4" t="s">
        <v>230</v>
      </c>
      <c r="W124" s="4">
        <f>VLOOKUP(V124,[1]界面跳转!$I:$J,2,FALSE)</f>
        <v>7013</v>
      </c>
      <c r="Y124" s="4" t="s">
        <v>56</v>
      </c>
      <c r="Z124" s="4" t="s">
        <v>57</v>
      </c>
      <c r="AB124" s="4">
        <v>6622014</v>
      </c>
      <c r="AH124" s="4">
        <v>1</v>
      </c>
    </row>
    <row r="125" spans="1:34" x14ac:dyDescent="0.45">
      <c r="A125" s="4">
        <f t="shared" si="85"/>
        <v>11401030</v>
      </c>
      <c r="B125" s="22">
        <v>14</v>
      </c>
      <c r="C125" s="4">
        <v>1</v>
      </c>
      <c r="D125" s="4">
        <f t="shared" si="92"/>
        <v>3</v>
      </c>
      <c r="E125" s="4" t="s">
        <v>48</v>
      </c>
      <c r="F125" t="s">
        <v>327</v>
      </c>
      <c r="G125" s="22" t="s">
        <v>221</v>
      </c>
      <c r="H125" s="22">
        <v>14</v>
      </c>
      <c r="I125" s="22" t="s">
        <v>63</v>
      </c>
      <c r="J125" s="4" t="str">
        <f t="shared" si="86"/>
        <v>升级金矿场至14级</v>
      </c>
      <c r="K125" s="4">
        <f t="shared" si="87"/>
        <v>11401030</v>
      </c>
      <c r="L125" s="4" t="str">
        <f t="shared" si="93"/>
        <v>TID_BranchLineTaskConf_205_5_taskName_GL_Main</v>
      </c>
      <c r="M125" s="4">
        <f t="shared" si="94"/>
        <v>11401020</v>
      </c>
      <c r="N125" s="4" t="s">
        <v>51</v>
      </c>
      <c r="O125" s="4" t="s">
        <v>52</v>
      </c>
      <c r="P125" s="4" t="str">
        <f t="shared" si="99"/>
        <v>taskReward{taskId:11401020}</v>
      </c>
      <c r="Q125" s="4" t="s">
        <v>52</v>
      </c>
      <c r="R125" s="4" t="s">
        <v>222</v>
      </c>
      <c r="S125" s="4" t="str">
        <f t="shared" si="88"/>
        <v>buildingLevelUp{buildingType:234,buildingLevel:14}</v>
      </c>
      <c r="T125" s="4" t="s">
        <v>52</v>
      </c>
      <c r="U125" s="4" t="s">
        <v>223</v>
      </c>
      <c r="V125" s="4" t="s">
        <v>224</v>
      </c>
      <c r="W125" s="4">
        <f>VLOOKUP(V125,[1]界面跳转!$I:$J,2,FALSE)</f>
        <v>7067</v>
      </c>
      <c r="Y125" s="4" t="s">
        <v>56</v>
      </c>
      <c r="Z125" s="4" t="s">
        <v>57</v>
      </c>
      <c r="AB125" s="4">
        <v>6622014</v>
      </c>
      <c r="AH125" s="4">
        <v>1</v>
      </c>
    </row>
    <row r="126" spans="1:34" x14ac:dyDescent="0.45">
      <c r="A126" s="4">
        <f t="shared" si="85"/>
        <v>11401040</v>
      </c>
      <c r="B126" s="22">
        <v>14</v>
      </c>
      <c r="C126" s="4">
        <v>1</v>
      </c>
      <c r="D126" s="4">
        <f t="shared" si="92"/>
        <v>4</v>
      </c>
      <c r="E126" s="4" t="s">
        <v>48</v>
      </c>
      <c r="F126" t="s">
        <v>328</v>
      </c>
      <c r="G126" s="22" t="s">
        <v>71</v>
      </c>
      <c r="H126" s="22">
        <v>14</v>
      </c>
      <c r="I126" s="22" t="s">
        <v>63</v>
      </c>
      <c r="J126" s="4" t="str">
        <f t="shared" si="86"/>
        <v>升级磨坊至14级</v>
      </c>
      <c r="K126" s="4">
        <f t="shared" si="87"/>
        <v>11401040</v>
      </c>
      <c r="L126" s="4" t="str">
        <f t="shared" si="93"/>
        <v>TID_BranchLineTaskConf_234_5_taskName_GL_Main</v>
      </c>
      <c r="M126" s="4">
        <f t="shared" si="94"/>
        <v>11401030</v>
      </c>
      <c r="N126" s="4" t="s">
        <v>51</v>
      </c>
      <c r="O126" s="4" t="s">
        <v>52</v>
      </c>
      <c r="P126" s="4" t="str">
        <f t="shared" si="99"/>
        <v>taskReward{taskId:11401030}</v>
      </c>
      <c r="Q126" s="4" t="s">
        <v>52</v>
      </c>
      <c r="R126" s="4" t="s">
        <v>72</v>
      </c>
      <c r="S126" s="4" t="str">
        <f t="shared" si="88"/>
        <v>buildingLevelUp{buildingType:203,buildingLevel:14}</v>
      </c>
      <c r="T126" s="4" t="s">
        <v>52</v>
      </c>
      <c r="U126" s="4" t="s">
        <v>73</v>
      </c>
      <c r="V126" s="4" t="s">
        <v>181</v>
      </c>
      <c r="W126" s="4">
        <f>VLOOKUP(V126,[1]界面跳转!$I:$J,2,FALSE)</f>
        <v>7009</v>
      </c>
      <c r="Y126" s="4" t="s">
        <v>56</v>
      </c>
      <c r="Z126" s="4" t="s">
        <v>57</v>
      </c>
      <c r="AB126" s="4">
        <v>6622014</v>
      </c>
      <c r="AH126" s="4">
        <v>1</v>
      </c>
    </row>
    <row r="127" spans="1:34" x14ac:dyDescent="0.45">
      <c r="A127" s="4">
        <f t="shared" si="85"/>
        <v>11401050</v>
      </c>
      <c r="B127" s="22">
        <v>14</v>
      </c>
      <c r="C127" s="4">
        <v>1</v>
      </c>
      <c r="D127" s="4">
        <f t="shared" si="92"/>
        <v>5</v>
      </c>
      <c r="E127" s="4" t="s">
        <v>48</v>
      </c>
      <c r="F127" t="s">
        <v>329</v>
      </c>
      <c r="G127" s="22" t="s">
        <v>150</v>
      </c>
      <c r="H127" s="22">
        <v>14</v>
      </c>
      <c r="I127" s="22" t="s">
        <v>63</v>
      </c>
      <c r="J127" s="4" t="str">
        <f t="shared" si="86"/>
        <v>升级居民房舍至14级</v>
      </c>
      <c r="K127" s="4">
        <f t="shared" si="87"/>
        <v>11401050</v>
      </c>
      <c r="L127" s="4" t="str">
        <f t="shared" si="93"/>
        <v>TID_BranchLineTaskConf_203_5_taskName_GL_Main</v>
      </c>
      <c r="M127" s="4">
        <f t="shared" si="94"/>
        <v>11401040</v>
      </c>
      <c r="N127" s="4" t="s">
        <v>51</v>
      </c>
      <c r="O127" s="4" t="s">
        <v>52</v>
      </c>
      <c r="P127" s="4" t="str">
        <f t="shared" si="99"/>
        <v>taskReward{taskId:11401040}</v>
      </c>
      <c r="Q127" s="4" t="s">
        <v>52</v>
      </c>
      <c r="R127" s="4" t="s">
        <v>151</v>
      </c>
      <c r="S127" s="4" t="str">
        <f t="shared" si="88"/>
        <v>buildingLevelUp{buildingType:202,buildingLevel:14}</v>
      </c>
      <c r="T127" s="4" t="s">
        <v>52</v>
      </c>
      <c r="U127" s="4" t="s">
        <v>234</v>
      </c>
      <c r="V127" s="4" t="s">
        <v>153</v>
      </c>
      <c r="W127" s="4">
        <f>VLOOKUP(V127,[1]界面跳转!$I:$J,2,FALSE)</f>
        <v>7006</v>
      </c>
      <c r="Y127" s="4" t="s">
        <v>56</v>
      </c>
      <c r="Z127" s="4" t="s">
        <v>57</v>
      </c>
      <c r="AB127" s="4">
        <v>6622014</v>
      </c>
      <c r="AH127" s="4">
        <v>1</v>
      </c>
    </row>
    <row r="128" spans="1:34" x14ac:dyDescent="0.45">
      <c r="A128" s="4">
        <f t="shared" si="85"/>
        <v>11401060</v>
      </c>
      <c r="B128" s="22">
        <v>14</v>
      </c>
      <c r="C128" s="4">
        <v>1</v>
      </c>
      <c r="D128" s="4">
        <f t="shared" si="92"/>
        <v>6</v>
      </c>
      <c r="E128" s="4" t="s">
        <v>48</v>
      </c>
      <c r="F128" s="4" t="s">
        <v>330</v>
      </c>
      <c r="G128" s="22" t="s">
        <v>101</v>
      </c>
      <c r="H128" s="22">
        <v>14</v>
      </c>
      <c r="I128" s="22" t="s">
        <v>63</v>
      </c>
      <c r="J128" s="4" t="str">
        <f t="shared" si="86"/>
        <v>升级治疗房舍至14级</v>
      </c>
      <c r="K128" s="4">
        <f t="shared" si="87"/>
        <v>11401060</v>
      </c>
      <c r="L128" s="4" t="str">
        <f t="shared" si="93"/>
        <v>TID_BranchLineTaskConf_202_4_taskName_GL_Main</v>
      </c>
      <c r="M128" s="4">
        <f t="shared" si="94"/>
        <v>11401050</v>
      </c>
      <c r="N128" s="4" t="s">
        <v>51</v>
      </c>
      <c r="O128" s="4" t="s">
        <v>52</v>
      </c>
      <c r="P128" s="4" t="str">
        <f t="shared" si="99"/>
        <v>taskReward{taskId:11401050}</v>
      </c>
      <c r="Q128" s="4" t="s">
        <v>52</v>
      </c>
      <c r="R128" s="4" t="s">
        <v>102</v>
      </c>
      <c r="S128" s="4" t="str">
        <f t="shared" si="88"/>
        <v>buildingLevelUp{buildingType:222,buildingLevel:14}</v>
      </c>
      <c r="T128" s="4" t="s">
        <v>52</v>
      </c>
      <c r="U128" s="4" t="s">
        <v>103</v>
      </c>
      <c r="V128" s="4" t="s">
        <v>236</v>
      </c>
      <c r="W128" s="4">
        <f>VLOOKUP(V128,[1]界面跳转!$I:$J,2,FALSE)</f>
        <v>7041</v>
      </c>
      <c r="Y128" s="4" t="s">
        <v>56</v>
      </c>
      <c r="Z128" s="4" t="s">
        <v>57</v>
      </c>
      <c r="AB128" s="4">
        <v>6622014</v>
      </c>
      <c r="AH128" s="4">
        <v>1</v>
      </c>
    </row>
    <row r="129" spans="1:34" s="40" customFormat="1" ht="16.149999999999999" customHeight="1" x14ac:dyDescent="0.45">
      <c r="A129" s="40">
        <f t="shared" si="85"/>
        <v>11401070</v>
      </c>
      <c r="B129" s="44">
        <v>14</v>
      </c>
      <c r="C129" s="40">
        <v>1</v>
      </c>
      <c r="D129" s="40">
        <f t="shared" si="92"/>
        <v>7</v>
      </c>
      <c r="E129" s="40" t="s">
        <v>48</v>
      </c>
      <c r="F129" s="40" t="s">
        <v>331</v>
      </c>
      <c r="G129" s="44" t="s">
        <v>186</v>
      </c>
      <c r="H129" s="44">
        <v>6</v>
      </c>
      <c r="I129" s="44" t="s">
        <v>59</v>
      </c>
      <c r="J129" s="40" t="str">
        <f t="shared" si="86"/>
        <v>采集任意资源点6次</v>
      </c>
      <c r="K129" s="40">
        <f t="shared" si="87"/>
        <v>11401070</v>
      </c>
      <c r="L129" s="4" t="str">
        <f t="shared" si="93"/>
        <v>TID_BranchLineTaskConf_222_8_taskName_GL_Main</v>
      </c>
      <c r="M129" s="4">
        <f t="shared" si="94"/>
        <v>11401060</v>
      </c>
      <c r="N129" s="40" t="s">
        <v>254</v>
      </c>
      <c r="O129" s="40" t="s">
        <v>52</v>
      </c>
      <c r="P129" s="40" t="str">
        <f t="shared" si="99"/>
        <v>taskComplete{taskId:11401060}</v>
      </c>
      <c r="Q129" s="40" t="s">
        <v>52</v>
      </c>
      <c r="R129" s="40" t="s">
        <v>187</v>
      </c>
      <c r="S129" s="40" t="str">
        <f t="shared" si="88"/>
        <v>occupyAnyResourceLand{count:6}</v>
      </c>
      <c r="T129" s="40" t="s">
        <v>52</v>
      </c>
      <c r="V129" s="40" t="s">
        <v>188</v>
      </c>
      <c r="W129" s="40">
        <f>VLOOKUP(V129,[1]界面跳转!$I:$J,2,FALSE)</f>
        <v>7253</v>
      </c>
      <c r="Y129" s="40" t="s">
        <v>56</v>
      </c>
      <c r="Z129" s="40" t="s">
        <v>57</v>
      </c>
      <c r="AA129" s="40">
        <f t="shared" ref="AA129" si="100">AD129*1000+AE129</f>
        <v>16001</v>
      </c>
      <c r="AB129" s="40">
        <v>6622301</v>
      </c>
      <c r="AD129" s="40">
        <v>16</v>
      </c>
      <c r="AE129" s="40">
        <f t="shared" ref="AE129" si="101">IF(AD129=AD128,AE128+1,1)</f>
        <v>1</v>
      </c>
      <c r="AH129" s="4">
        <v>1</v>
      </c>
    </row>
    <row r="130" spans="1:34" x14ac:dyDescent="0.45">
      <c r="A130" s="4">
        <f t="shared" ref="A130" si="102">10000000+B130*100000+C130*1000+D130*10</f>
        <v>11401080</v>
      </c>
      <c r="B130" s="22">
        <v>14</v>
      </c>
      <c r="C130" s="4">
        <v>1</v>
      </c>
      <c r="D130" s="4">
        <f t="shared" si="92"/>
        <v>8</v>
      </c>
      <c r="E130" s="4" t="s">
        <v>48</v>
      </c>
      <c r="F130" s="34" t="s">
        <v>332</v>
      </c>
      <c r="G130" s="22" t="s">
        <v>124</v>
      </c>
      <c r="H130" s="22">
        <v>14</v>
      </c>
      <c r="I130" s="22" t="s">
        <v>63</v>
      </c>
      <c r="J130" s="4" t="str">
        <f t="shared" ref="J130" si="103">G130&amp;H130&amp;I130</f>
        <v>升级学院至14级</v>
      </c>
      <c r="K130" s="4">
        <f t="shared" ref="K130" si="104">A130</f>
        <v>11401080</v>
      </c>
      <c r="L130" s="4" t="str">
        <f t="shared" ref="L130" si="105">F129</f>
        <v>TID_BranchLineTaskConf_11401070_2_taskName_GL_Main</v>
      </c>
      <c r="M130" s="4">
        <f>A128</f>
        <v>11401060</v>
      </c>
      <c r="N130" s="4" t="s">
        <v>51</v>
      </c>
      <c r="O130" s="4" t="s">
        <v>52</v>
      </c>
      <c r="P130" s="4" t="str">
        <f t="shared" si="99"/>
        <v>taskReward{taskId:11401060}</v>
      </c>
      <c r="Q130" s="4" t="s">
        <v>52</v>
      </c>
      <c r="R130" s="4" t="s">
        <v>125</v>
      </c>
      <c r="S130" s="4" t="str">
        <f t="shared" ref="S130" si="106">SUBSTITUTE(R130,"@@@",H130)</f>
        <v>buildingLevelUp{buildingType:211,buildingLevel:14}</v>
      </c>
      <c r="T130" s="4" t="s">
        <v>52</v>
      </c>
      <c r="U130" s="4" t="s">
        <v>126</v>
      </c>
      <c r="V130" s="4" t="s">
        <v>127</v>
      </c>
      <c r="W130" s="4">
        <f>VLOOKUP(V130,[1]界面跳转!$I:$J,2,FALSE)</f>
        <v>7029</v>
      </c>
      <c r="Y130" s="4" t="s">
        <v>56</v>
      </c>
      <c r="Z130" s="4" t="s">
        <v>57</v>
      </c>
      <c r="AB130" s="4">
        <v>6622014</v>
      </c>
      <c r="AH130" s="4">
        <v>1</v>
      </c>
    </row>
    <row r="131" spans="1:34" x14ac:dyDescent="0.45">
      <c r="A131" s="4">
        <f t="shared" si="85"/>
        <v>11401090</v>
      </c>
      <c r="B131" s="22">
        <v>14</v>
      </c>
      <c r="C131" s="4">
        <v>1</v>
      </c>
      <c r="D131" s="4">
        <f t="shared" si="92"/>
        <v>9</v>
      </c>
      <c r="E131" s="4" t="s">
        <v>48</v>
      </c>
      <c r="F131" t="s">
        <v>333</v>
      </c>
      <c r="G131" s="22" t="s">
        <v>106</v>
      </c>
      <c r="H131" s="22">
        <v>14</v>
      </c>
      <c r="I131" s="22" t="s">
        <v>63</v>
      </c>
      <c r="J131" s="4" t="str">
        <f t="shared" si="86"/>
        <v>升级城墙至14级</v>
      </c>
      <c r="K131" s="4">
        <f t="shared" si="87"/>
        <v>11401090</v>
      </c>
      <c r="L131" s="4" t="str">
        <f t="shared" ref="L131:L189" si="107">F130</f>
        <v>TID_BranchLineTaskConf_211_13_taskName_GL_Main</v>
      </c>
      <c r="M131" s="4">
        <f t="shared" ref="M131:M189" si="108">A130</f>
        <v>11401080</v>
      </c>
      <c r="N131" s="4" t="s">
        <v>51</v>
      </c>
      <c r="O131" s="4" t="s">
        <v>52</v>
      </c>
      <c r="P131" s="4" t="str">
        <f t="shared" si="99"/>
        <v>taskReward{taskId:11401080}</v>
      </c>
      <c r="Q131" s="4" t="s">
        <v>52</v>
      </c>
      <c r="R131" s="4" t="s">
        <v>107</v>
      </c>
      <c r="S131" s="4" t="str">
        <f t="shared" si="88"/>
        <v>buildingLevelUp{buildingType:215,buildingLevel:14}</v>
      </c>
      <c r="T131" s="4" t="s">
        <v>52</v>
      </c>
      <c r="U131" s="4" t="s">
        <v>108</v>
      </c>
      <c r="V131" s="4" t="s">
        <v>249</v>
      </c>
      <c r="W131" s="4">
        <f>VLOOKUP(V131,[1]界面跳转!$I:$J,2,FALSE)</f>
        <v>7039</v>
      </c>
      <c r="Y131" s="4" t="s">
        <v>56</v>
      </c>
      <c r="Z131" s="4" t="s">
        <v>57</v>
      </c>
      <c r="AB131" s="4">
        <v>6622014</v>
      </c>
      <c r="AH131" s="4">
        <v>1</v>
      </c>
    </row>
    <row r="132" spans="1:34" ht="16.149999999999999" customHeight="1" x14ac:dyDescent="0.45">
      <c r="A132" s="4">
        <f t="shared" si="85"/>
        <v>11401100</v>
      </c>
      <c r="B132" s="22">
        <v>14</v>
      </c>
      <c r="C132" s="4">
        <v>1</v>
      </c>
      <c r="D132" s="4">
        <f t="shared" si="92"/>
        <v>10</v>
      </c>
      <c r="E132" s="4" t="s">
        <v>48</v>
      </c>
      <c r="F132" s="4" t="s">
        <v>334</v>
      </c>
      <c r="G132" s="45" t="s">
        <v>96</v>
      </c>
      <c r="H132" s="45">
        <v>15</v>
      </c>
      <c r="I132" s="45" t="s">
        <v>63</v>
      </c>
      <c r="J132" s="4" t="str">
        <f t="shared" si="86"/>
        <v>升级城镇中心至15级</v>
      </c>
      <c r="K132" s="4">
        <f t="shared" si="87"/>
        <v>11401100</v>
      </c>
      <c r="L132" s="4" t="str">
        <f t="shared" si="107"/>
        <v>TID_BranchLineTaskConf_215_11_taskName_GL_Main</v>
      </c>
      <c r="M132" s="4">
        <f t="shared" si="108"/>
        <v>11401090</v>
      </c>
      <c r="N132" s="4" t="s">
        <v>51</v>
      </c>
      <c r="O132" s="4" t="s">
        <v>52</v>
      </c>
      <c r="P132" s="4" t="str">
        <f t="shared" si="99"/>
        <v>taskReward{taskId:11401090}</v>
      </c>
      <c r="Q132" s="4" t="s">
        <v>52</v>
      </c>
      <c r="R132" s="4" t="s">
        <v>97</v>
      </c>
      <c r="S132" s="4" t="str">
        <f t="shared" si="88"/>
        <v>buildingLevelUp{buildingType:201,buildingLevel:15}</v>
      </c>
      <c r="T132" s="4" t="s">
        <v>52</v>
      </c>
      <c r="U132" s="4" t="s">
        <v>98</v>
      </c>
      <c r="V132" s="4" t="s">
        <v>251</v>
      </c>
      <c r="W132" s="4">
        <f>VLOOKUP(V132,[1]界面跳转!$I:$J,2,FALSE)</f>
        <v>7001</v>
      </c>
      <c r="Y132" s="4" t="s">
        <v>56</v>
      </c>
      <c r="Z132" s="4" t="s">
        <v>57</v>
      </c>
      <c r="AB132" s="4">
        <v>6622015</v>
      </c>
      <c r="AG132" s="4">
        <v>1</v>
      </c>
      <c r="AH132" s="4">
        <v>1</v>
      </c>
    </row>
    <row r="133" spans="1:34" ht="16.149999999999999" customHeight="1" x14ac:dyDescent="0.45">
      <c r="A133" s="4">
        <f t="shared" si="85"/>
        <v>11501010</v>
      </c>
      <c r="B133" s="22">
        <v>15</v>
      </c>
      <c r="C133" s="4">
        <v>1</v>
      </c>
      <c r="D133" s="4">
        <f t="shared" si="92"/>
        <v>1</v>
      </c>
      <c r="E133" s="4" t="s">
        <v>48</v>
      </c>
      <c r="F133" s="4" t="s">
        <v>335</v>
      </c>
      <c r="G133" s="45" t="s">
        <v>206</v>
      </c>
      <c r="H133" s="45" t="s">
        <v>336</v>
      </c>
      <c r="I133" s="45" t="s">
        <v>208</v>
      </c>
      <c r="J133" s="4" t="str">
        <f t="shared" si="86"/>
        <v>升级至帝王时代</v>
      </c>
      <c r="K133" s="4">
        <f t="shared" si="87"/>
        <v>11501010</v>
      </c>
      <c r="L133" s="4" t="str">
        <f t="shared" si="107"/>
        <v>TID_BranchLineTaskConf_11410110_taskName_GL_Main</v>
      </c>
      <c r="M133" s="4">
        <f t="shared" si="108"/>
        <v>11401100</v>
      </c>
      <c r="N133" s="4" t="s">
        <v>51</v>
      </c>
      <c r="O133" s="4" t="s">
        <v>52</v>
      </c>
      <c r="P133" s="4" t="str">
        <f t="shared" si="99"/>
        <v>taskReward{taskId:11401100}</v>
      </c>
      <c r="Q133" s="4" t="s">
        <v>52</v>
      </c>
      <c r="R133" s="4" t="s">
        <v>337</v>
      </c>
      <c r="S133" s="4" t="str">
        <f t="shared" si="88"/>
        <v>civilLevelUp{age:4,complete:1}</v>
      </c>
      <c r="T133" s="4" t="s">
        <v>52</v>
      </c>
      <c r="U133" s="4"/>
      <c r="V133" s="4" t="s">
        <v>210</v>
      </c>
      <c r="W133" s="4">
        <f>VLOOKUP(V133,[1]界面跳转!$I:$J,2,FALSE)</f>
        <v>7003</v>
      </c>
      <c r="Y133" s="4" t="s">
        <v>56</v>
      </c>
      <c r="Z133" s="4" t="s">
        <v>57</v>
      </c>
      <c r="AB133" s="4">
        <v>6622115</v>
      </c>
      <c r="AG133" s="4">
        <v>1</v>
      </c>
      <c r="AH133" s="4">
        <v>1</v>
      </c>
    </row>
    <row r="134" spans="1:34" x14ac:dyDescent="0.45">
      <c r="A134" s="4">
        <f t="shared" si="85"/>
        <v>11501020</v>
      </c>
      <c r="B134" s="22">
        <v>15</v>
      </c>
      <c r="C134" s="4">
        <v>1</v>
      </c>
      <c r="D134" s="4">
        <f t="shared" si="92"/>
        <v>2</v>
      </c>
      <c r="E134" s="4" t="s">
        <v>48</v>
      </c>
      <c r="F134" t="s">
        <v>338</v>
      </c>
      <c r="G134" s="22" t="s">
        <v>67</v>
      </c>
      <c r="H134" s="22">
        <v>15</v>
      </c>
      <c r="I134" s="22" t="s">
        <v>63</v>
      </c>
      <c r="J134" s="4" t="str">
        <f t="shared" si="86"/>
        <v>升级伐木场至15级</v>
      </c>
      <c r="K134" s="4">
        <f t="shared" si="87"/>
        <v>11501020</v>
      </c>
      <c r="L134" s="4" t="str">
        <f t="shared" si="107"/>
        <v>TID_BranchLineTaskConf_11410111_taskName_GL_Main</v>
      </c>
      <c r="M134" s="4">
        <f t="shared" si="108"/>
        <v>11501010</v>
      </c>
      <c r="N134" s="4" t="s">
        <v>51</v>
      </c>
      <c r="O134" s="4" t="s">
        <v>52</v>
      </c>
      <c r="P134" s="4" t="str">
        <f t="shared" si="99"/>
        <v>taskReward{taskId:11501010}</v>
      </c>
      <c r="Q134" s="4" t="s">
        <v>52</v>
      </c>
      <c r="R134" s="4" t="s">
        <v>68</v>
      </c>
      <c r="S134" s="4" t="str">
        <f t="shared" si="88"/>
        <v>buildingLevelUp{buildingType:204,buildingLevel:15}</v>
      </c>
      <c r="T134" s="4" t="s">
        <v>52</v>
      </c>
      <c r="U134" s="4" t="s">
        <v>69</v>
      </c>
      <c r="V134" s="4" t="s">
        <v>226</v>
      </c>
      <c r="W134" s="4">
        <f>VLOOKUP(V134,[1]界面跳转!$I:$J,2,FALSE)</f>
        <v>7011</v>
      </c>
      <c r="Y134" s="4" t="s">
        <v>56</v>
      </c>
      <c r="Z134" s="4" t="s">
        <v>57</v>
      </c>
      <c r="AB134" s="4">
        <v>6622015</v>
      </c>
      <c r="AH134" s="4">
        <v>1</v>
      </c>
    </row>
    <row r="135" spans="1:34" x14ac:dyDescent="0.45">
      <c r="A135" s="4">
        <f t="shared" si="85"/>
        <v>11501030</v>
      </c>
      <c r="B135" s="22">
        <v>15</v>
      </c>
      <c r="C135" s="4">
        <v>1</v>
      </c>
      <c r="D135" s="4">
        <f t="shared" si="92"/>
        <v>3</v>
      </c>
      <c r="E135" s="4" t="s">
        <v>48</v>
      </c>
      <c r="F135" t="s">
        <v>339</v>
      </c>
      <c r="G135" s="22" t="s">
        <v>228</v>
      </c>
      <c r="H135" s="22">
        <v>15</v>
      </c>
      <c r="I135" s="22" t="s">
        <v>63</v>
      </c>
      <c r="J135" s="4" t="str">
        <f t="shared" si="86"/>
        <v>升级石矿场至15级</v>
      </c>
      <c r="K135" s="4">
        <f t="shared" si="87"/>
        <v>11501030</v>
      </c>
      <c r="L135" s="4" t="str">
        <f t="shared" si="107"/>
        <v>TID_BranchLineTaskConf_204_6_taskName_GL_Main</v>
      </c>
      <c r="M135" s="4">
        <f t="shared" si="108"/>
        <v>11501020</v>
      </c>
      <c r="N135" s="4" t="s">
        <v>51</v>
      </c>
      <c r="O135" s="4" t="s">
        <v>52</v>
      </c>
      <c r="P135" s="4" t="str">
        <f t="shared" si="99"/>
        <v>taskReward{taskId:11501020}</v>
      </c>
      <c r="Q135" s="4" t="s">
        <v>52</v>
      </c>
      <c r="R135" s="4" t="s">
        <v>229</v>
      </c>
      <c r="S135" s="4" t="str">
        <f t="shared" si="88"/>
        <v>buildingLevelUp{buildingType:205,buildingLevel:15}</v>
      </c>
      <c r="T135" s="4" t="s">
        <v>52</v>
      </c>
      <c r="U135" s="4" t="s">
        <v>66</v>
      </c>
      <c r="V135" s="4" t="s">
        <v>230</v>
      </c>
      <c r="W135" s="4">
        <f>VLOOKUP(V135,[1]界面跳转!$I:$J,2,FALSE)</f>
        <v>7013</v>
      </c>
      <c r="Y135" s="4" t="s">
        <v>56</v>
      </c>
      <c r="Z135" s="4" t="s">
        <v>57</v>
      </c>
      <c r="AB135" s="4">
        <v>6622015</v>
      </c>
      <c r="AH135" s="4">
        <v>1</v>
      </c>
    </row>
    <row r="136" spans="1:34" x14ac:dyDescent="0.45">
      <c r="A136" s="4">
        <f t="shared" si="85"/>
        <v>11501040</v>
      </c>
      <c r="B136" s="22">
        <v>15</v>
      </c>
      <c r="C136" s="4">
        <v>1</v>
      </c>
      <c r="D136" s="4">
        <f t="shared" si="92"/>
        <v>4</v>
      </c>
      <c r="E136" s="4" t="s">
        <v>48</v>
      </c>
      <c r="F136" t="s">
        <v>340</v>
      </c>
      <c r="G136" s="22" t="s">
        <v>221</v>
      </c>
      <c r="H136" s="22">
        <v>15</v>
      </c>
      <c r="I136" s="22" t="s">
        <v>63</v>
      </c>
      <c r="J136" s="4" t="str">
        <f t="shared" si="86"/>
        <v>升级金矿场至15级</v>
      </c>
      <c r="K136" s="4">
        <f t="shared" si="87"/>
        <v>11501040</v>
      </c>
      <c r="L136" s="4" t="str">
        <f t="shared" si="107"/>
        <v>TID_BranchLineTaskConf_205_6_taskName_GL_Main</v>
      </c>
      <c r="M136" s="4">
        <f t="shared" si="108"/>
        <v>11501030</v>
      </c>
      <c r="N136" s="4" t="s">
        <v>51</v>
      </c>
      <c r="O136" s="4" t="s">
        <v>52</v>
      </c>
      <c r="P136" s="4" t="str">
        <f t="shared" si="99"/>
        <v>taskReward{taskId:11501030}</v>
      </c>
      <c r="Q136" s="4" t="s">
        <v>52</v>
      </c>
      <c r="R136" s="4" t="s">
        <v>222</v>
      </c>
      <c r="S136" s="4" t="str">
        <f t="shared" si="88"/>
        <v>buildingLevelUp{buildingType:234,buildingLevel:15}</v>
      </c>
      <c r="T136" s="4" t="s">
        <v>52</v>
      </c>
      <c r="U136" s="4" t="s">
        <v>223</v>
      </c>
      <c r="V136" s="4" t="s">
        <v>224</v>
      </c>
      <c r="W136" s="4">
        <f>VLOOKUP(V136,[1]界面跳转!$I:$J,2,FALSE)</f>
        <v>7067</v>
      </c>
      <c r="Y136" s="4" t="s">
        <v>56</v>
      </c>
      <c r="Z136" s="4" t="s">
        <v>57</v>
      </c>
      <c r="AB136" s="4">
        <v>6622015</v>
      </c>
      <c r="AH136" s="4">
        <v>1</v>
      </c>
    </row>
    <row r="137" spans="1:34" x14ac:dyDescent="0.45">
      <c r="A137" s="4">
        <f t="shared" si="85"/>
        <v>11501050</v>
      </c>
      <c r="B137" s="22">
        <v>15</v>
      </c>
      <c r="C137" s="4">
        <v>1</v>
      </c>
      <c r="D137" s="4">
        <f t="shared" si="92"/>
        <v>5</v>
      </c>
      <c r="E137" s="4" t="s">
        <v>48</v>
      </c>
      <c r="F137" t="s">
        <v>341</v>
      </c>
      <c r="G137" s="22" t="s">
        <v>71</v>
      </c>
      <c r="H137" s="22">
        <v>15</v>
      </c>
      <c r="I137" s="22" t="s">
        <v>63</v>
      </c>
      <c r="J137" s="4" t="str">
        <f t="shared" si="86"/>
        <v>升级磨坊至15级</v>
      </c>
      <c r="K137" s="4">
        <f t="shared" si="87"/>
        <v>11501050</v>
      </c>
      <c r="L137" s="4" t="str">
        <f t="shared" si="107"/>
        <v>TID_BranchLineTaskConf_234_6_taskName_GL_Main</v>
      </c>
      <c r="M137" s="4">
        <f t="shared" si="108"/>
        <v>11501040</v>
      </c>
      <c r="N137" s="4" t="s">
        <v>51</v>
      </c>
      <c r="O137" s="4" t="s">
        <v>52</v>
      </c>
      <c r="P137" s="4" t="str">
        <f t="shared" si="99"/>
        <v>taskReward{taskId:11501040}</v>
      </c>
      <c r="Q137" s="4" t="s">
        <v>52</v>
      </c>
      <c r="R137" s="4" t="s">
        <v>72</v>
      </c>
      <c r="S137" s="4" t="str">
        <f t="shared" si="88"/>
        <v>buildingLevelUp{buildingType:203,buildingLevel:15}</v>
      </c>
      <c r="T137" s="4" t="s">
        <v>52</v>
      </c>
      <c r="U137" s="4" t="s">
        <v>73</v>
      </c>
      <c r="V137" s="4" t="s">
        <v>181</v>
      </c>
      <c r="W137" s="4">
        <f>VLOOKUP(V137,[1]界面跳转!$I:$J,2,FALSE)</f>
        <v>7009</v>
      </c>
      <c r="Y137" s="4" t="s">
        <v>56</v>
      </c>
      <c r="Z137" s="4" t="s">
        <v>57</v>
      </c>
      <c r="AB137" s="4">
        <v>6622015</v>
      </c>
      <c r="AH137" s="4">
        <v>1</v>
      </c>
    </row>
    <row r="138" spans="1:34" x14ac:dyDescent="0.45">
      <c r="A138" s="4">
        <f t="shared" si="85"/>
        <v>11501060</v>
      </c>
      <c r="B138" s="22">
        <v>15</v>
      </c>
      <c r="C138" s="4">
        <v>1</v>
      </c>
      <c r="D138" s="4">
        <f t="shared" si="92"/>
        <v>6</v>
      </c>
      <c r="E138" s="4" t="s">
        <v>48</v>
      </c>
      <c r="F138" t="s">
        <v>342</v>
      </c>
      <c r="G138" s="22" t="s">
        <v>150</v>
      </c>
      <c r="H138" s="22">
        <v>15</v>
      </c>
      <c r="I138" s="22" t="s">
        <v>63</v>
      </c>
      <c r="J138" s="4" t="str">
        <f t="shared" si="86"/>
        <v>升级居民房舍至15级</v>
      </c>
      <c r="K138" s="4">
        <f t="shared" si="87"/>
        <v>11501060</v>
      </c>
      <c r="L138" s="4" t="str">
        <f t="shared" si="107"/>
        <v>TID_BranchLineTaskConf_203_6_taskName_GL_Main</v>
      </c>
      <c r="M138" s="4">
        <f t="shared" si="108"/>
        <v>11501050</v>
      </c>
      <c r="N138" s="4" t="s">
        <v>51</v>
      </c>
      <c r="O138" s="4" t="s">
        <v>52</v>
      </c>
      <c r="P138" s="4" t="str">
        <f t="shared" si="99"/>
        <v>taskReward{taskId:11501050}</v>
      </c>
      <c r="Q138" s="4" t="s">
        <v>52</v>
      </c>
      <c r="R138" s="4" t="s">
        <v>151</v>
      </c>
      <c r="S138" s="4" t="str">
        <f t="shared" si="88"/>
        <v>buildingLevelUp{buildingType:202,buildingLevel:15}</v>
      </c>
      <c r="T138" s="4" t="s">
        <v>52</v>
      </c>
      <c r="U138" s="4" t="s">
        <v>234</v>
      </c>
      <c r="V138" s="4" t="s">
        <v>153</v>
      </c>
      <c r="W138" s="4">
        <f>VLOOKUP(V138,[1]界面跳转!$I:$J,2,FALSE)</f>
        <v>7006</v>
      </c>
      <c r="Y138" s="4" t="s">
        <v>56</v>
      </c>
      <c r="Z138" s="4" t="s">
        <v>57</v>
      </c>
      <c r="AB138" s="4">
        <v>6622015</v>
      </c>
      <c r="AH138" s="4">
        <v>1</v>
      </c>
    </row>
    <row r="139" spans="1:34" x14ac:dyDescent="0.45">
      <c r="A139" s="4">
        <f t="shared" si="85"/>
        <v>11501070</v>
      </c>
      <c r="B139" s="22">
        <v>15</v>
      </c>
      <c r="C139" s="4">
        <v>1</v>
      </c>
      <c r="D139" s="4">
        <f t="shared" si="92"/>
        <v>7</v>
      </c>
      <c r="E139" s="4" t="s">
        <v>48</v>
      </c>
      <c r="F139" s="4" t="s">
        <v>343</v>
      </c>
      <c r="G139" s="22" t="s">
        <v>101</v>
      </c>
      <c r="H139" s="22">
        <v>15</v>
      </c>
      <c r="I139" s="22" t="s">
        <v>63</v>
      </c>
      <c r="J139" s="4" t="str">
        <f t="shared" si="86"/>
        <v>升级治疗房舍至15级</v>
      </c>
      <c r="K139" s="4">
        <f t="shared" si="87"/>
        <v>11501070</v>
      </c>
      <c r="L139" s="4" t="str">
        <f t="shared" si="107"/>
        <v>TID_BranchLineTaskConf_202_5_taskName_GL_Main</v>
      </c>
      <c r="M139" s="4">
        <f t="shared" si="108"/>
        <v>11501060</v>
      </c>
      <c r="N139" s="4" t="s">
        <v>51</v>
      </c>
      <c r="O139" s="4" t="s">
        <v>52</v>
      </c>
      <c r="P139" s="4" t="str">
        <f t="shared" si="99"/>
        <v>taskReward{taskId:11501060}</v>
      </c>
      <c r="Q139" s="4" t="s">
        <v>52</v>
      </c>
      <c r="R139" s="4" t="s">
        <v>102</v>
      </c>
      <c r="S139" s="4" t="str">
        <f t="shared" si="88"/>
        <v>buildingLevelUp{buildingType:222,buildingLevel:15}</v>
      </c>
      <c r="T139" s="4" t="s">
        <v>52</v>
      </c>
      <c r="U139" s="4" t="s">
        <v>103</v>
      </c>
      <c r="V139" s="4" t="s">
        <v>236</v>
      </c>
      <c r="W139" s="4">
        <f>VLOOKUP(V139,[1]界面跳转!$I:$J,2,FALSE)</f>
        <v>7041</v>
      </c>
      <c r="Y139" s="4" t="s">
        <v>56</v>
      </c>
      <c r="Z139" s="4" t="s">
        <v>57</v>
      </c>
      <c r="AB139" s="4">
        <v>6622015</v>
      </c>
      <c r="AH139" s="4">
        <v>1</v>
      </c>
    </row>
    <row r="140" spans="1:34" x14ac:dyDescent="0.45">
      <c r="A140" s="4">
        <f t="shared" ref="A140" si="109">10000000+B140*100000+C140*1000+D140*10</f>
        <v>11501080</v>
      </c>
      <c r="B140" s="22">
        <v>15</v>
      </c>
      <c r="C140" s="4">
        <v>1</v>
      </c>
      <c r="D140" s="4">
        <f t="shared" si="92"/>
        <v>8</v>
      </c>
      <c r="E140" s="4" t="s">
        <v>48</v>
      </c>
      <c r="F140" t="s">
        <v>344</v>
      </c>
      <c r="G140" s="22" t="s">
        <v>106</v>
      </c>
      <c r="H140" s="22">
        <v>15</v>
      </c>
      <c r="I140" s="22" t="s">
        <v>63</v>
      </c>
      <c r="J140" s="4" t="str">
        <f t="shared" ref="J140" si="110">G140&amp;H140&amp;I140</f>
        <v>升级城墙至15级</v>
      </c>
      <c r="K140" s="4">
        <f t="shared" ref="K140" si="111">A140</f>
        <v>11501080</v>
      </c>
      <c r="L140" s="4" t="str">
        <f t="shared" si="107"/>
        <v>TID_BranchLineTaskConf_222_9_taskName_GL_Main</v>
      </c>
      <c r="M140" s="4">
        <f t="shared" si="108"/>
        <v>11501070</v>
      </c>
      <c r="N140" s="4" t="s">
        <v>51</v>
      </c>
      <c r="O140" s="4" t="s">
        <v>52</v>
      </c>
      <c r="P140" s="4" t="str">
        <f t="shared" si="99"/>
        <v>taskReward{taskId:11501070}</v>
      </c>
      <c r="Q140" s="4" t="s">
        <v>52</v>
      </c>
      <c r="R140" s="4" t="s">
        <v>107</v>
      </c>
      <c r="S140" s="4" t="str">
        <f t="shared" ref="S140" si="112">SUBSTITUTE(R140,"@@@",H140)</f>
        <v>buildingLevelUp{buildingType:215,buildingLevel:15}</v>
      </c>
      <c r="T140" s="4" t="s">
        <v>52</v>
      </c>
      <c r="U140" s="4" t="s">
        <v>108</v>
      </c>
      <c r="V140" s="4" t="s">
        <v>249</v>
      </c>
      <c r="W140" s="4">
        <f>VLOOKUP(V140,[1]界面跳转!$I:$J,2,FALSE)</f>
        <v>7039</v>
      </c>
      <c r="Y140" s="4" t="s">
        <v>56</v>
      </c>
      <c r="Z140" s="4" t="s">
        <v>57</v>
      </c>
      <c r="AB140" s="4">
        <v>6622015</v>
      </c>
      <c r="AH140" s="4">
        <v>1</v>
      </c>
    </row>
    <row r="141" spans="1:34" ht="16.149999999999999" customHeight="1" x14ac:dyDescent="0.45">
      <c r="A141" s="4">
        <f t="shared" si="85"/>
        <v>11501090</v>
      </c>
      <c r="B141" s="22">
        <v>15</v>
      </c>
      <c r="C141" s="4">
        <v>1</v>
      </c>
      <c r="D141" s="4">
        <f t="shared" si="92"/>
        <v>9</v>
      </c>
      <c r="E141" s="4" t="s">
        <v>48</v>
      </c>
      <c r="F141" s="4" t="s">
        <v>345</v>
      </c>
      <c r="G141" s="45" t="s">
        <v>96</v>
      </c>
      <c r="H141" s="45">
        <v>16</v>
      </c>
      <c r="I141" s="45" t="s">
        <v>63</v>
      </c>
      <c r="J141" s="4" t="str">
        <f t="shared" si="86"/>
        <v>升级城镇中心至16级</v>
      </c>
      <c r="K141" s="4">
        <f t="shared" si="87"/>
        <v>11501090</v>
      </c>
      <c r="L141" s="4" t="str">
        <f t="shared" si="107"/>
        <v>TID_BranchLineTaskConf_215_12_taskName_GL_Main</v>
      </c>
      <c r="M141" s="4">
        <f t="shared" si="108"/>
        <v>11501080</v>
      </c>
      <c r="N141" s="4" t="s">
        <v>51</v>
      </c>
      <c r="O141" s="4" t="s">
        <v>52</v>
      </c>
      <c r="P141" s="4" t="str">
        <f t="shared" si="99"/>
        <v>taskReward{taskId:11501080}</v>
      </c>
      <c r="Q141" s="4" t="s">
        <v>52</v>
      </c>
      <c r="R141" s="4" t="s">
        <v>97</v>
      </c>
      <c r="S141" s="4" t="str">
        <f t="shared" si="88"/>
        <v>buildingLevelUp{buildingType:201,buildingLevel:16}</v>
      </c>
      <c r="T141" s="4" t="s">
        <v>52</v>
      </c>
      <c r="U141" s="4" t="s">
        <v>98</v>
      </c>
      <c r="V141" s="4" t="s">
        <v>251</v>
      </c>
      <c r="W141" s="4">
        <f>VLOOKUP(V141,[1]界面跳转!$I:$J,2,FALSE)</f>
        <v>7001</v>
      </c>
      <c r="Y141" s="4" t="s">
        <v>56</v>
      </c>
      <c r="Z141" s="4" t="s">
        <v>57</v>
      </c>
      <c r="AB141" s="4">
        <v>6622016</v>
      </c>
      <c r="AG141" s="4">
        <v>1</v>
      </c>
      <c r="AH141" s="4">
        <v>1</v>
      </c>
    </row>
    <row r="142" spans="1:34" x14ac:dyDescent="0.45">
      <c r="A142" s="4">
        <f t="shared" si="85"/>
        <v>11601010</v>
      </c>
      <c r="B142" s="22">
        <v>16</v>
      </c>
      <c r="C142" s="4">
        <v>1</v>
      </c>
      <c r="D142" s="4">
        <f t="shared" si="92"/>
        <v>1</v>
      </c>
      <c r="E142" s="4" t="s">
        <v>48</v>
      </c>
      <c r="F142" t="s">
        <v>346</v>
      </c>
      <c r="G142" s="22" t="s">
        <v>67</v>
      </c>
      <c r="H142" s="22">
        <v>16</v>
      </c>
      <c r="I142" s="22" t="s">
        <v>63</v>
      </c>
      <c r="J142" s="4" t="str">
        <f t="shared" si="86"/>
        <v>升级伐木场至16级</v>
      </c>
      <c r="K142" s="4">
        <f t="shared" si="87"/>
        <v>11601010</v>
      </c>
      <c r="L142" s="4" t="str">
        <f t="shared" si="107"/>
        <v>TID_BranchLineTaskConf_11510110_taskName_GL_Main</v>
      </c>
      <c r="M142" s="4">
        <f t="shared" si="108"/>
        <v>11501090</v>
      </c>
      <c r="N142" s="4" t="s">
        <v>51</v>
      </c>
      <c r="O142" s="4" t="s">
        <v>52</v>
      </c>
      <c r="P142" s="4" t="str">
        <f t="shared" si="99"/>
        <v>taskReward{taskId:11501090}</v>
      </c>
      <c r="Q142" s="4" t="s">
        <v>52</v>
      </c>
      <c r="R142" s="4" t="s">
        <v>68</v>
      </c>
      <c r="S142" s="4" t="str">
        <f t="shared" si="88"/>
        <v>buildingLevelUp{buildingType:204,buildingLevel:16}</v>
      </c>
      <c r="T142" s="4" t="s">
        <v>52</v>
      </c>
      <c r="U142" s="4" t="s">
        <v>69</v>
      </c>
      <c r="V142" s="4" t="s">
        <v>226</v>
      </c>
      <c r="W142" s="4">
        <f>VLOOKUP(V142,[1]界面跳转!$I:$J,2,FALSE)</f>
        <v>7011</v>
      </c>
      <c r="Y142" s="4" t="s">
        <v>56</v>
      </c>
      <c r="Z142" s="4" t="s">
        <v>57</v>
      </c>
      <c r="AB142" s="4">
        <v>6622016</v>
      </c>
      <c r="AH142" s="4">
        <v>1</v>
      </c>
    </row>
    <row r="143" spans="1:34" x14ac:dyDescent="0.45">
      <c r="A143" s="4">
        <f t="shared" si="85"/>
        <v>11601020</v>
      </c>
      <c r="B143" s="22">
        <v>16</v>
      </c>
      <c r="C143" s="4">
        <v>1</v>
      </c>
      <c r="D143" s="4">
        <f t="shared" si="92"/>
        <v>2</v>
      </c>
      <c r="E143" s="4" t="s">
        <v>48</v>
      </c>
      <c r="F143" t="s">
        <v>347</v>
      </c>
      <c r="G143" s="22" t="s">
        <v>228</v>
      </c>
      <c r="H143" s="22">
        <v>16</v>
      </c>
      <c r="I143" s="22" t="s">
        <v>63</v>
      </c>
      <c r="J143" s="4" t="str">
        <f t="shared" si="86"/>
        <v>升级石矿场至16级</v>
      </c>
      <c r="K143" s="4">
        <f t="shared" si="87"/>
        <v>11601020</v>
      </c>
      <c r="L143" s="4" t="str">
        <f t="shared" si="107"/>
        <v>TID_BranchLineTaskConf_204_7_taskName_GL_Main</v>
      </c>
      <c r="M143" s="4">
        <f t="shared" si="108"/>
        <v>11601010</v>
      </c>
      <c r="N143" s="4" t="s">
        <v>51</v>
      </c>
      <c r="O143" s="4" t="s">
        <v>52</v>
      </c>
      <c r="P143" s="4" t="str">
        <f t="shared" si="99"/>
        <v>taskReward{taskId:11601010}</v>
      </c>
      <c r="Q143" s="4" t="s">
        <v>52</v>
      </c>
      <c r="R143" s="4" t="s">
        <v>229</v>
      </c>
      <c r="S143" s="4" t="str">
        <f t="shared" si="88"/>
        <v>buildingLevelUp{buildingType:205,buildingLevel:16}</v>
      </c>
      <c r="T143" s="4" t="s">
        <v>52</v>
      </c>
      <c r="U143" s="4" t="s">
        <v>66</v>
      </c>
      <c r="V143" s="4" t="s">
        <v>230</v>
      </c>
      <c r="W143" s="4">
        <f>VLOOKUP(V143,[1]界面跳转!$I:$J,2,FALSE)</f>
        <v>7013</v>
      </c>
      <c r="Y143" s="4" t="s">
        <v>56</v>
      </c>
      <c r="Z143" s="4" t="s">
        <v>57</v>
      </c>
      <c r="AB143" s="4">
        <v>6622016</v>
      </c>
      <c r="AH143" s="4">
        <v>1</v>
      </c>
    </row>
    <row r="144" spans="1:34" x14ac:dyDescent="0.45">
      <c r="A144" s="4">
        <f t="shared" si="85"/>
        <v>11601030</v>
      </c>
      <c r="B144" s="22">
        <v>16</v>
      </c>
      <c r="C144" s="4">
        <v>1</v>
      </c>
      <c r="D144" s="4">
        <f t="shared" si="92"/>
        <v>3</v>
      </c>
      <c r="E144" s="4" t="s">
        <v>48</v>
      </c>
      <c r="F144" t="s">
        <v>348</v>
      </c>
      <c r="G144" s="22" t="s">
        <v>221</v>
      </c>
      <c r="H144" s="22">
        <v>16</v>
      </c>
      <c r="I144" s="22" t="s">
        <v>63</v>
      </c>
      <c r="J144" s="4" t="str">
        <f t="shared" si="86"/>
        <v>升级金矿场至16级</v>
      </c>
      <c r="K144" s="4">
        <f t="shared" si="87"/>
        <v>11601030</v>
      </c>
      <c r="L144" s="4" t="str">
        <f t="shared" si="107"/>
        <v>TID_BranchLineTaskConf_205_7_taskName_GL_Main</v>
      </c>
      <c r="M144" s="4">
        <f t="shared" si="108"/>
        <v>11601020</v>
      </c>
      <c r="N144" s="4" t="s">
        <v>51</v>
      </c>
      <c r="O144" s="4" t="s">
        <v>52</v>
      </c>
      <c r="P144" s="4" t="str">
        <f t="shared" si="99"/>
        <v>taskReward{taskId:11601020}</v>
      </c>
      <c r="Q144" s="4" t="s">
        <v>52</v>
      </c>
      <c r="R144" s="4" t="s">
        <v>222</v>
      </c>
      <c r="S144" s="4" t="str">
        <f t="shared" si="88"/>
        <v>buildingLevelUp{buildingType:234,buildingLevel:16}</v>
      </c>
      <c r="T144" s="4" t="s">
        <v>52</v>
      </c>
      <c r="U144" s="4" t="s">
        <v>223</v>
      </c>
      <c r="V144" s="4" t="s">
        <v>224</v>
      </c>
      <c r="W144" s="4">
        <f>VLOOKUP(V144,[1]界面跳转!$I:$J,2,FALSE)</f>
        <v>7067</v>
      </c>
      <c r="Y144" s="4" t="s">
        <v>56</v>
      </c>
      <c r="Z144" s="4" t="s">
        <v>57</v>
      </c>
      <c r="AB144" s="4">
        <v>6622016</v>
      </c>
      <c r="AH144" s="4">
        <v>1</v>
      </c>
    </row>
    <row r="145" spans="1:34" x14ac:dyDescent="0.45">
      <c r="A145" s="4">
        <f t="shared" si="85"/>
        <v>11601040</v>
      </c>
      <c r="B145" s="22">
        <v>16</v>
      </c>
      <c r="C145" s="4">
        <v>1</v>
      </c>
      <c r="D145" s="4">
        <f t="shared" si="92"/>
        <v>4</v>
      </c>
      <c r="E145" s="4" t="s">
        <v>48</v>
      </c>
      <c r="F145" t="s">
        <v>349</v>
      </c>
      <c r="G145" s="22" t="s">
        <v>71</v>
      </c>
      <c r="H145" s="22">
        <v>16</v>
      </c>
      <c r="I145" s="22" t="s">
        <v>63</v>
      </c>
      <c r="J145" s="4" t="str">
        <f t="shared" si="86"/>
        <v>升级磨坊至16级</v>
      </c>
      <c r="K145" s="4">
        <f t="shared" si="87"/>
        <v>11601040</v>
      </c>
      <c r="L145" s="4" t="str">
        <f t="shared" si="107"/>
        <v>TID_BranchLineTaskConf_234_7_taskName_GL_Main</v>
      </c>
      <c r="M145" s="4">
        <f t="shared" si="108"/>
        <v>11601030</v>
      </c>
      <c r="N145" s="4" t="s">
        <v>51</v>
      </c>
      <c r="O145" s="4" t="s">
        <v>52</v>
      </c>
      <c r="P145" s="4" t="str">
        <f t="shared" si="99"/>
        <v>taskReward{taskId:11601030}</v>
      </c>
      <c r="Q145" s="4" t="s">
        <v>52</v>
      </c>
      <c r="R145" s="4" t="s">
        <v>72</v>
      </c>
      <c r="S145" s="4" t="str">
        <f t="shared" si="88"/>
        <v>buildingLevelUp{buildingType:203,buildingLevel:16}</v>
      </c>
      <c r="T145" s="4" t="s">
        <v>52</v>
      </c>
      <c r="U145" s="4" t="s">
        <v>73</v>
      </c>
      <c r="V145" s="4" t="s">
        <v>181</v>
      </c>
      <c r="W145" s="4">
        <f>VLOOKUP(V145,[1]界面跳转!$I:$J,2,FALSE)</f>
        <v>7009</v>
      </c>
      <c r="Y145" s="4" t="s">
        <v>56</v>
      </c>
      <c r="Z145" s="4" t="s">
        <v>57</v>
      </c>
      <c r="AB145" s="4">
        <v>6622016</v>
      </c>
      <c r="AH145" s="4">
        <v>1</v>
      </c>
    </row>
    <row r="146" spans="1:34" x14ac:dyDescent="0.45">
      <c r="A146" s="4">
        <f t="shared" si="85"/>
        <v>11601050</v>
      </c>
      <c r="B146" s="22">
        <v>16</v>
      </c>
      <c r="C146" s="4">
        <v>1</v>
      </c>
      <c r="D146" s="4">
        <f t="shared" si="92"/>
        <v>5</v>
      </c>
      <c r="E146" s="4" t="s">
        <v>48</v>
      </c>
      <c r="F146" t="s">
        <v>350</v>
      </c>
      <c r="G146" s="22" t="s">
        <v>263</v>
      </c>
      <c r="H146" s="22">
        <v>16</v>
      </c>
      <c r="I146" s="22" t="s">
        <v>63</v>
      </c>
      <c r="J146" s="4" t="str">
        <f t="shared" si="86"/>
        <v>升级仓库至16级</v>
      </c>
      <c r="K146" s="4">
        <f t="shared" si="87"/>
        <v>11601050</v>
      </c>
      <c r="L146" s="4" t="str">
        <f t="shared" si="107"/>
        <v>TID_BranchLineTaskConf_203_7_taskName_GL_Main</v>
      </c>
      <c r="M146" s="4">
        <f t="shared" si="108"/>
        <v>11601040</v>
      </c>
      <c r="N146" s="4" t="s">
        <v>51</v>
      </c>
      <c r="O146" s="4" t="s">
        <v>52</v>
      </c>
      <c r="P146" s="4" t="str">
        <f t="shared" si="99"/>
        <v>taskReward{taskId:11601040}</v>
      </c>
      <c r="Q146" s="4" t="s">
        <v>52</v>
      </c>
      <c r="R146" s="4" t="s">
        <v>264</v>
      </c>
      <c r="S146" s="4" t="str">
        <f t="shared" si="88"/>
        <v>buildingLevelUp{buildingType:400,buildingLevel:16}</v>
      </c>
      <c r="T146" s="4" t="s">
        <v>52</v>
      </c>
      <c r="U146" s="4" t="s">
        <v>265</v>
      </c>
      <c r="V146" s="4" t="s">
        <v>266</v>
      </c>
      <c r="W146" s="4">
        <f>VLOOKUP(V146,[2]界面跳转!$I:$J,2,FALSE)</f>
        <v>100134</v>
      </c>
      <c r="Y146" s="4" t="s">
        <v>56</v>
      </c>
      <c r="Z146" s="4" t="s">
        <v>57</v>
      </c>
      <c r="AB146" s="4">
        <v>6622016</v>
      </c>
      <c r="AH146" s="4">
        <v>1</v>
      </c>
    </row>
    <row r="147" spans="1:34" x14ac:dyDescent="0.45">
      <c r="A147" s="4">
        <f t="shared" ref="A147" si="113">10000000+B147*100000+C147*1000+D147*10</f>
        <v>11601060</v>
      </c>
      <c r="B147" s="22">
        <v>16</v>
      </c>
      <c r="C147" s="4">
        <v>1</v>
      </c>
      <c r="D147" s="4">
        <f t="shared" si="92"/>
        <v>6</v>
      </c>
      <c r="E147" s="4" t="s">
        <v>48</v>
      </c>
      <c r="F147" s="4" t="s">
        <v>351</v>
      </c>
      <c r="G147" s="22" t="s">
        <v>268</v>
      </c>
      <c r="H147" s="22">
        <v>16</v>
      </c>
      <c r="I147" s="22" t="s">
        <v>63</v>
      </c>
      <c r="J147" s="4" t="str">
        <f t="shared" ref="J147" si="114">G147&amp;H147&amp;I147</f>
        <v>升级市集至16级</v>
      </c>
      <c r="K147" s="4">
        <f t="shared" ref="K147" si="115">A147</f>
        <v>11601060</v>
      </c>
      <c r="L147" s="4" t="str">
        <f t="shared" si="107"/>
        <v>TID_BranchLineTaskConf_400_3_taskName_GL_Main</v>
      </c>
      <c r="M147" s="4">
        <f t="shared" si="108"/>
        <v>11601050</v>
      </c>
      <c r="N147" s="4" t="s">
        <v>51</v>
      </c>
      <c r="O147" s="4" t="s">
        <v>52</v>
      </c>
      <c r="P147" s="4" t="str">
        <f t="shared" si="99"/>
        <v>taskReward{taskId:11601050}</v>
      </c>
      <c r="Q147" s="4" t="s">
        <v>52</v>
      </c>
      <c r="R147" s="4" t="s">
        <v>269</v>
      </c>
      <c r="S147" s="4" t="str">
        <f t="shared" ref="S147" si="116">SUBSTITUTE(R147,"@@@",H147)</f>
        <v>buildingLevelUp{buildingType:231,buildingLevel:16}</v>
      </c>
      <c r="T147" s="4" t="s">
        <v>52</v>
      </c>
      <c r="U147" s="4" t="s">
        <v>270</v>
      </c>
      <c r="V147" s="4" t="s">
        <v>271</v>
      </c>
      <c r="W147" s="4">
        <f>VLOOKUP(V147,[1]界面跳转!$I:$J,2,FALSE)</f>
        <v>7058</v>
      </c>
      <c r="Y147" s="4" t="s">
        <v>56</v>
      </c>
      <c r="Z147" s="4" t="s">
        <v>57</v>
      </c>
      <c r="AB147" s="4">
        <v>6622016</v>
      </c>
      <c r="AH147" s="4">
        <v>1</v>
      </c>
    </row>
    <row r="148" spans="1:34" x14ac:dyDescent="0.45">
      <c r="A148" s="4">
        <f t="shared" si="85"/>
        <v>11601070</v>
      </c>
      <c r="B148" s="22">
        <v>16</v>
      </c>
      <c r="C148" s="4">
        <v>1</v>
      </c>
      <c r="D148" s="4">
        <f t="shared" si="92"/>
        <v>7</v>
      </c>
      <c r="E148" s="4" t="s">
        <v>48</v>
      </c>
      <c r="F148" t="s">
        <v>352</v>
      </c>
      <c r="G148" s="22" t="s">
        <v>150</v>
      </c>
      <c r="H148" s="22">
        <v>16</v>
      </c>
      <c r="I148" s="22" t="s">
        <v>63</v>
      </c>
      <c r="J148" s="4" t="str">
        <f t="shared" si="86"/>
        <v>升级居民房舍至16级</v>
      </c>
      <c r="K148" s="4">
        <f t="shared" si="87"/>
        <v>11601070</v>
      </c>
      <c r="L148" s="4" t="str">
        <f t="shared" si="107"/>
        <v>TID_BranchLineTaskConf_231_3_taskName_GL_Main</v>
      </c>
      <c r="M148" s="4">
        <f t="shared" si="108"/>
        <v>11601060</v>
      </c>
      <c r="N148" s="4" t="s">
        <v>51</v>
      </c>
      <c r="O148" s="4" t="s">
        <v>52</v>
      </c>
      <c r="P148" s="4" t="str">
        <f t="shared" si="99"/>
        <v>taskReward{taskId:11601060}</v>
      </c>
      <c r="Q148" s="4" t="s">
        <v>52</v>
      </c>
      <c r="R148" s="4" t="s">
        <v>151</v>
      </c>
      <c r="S148" s="4" t="str">
        <f t="shared" si="88"/>
        <v>buildingLevelUp{buildingType:202,buildingLevel:16}</v>
      </c>
      <c r="T148" s="4" t="s">
        <v>52</v>
      </c>
      <c r="U148" s="4" t="s">
        <v>234</v>
      </c>
      <c r="V148" s="4" t="s">
        <v>153</v>
      </c>
      <c r="W148" s="4">
        <f>VLOOKUP(V148,[1]界面跳转!$I:$J,2,FALSE)</f>
        <v>7006</v>
      </c>
      <c r="Y148" s="4" t="s">
        <v>56</v>
      </c>
      <c r="Z148" s="4" t="s">
        <v>57</v>
      </c>
      <c r="AB148" s="4">
        <v>6622016</v>
      </c>
      <c r="AH148" s="4">
        <v>1</v>
      </c>
    </row>
    <row r="149" spans="1:34" x14ac:dyDescent="0.45">
      <c r="A149" s="4">
        <f t="shared" si="85"/>
        <v>11601080</v>
      </c>
      <c r="B149" s="22">
        <v>16</v>
      </c>
      <c r="C149" s="4">
        <v>1</v>
      </c>
      <c r="D149" s="4">
        <f t="shared" si="92"/>
        <v>8</v>
      </c>
      <c r="E149" s="4" t="s">
        <v>48</v>
      </c>
      <c r="F149" s="4" t="s">
        <v>353</v>
      </c>
      <c r="G149" s="22" t="s">
        <v>101</v>
      </c>
      <c r="H149" s="22">
        <v>16</v>
      </c>
      <c r="I149" s="22" t="s">
        <v>63</v>
      </c>
      <c r="J149" s="4" t="str">
        <f t="shared" si="86"/>
        <v>升级治疗房舍至16级</v>
      </c>
      <c r="K149" s="4">
        <f t="shared" si="87"/>
        <v>11601080</v>
      </c>
      <c r="L149" s="4" t="str">
        <f t="shared" si="107"/>
        <v>TID_BranchLineTaskConf_202_6_taskName_GL_Main</v>
      </c>
      <c r="M149" s="4">
        <f t="shared" si="108"/>
        <v>11601070</v>
      </c>
      <c r="N149" s="4" t="s">
        <v>51</v>
      </c>
      <c r="O149" s="4" t="s">
        <v>52</v>
      </c>
      <c r="P149" s="4" t="str">
        <f t="shared" si="99"/>
        <v>taskReward{taskId:11601070}</v>
      </c>
      <c r="Q149" s="4" t="s">
        <v>52</v>
      </c>
      <c r="R149" s="4" t="s">
        <v>102</v>
      </c>
      <c r="S149" s="4" t="str">
        <f t="shared" si="88"/>
        <v>buildingLevelUp{buildingType:222,buildingLevel:16}</v>
      </c>
      <c r="T149" s="4" t="s">
        <v>52</v>
      </c>
      <c r="U149" s="4" t="s">
        <v>103</v>
      </c>
      <c r="V149" s="4" t="s">
        <v>236</v>
      </c>
      <c r="W149" s="4">
        <f>VLOOKUP(V149,[1]界面跳转!$I:$J,2,FALSE)</f>
        <v>7041</v>
      </c>
      <c r="Y149" s="4" t="s">
        <v>56</v>
      </c>
      <c r="Z149" s="4" t="s">
        <v>57</v>
      </c>
      <c r="AB149" s="4">
        <v>6622016</v>
      </c>
      <c r="AH149" s="4">
        <v>1</v>
      </c>
    </row>
    <row r="150" spans="1:34" x14ac:dyDescent="0.45">
      <c r="A150" s="4">
        <f t="shared" si="85"/>
        <v>11601090</v>
      </c>
      <c r="B150" s="22">
        <v>16</v>
      </c>
      <c r="C150" s="4">
        <v>1</v>
      </c>
      <c r="D150" s="4">
        <f t="shared" si="92"/>
        <v>9</v>
      </c>
      <c r="E150" s="4" t="s">
        <v>48</v>
      </c>
      <c r="F150" t="s">
        <v>354</v>
      </c>
      <c r="G150" s="22" t="s">
        <v>106</v>
      </c>
      <c r="H150" s="22">
        <v>16</v>
      </c>
      <c r="I150" s="22" t="s">
        <v>63</v>
      </c>
      <c r="J150" s="4" t="str">
        <f t="shared" si="86"/>
        <v>升级城墙至16级</v>
      </c>
      <c r="K150" s="4">
        <f t="shared" si="87"/>
        <v>11601090</v>
      </c>
      <c r="L150" s="4" t="str">
        <f t="shared" si="107"/>
        <v>TID_BranchLineTaskConf_222_10_taskName_GL_Main</v>
      </c>
      <c r="M150" s="4">
        <f t="shared" si="108"/>
        <v>11601080</v>
      </c>
      <c r="N150" s="4" t="s">
        <v>51</v>
      </c>
      <c r="O150" s="4" t="s">
        <v>52</v>
      </c>
      <c r="P150" s="4" t="str">
        <f t="shared" si="99"/>
        <v>taskReward{taskId:11601080}</v>
      </c>
      <c r="Q150" s="4" t="s">
        <v>52</v>
      </c>
      <c r="R150" s="4" t="s">
        <v>107</v>
      </c>
      <c r="S150" s="4" t="str">
        <f t="shared" si="88"/>
        <v>buildingLevelUp{buildingType:215,buildingLevel:16}</v>
      </c>
      <c r="T150" s="4" t="s">
        <v>52</v>
      </c>
      <c r="U150" s="4" t="s">
        <v>108</v>
      </c>
      <c r="V150" s="4" t="s">
        <v>249</v>
      </c>
      <c r="W150" s="4">
        <f>VLOOKUP(V150,[1]界面跳转!$I:$J,2,FALSE)</f>
        <v>7039</v>
      </c>
      <c r="Y150" s="4" t="s">
        <v>56</v>
      </c>
      <c r="Z150" s="4" t="s">
        <v>57</v>
      </c>
      <c r="AB150" s="4">
        <v>6622016</v>
      </c>
      <c r="AH150" s="4">
        <v>1</v>
      </c>
    </row>
    <row r="151" spans="1:34" x14ac:dyDescent="0.45">
      <c r="A151" s="4">
        <f t="shared" ref="A151:A152" si="117">10000000+B151*100000+C151*1000+D151*10</f>
        <v>11601100</v>
      </c>
      <c r="B151" s="22">
        <v>16</v>
      </c>
      <c r="C151" s="4">
        <v>1</v>
      </c>
      <c r="D151" s="4">
        <f t="shared" si="92"/>
        <v>10</v>
      </c>
      <c r="E151" s="4" t="s">
        <v>48</v>
      </c>
      <c r="F151" s="34" t="s">
        <v>355</v>
      </c>
      <c r="G151" s="22" t="s">
        <v>124</v>
      </c>
      <c r="H151" s="22">
        <v>16</v>
      </c>
      <c r="I151" s="22" t="s">
        <v>63</v>
      </c>
      <c r="J151" s="4" t="str">
        <f t="shared" ref="J151:J152" si="118">G151&amp;H151&amp;I151</f>
        <v>升级学院至16级</v>
      </c>
      <c r="K151" s="4">
        <f t="shared" ref="K151:K152" si="119">A151</f>
        <v>11601100</v>
      </c>
      <c r="L151" s="4" t="str">
        <f t="shared" si="107"/>
        <v>TID_BranchLineTaskConf_215_13_taskName_GL_Main</v>
      </c>
      <c r="M151" s="4">
        <f t="shared" si="108"/>
        <v>11601090</v>
      </c>
      <c r="N151" s="4" t="s">
        <v>51</v>
      </c>
      <c r="O151" s="4" t="s">
        <v>52</v>
      </c>
      <c r="P151" s="4" t="str">
        <f t="shared" si="99"/>
        <v>taskReward{taskId:11601090}</v>
      </c>
      <c r="Q151" s="4" t="s">
        <v>52</v>
      </c>
      <c r="R151" s="4" t="s">
        <v>125</v>
      </c>
      <c r="S151" s="4" t="str">
        <f t="shared" ref="S151:S152" si="120">SUBSTITUTE(R151,"@@@",H151)</f>
        <v>buildingLevelUp{buildingType:211,buildingLevel:16}</v>
      </c>
      <c r="T151" s="4" t="s">
        <v>52</v>
      </c>
      <c r="U151" s="4" t="s">
        <v>126</v>
      </c>
      <c r="V151" s="4" t="s">
        <v>127</v>
      </c>
      <c r="W151" s="4">
        <f>VLOOKUP(V151,[1]界面跳转!$I:$J,2,FALSE)</f>
        <v>7029</v>
      </c>
      <c r="Y151" s="4" t="s">
        <v>56</v>
      </c>
      <c r="Z151" s="4" t="s">
        <v>57</v>
      </c>
      <c r="AB151" s="4">
        <v>6622016</v>
      </c>
      <c r="AH151" s="4">
        <v>1</v>
      </c>
    </row>
    <row r="152" spans="1:34" x14ac:dyDescent="0.45">
      <c r="A152" s="4">
        <f t="shared" si="117"/>
        <v>11601110</v>
      </c>
      <c r="B152" s="22">
        <v>16</v>
      </c>
      <c r="C152" s="4">
        <v>1</v>
      </c>
      <c r="D152" s="4">
        <f t="shared" si="92"/>
        <v>11</v>
      </c>
      <c r="E152" s="4" t="s">
        <v>48</v>
      </c>
      <c r="F152" s="4" t="s">
        <v>356</v>
      </c>
      <c r="G152" s="22" t="s">
        <v>307</v>
      </c>
      <c r="H152" s="22" t="s">
        <v>308</v>
      </c>
      <c r="I152" s="22">
        <v>2</v>
      </c>
      <c r="J152" s="4" t="str">
        <f t="shared" si="118"/>
        <v>解锁英雄编队2</v>
      </c>
      <c r="K152" s="4">
        <f t="shared" si="119"/>
        <v>11601110</v>
      </c>
      <c r="L152" s="4" t="str">
        <f t="shared" si="107"/>
        <v>TID_BranchLineTaskConf_211_15_taskName_GL_Main</v>
      </c>
      <c r="M152" s="4">
        <f t="shared" si="108"/>
        <v>11601100</v>
      </c>
      <c r="N152" s="4" t="s">
        <v>51</v>
      </c>
      <c r="O152" s="4" t="s">
        <v>52</v>
      </c>
      <c r="P152" s="4" t="str">
        <f t="shared" si="99"/>
        <v>taskReward{taskId:11601100}</v>
      </c>
      <c r="Q152" s="4" t="s">
        <v>52</v>
      </c>
      <c r="R152" s="4" t="s">
        <v>357</v>
      </c>
      <c r="S152" s="4" t="str">
        <f t="shared" si="120"/>
        <v>castleScienceMultiLevelUp{techId:11101,level:1,relationIfWith:true}</v>
      </c>
      <c r="T152" s="4" t="s">
        <v>52</v>
      </c>
      <c r="U152" s="4"/>
      <c r="V152" s="4" t="s">
        <v>358</v>
      </c>
      <c r="W152" s="4">
        <f>VLOOKUP(V152,[2]界面跳转!$I:$J,2,FALSE)</f>
        <v>100145</v>
      </c>
      <c r="Y152" s="4" t="s">
        <v>56</v>
      </c>
      <c r="Z152" s="4" t="s">
        <v>57</v>
      </c>
      <c r="AB152" s="4">
        <v>6622016</v>
      </c>
      <c r="AH152" s="4">
        <v>1</v>
      </c>
    </row>
    <row r="153" spans="1:34" ht="16.149999999999999" customHeight="1" x14ac:dyDescent="0.45">
      <c r="A153" s="4">
        <f t="shared" si="85"/>
        <v>11601120</v>
      </c>
      <c r="B153" s="22">
        <v>16</v>
      </c>
      <c r="C153" s="4">
        <v>1</v>
      </c>
      <c r="D153" s="4">
        <f t="shared" si="92"/>
        <v>12</v>
      </c>
      <c r="E153" s="4" t="s">
        <v>48</v>
      </c>
      <c r="F153" s="4" t="s">
        <v>359</v>
      </c>
      <c r="G153" s="45" t="s">
        <v>96</v>
      </c>
      <c r="H153" s="45">
        <v>17</v>
      </c>
      <c r="I153" s="45" t="s">
        <v>63</v>
      </c>
      <c r="J153" s="4" t="str">
        <f t="shared" si="86"/>
        <v>升级城镇中心至17级</v>
      </c>
      <c r="K153" s="4">
        <f t="shared" si="87"/>
        <v>11601120</v>
      </c>
      <c r="L153" s="4" t="str">
        <f t="shared" si="107"/>
        <v>TID_BranchLineTaskConf_11601130_taskName_GL_Main</v>
      </c>
      <c r="M153" s="4">
        <f t="shared" si="108"/>
        <v>11601110</v>
      </c>
      <c r="N153" s="4" t="s">
        <v>51</v>
      </c>
      <c r="O153" s="4" t="s">
        <v>52</v>
      </c>
      <c r="P153" s="4" t="str">
        <f t="shared" si="99"/>
        <v>taskReward{taskId:11601110}</v>
      </c>
      <c r="Q153" s="4" t="s">
        <v>52</v>
      </c>
      <c r="R153" s="4" t="s">
        <v>97</v>
      </c>
      <c r="S153" s="4" t="str">
        <f t="shared" si="88"/>
        <v>buildingLevelUp{buildingType:201,buildingLevel:17}</v>
      </c>
      <c r="T153" s="4" t="s">
        <v>52</v>
      </c>
      <c r="U153" s="4" t="s">
        <v>98</v>
      </c>
      <c r="V153" s="4" t="s">
        <v>251</v>
      </c>
      <c r="W153" s="4">
        <f>VLOOKUP(V153,[1]界面跳转!$I:$J,2,FALSE)</f>
        <v>7001</v>
      </c>
      <c r="Y153" s="4" t="s">
        <v>56</v>
      </c>
      <c r="Z153" s="4" t="s">
        <v>57</v>
      </c>
      <c r="AB153" s="4">
        <v>6622017</v>
      </c>
      <c r="AG153" s="4">
        <v>1</v>
      </c>
      <c r="AH153" s="4">
        <v>1</v>
      </c>
    </row>
    <row r="154" spans="1:34" x14ac:dyDescent="0.45">
      <c r="A154" s="4">
        <f t="shared" si="85"/>
        <v>11701010</v>
      </c>
      <c r="B154" s="22">
        <v>17</v>
      </c>
      <c r="C154" s="4">
        <v>1</v>
      </c>
      <c r="D154" s="4">
        <f t="shared" si="92"/>
        <v>1</v>
      </c>
      <c r="E154" s="4" t="s">
        <v>48</v>
      </c>
      <c r="F154" s="4" t="s">
        <v>360</v>
      </c>
      <c r="G154" s="22" t="s">
        <v>279</v>
      </c>
      <c r="H154" s="22">
        <v>3</v>
      </c>
      <c r="I154" s="22" t="s">
        <v>280</v>
      </c>
      <c r="J154" s="4" t="str">
        <f t="shared" si="86"/>
        <v>一个编队上阵3名英雄</v>
      </c>
      <c r="K154" s="4">
        <f t="shared" si="87"/>
        <v>11701010</v>
      </c>
      <c r="L154" s="4" t="str">
        <f t="shared" si="107"/>
        <v>TID_BranchLineTaskConf_11610110_taskName_GL_Main</v>
      </c>
      <c r="M154" s="4">
        <f t="shared" si="108"/>
        <v>11601120</v>
      </c>
      <c r="N154" s="4" t="s">
        <v>51</v>
      </c>
      <c r="O154" s="4" t="s">
        <v>52</v>
      </c>
      <c r="P154" s="4" t="str">
        <f t="shared" si="99"/>
        <v>taskReward{taskId:11601120}</v>
      </c>
      <c r="Q154" s="4" t="s">
        <v>52</v>
      </c>
      <c r="R154" s="4" t="s">
        <v>361</v>
      </c>
      <c r="S154" s="4" t="str">
        <f t="shared" si="88"/>
        <v>presetTeam{heroCnt:3,soldierNum:0,teamCnt:1}</v>
      </c>
      <c r="T154" s="4" t="s">
        <v>52</v>
      </c>
      <c r="U154" s="4" t="s">
        <v>282</v>
      </c>
      <c r="V154" s="4"/>
      <c r="W154" s="49">
        <v>100308</v>
      </c>
      <c r="Y154" s="4" t="s">
        <v>56</v>
      </c>
      <c r="Z154" s="4" t="s">
        <v>57</v>
      </c>
      <c r="AB154" s="4">
        <v>6622012</v>
      </c>
      <c r="AH154" s="4">
        <v>1</v>
      </c>
    </row>
    <row r="155" spans="1:34" x14ac:dyDescent="0.45">
      <c r="A155" s="4">
        <f t="shared" si="85"/>
        <v>11701020</v>
      </c>
      <c r="B155" s="22">
        <v>17</v>
      </c>
      <c r="C155" s="4">
        <v>1</v>
      </c>
      <c r="D155" s="4">
        <f t="shared" si="92"/>
        <v>2</v>
      </c>
      <c r="E155" s="4" t="s">
        <v>48</v>
      </c>
      <c r="F155" t="s">
        <v>362</v>
      </c>
      <c r="G155" s="22" t="s">
        <v>67</v>
      </c>
      <c r="H155" s="22">
        <v>17</v>
      </c>
      <c r="I155" s="22" t="s">
        <v>63</v>
      </c>
      <c r="J155" s="4" t="str">
        <f t="shared" si="86"/>
        <v>升级伐木场至17级</v>
      </c>
      <c r="K155" s="4">
        <f t="shared" si="87"/>
        <v>11701020</v>
      </c>
      <c r="L155" s="4" t="str">
        <f t="shared" si="107"/>
        <v>TID_BranchLineTaskConf_20201011_2_taskName_GL_Main</v>
      </c>
      <c r="M155" s="4">
        <f t="shared" si="108"/>
        <v>11701010</v>
      </c>
      <c r="N155" s="4" t="s">
        <v>51</v>
      </c>
      <c r="O155" s="4" t="s">
        <v>52</v>
      </c>
      <c r="P155" s="4" t="str">
        <f t="shared" si="99"/>
        <v>taskReward{taskId:11701010}</v>
      </c>
      <c r="Q155" s="4" t="s">
        <v>52</v>
      </c>
      <c r="R155" s="4" t="s">
        <v>68</v>
      </c>
      <c r="S155" s="4" t="str">
        <f t="shared" si="88"/>
        <v>buildingLevelUp{buildingType:204,buildingLevel:17}</v>
      </c>
      <c r="T155" s="4" t="s">
        <v>52</v>
      </c>
      <c r="U155" s="4" t="s">
        <v>69</v>
      </c>
      <c r="V155" s="4" t="s">
        <v>226</v>
      </c>
      <c r="W155" s="4">
        <f>VLOOKUP(V155,[1]界面跳转!$I:$J,2,FALSE)</f>
        <v>7011</v>
      </c>
      <c r="Y155" s="4" t="s">
        <v>56</v>
      </c>
      <c r="Z155" s="4" t="s">
        <v>57</v>
      </c>
      <c r="AB155" s="4">
        <v>6622017</v>
      </c>
      <c r="AH155" s="4">
        <v>1</v>
      </c>
    </row>
    <row r="156" spans="1:34" x14ac:dyDescent="0.45">
      <c r="A156" s="4">
        <f t="shared" si="85"/>
        <v>11701030</v>
      </c>
      <c r="B156" s="22">
        <v>17</v>
      </c>
      <c r="C156" s="4">
        <v>1</v>
      </c>
      <c r="D156" s="4">
        <f t="shared" si="92"/>
        <v>3</v>
      </c>
      <c r="E156" s="4" t="s">
        <v>48</v>
      </c>
      <c r="F156" t="s">
        <v>363</v>
      </c>
      <c r="G156" s="22" t="s">
        <v>228</v>
      </c>
      <c r="H156" s="22">
        <v>17</v>
      </c>
      <c r="I156" s="22" t="s">
        <v>63</v>
      </c>
      <c r="J156" s="4" t="str">
        <f t="shared" si="86"/>
        <v>升级石矿场至17级</v>
      </c>
      <c r="K156" s="4">
        <f t="shared" si="87"/>
        <v>11701030</v>
      </c>
      <c r="L156" s="4" t="str">
        <f t="shared" si="107"/>
        <v>TID_BranchLineTaskConf_204_8_taskName_GL_Main</v>
      </c>
      <c r="M156" s="4">
        <f t="shared" si="108"/>
        <v>11701020</v>
      </c>
      <c r="N156" s="4" t="s">
        <v>51</v>
      </c>
      <c r="O156" s="4" t="s">
        <v>52</v>
      </c>
      <c r="P156" s="4" t="str">
        <f t="shared" si="99"/>
        <v>taskReward{taskId:11701020}</v>
      </c>
      <c r="Q156" s="4" t="s">
        <v>52</v>
      </c>
      <c r="R156" s="4" t="s">
        <v>229</v>
      </c>
      <c r="S156" s="4" t="str">
        <f t="shared" si="88"/>
        <v>buildingLevelUp{buildingType:205,buildingLevel:17}</v>
      </c>
      <c r="T156" s="4" t="s">
        <v>52</v>
      </c>
      <c r="U156" s="4" t="s">
        <v>66</v>
      </c>
      <c r="V156" s="4" t="s">
        <v>230</v>
      </c>
      <c r="W156" s="4">
        <f>VLOOKUP(V156,[1]界面跳转!$I:$J,2,FALSE)</f>
        <v>7013</v>
      </c>
      <c r="Y156" s="4" t="s">
        <v>56</v>
      </c>
      <c r="Z156" s="4" t="s">
        <v>57</v>
      </c>
      <c r="AB156" s="4">
        <v>6622017</v>
      </c>
      <c r="AH156" s="4">
        <v>1</v>
      </c>
    </row>
    <row r="157" spans="1:34" x14ac:dyDescent="0.45">
      <c r="A157" s="4">
        <f t="shared" si="85"/>
        <v>11701040</v>
      </c>
      <c r="B157" s="22">
        <v>17</v>
      </c>
      <c r="C157" s="4">
        <v>1</v>
      </c>
      <c r="D157" s="4">
        <f t="shared" si="92"/>
        <v>4</v>
      </c>
      <c r="E157" s="4" t="s">
        <v>48</v>
      </c>
      <c r="F157" t="s">
        <v>364</v>
      </c>
      <c r="G157" s="22" t="s">
        <v>221</v>
      </c>
      <c r="H157" s="22">
        <v>17</v>
      </c>
      <c r="I157" s="22" t="s">
        <v>63</v>
      </c>
      <c r="J157" s="4" t="str">
        <f t="shared" si="86"/>
        <v>升级金矿场至17级</v>
      </c>
      <c r="K157" s="4">
        <f t="shared" si="87"/>
        <v>11701040</v>
      </c>
      <c r="L157" s="4" t="str">
        <f t="shared" si="107"/>
        <v>TID_BranchLineTaskConf_205_8_taskName_GL_Main</v>
      </c>
      <c r="M157" s="4">
        <f t="shared" si="108"/>
        <v>11701030</v>
      </c>
      <c r="N157" s="4" t="s">
        <v>51</v>
      </c>
      <c r="O157" s="4" t="s">
        <v>52</v>
      </c>
      <c r="P157" s="4" t="str">
        <f t="shared" si="99"/>
        <v>taskReward{taskId:11701030}</v>
      </c>
      <c r="Q157" s="4" t="s">
        <v>52</v>
      </c>
      <c r="R157" s="4" t="s">
        <v>222</v>
      </c>
      <c r="S157" s="4" t="str">
        <f t="shared" si="88"/>
        <v>buildingLevelUp{buildingType:234,buildingLevel:17}</v>
      </c>
      <c r="T157" s="4" t="s">
        <v>52</v>
      </c>
      <c r="U157" s="4" t="s">
        <v>223</v>
      </c>
      <c r="V157" s="4" t="s">
        <v>224</v>
      </c>
      <c r="W157" s="4">
        <f>VLOOKUP(V157,[1]界面跳转!$I:$J,2,FALSE)</f>
        <v>7067</v>
      </c>
      <c r="Y157" s="4" t="s">
        <v>56</v>
      </c>
      <c r="Z157" s="4" t="s">
        <v>57</v>
      </c>
      <c r="AB157" s="4">
        <v>6622017</v>
      </c>
      <c r="AH157" s="4">
        <v>1</v>
      </c>
    </row>
    <row r="158" spans="1:34" x14ac:dyDescent="0.45">
      <c r="A158" s="4">
        <f t="shared" si="85"/>
        <v>11701050</v>
      </c>
      <c r="B158" s="22">
        <v>17</v>
      </c>
      <c r="C158" s="4">
        <v>1</v>
      </c>
      <c r="D158" s="4">
        <f t="shared" si="92"/>
        <v>5</v>
      </c>
      <c r="E158" s="4" t="s">
        <v>48</v>
      </c>
      <c r="F158" t="s">
        <v>365</v>
      </c>
      <c r="G158" s="22" t="s">
        <v>71</v>
      </c>
      <c r="H158" s="22">
        <v>17</v>
      </c>
      <c r="I158" s="22" t="s">
        <v>63</v>
      </c>
      <c r="J158" s="4" t="str">
        <f t="shared" si="86"/>
        <v>升级磨坊至17级</v>
      </c>
      <c r="K158" s="4">
        <f t="shared" si="87"/>
        <v>11701050</v>
      </c>
      <c r="L158" s="4" t="str">
        <f t="shared" si="107"/>
        <v>TID_BranchLineTaskConf_234_8_taskName_GL_Main</v>
      </c>
      <c r="M158" s="4">
        <f t="shared" si="108"/>
        <v>11701040</v>
      </c>
      <c r="N158" s="4" t="s">
        <v>51</v>
      </c>
      <c r="O158" s="4" t="s">
        <v>52</v>
      </c>
      <c r="P158" s="4" t="str">
        <f t="shared" si="99"/>
        <v>taskReward{taskId:11701040}</v>
      </c>
      <c r="Q158" s="4" t="s">
        <v>52</v>
      </c>
      <c r="R158" s="4" t="s">
        <v>72</v>
      </c>
      <c r="S158" s="4" t="str">
        <f t="shared" si="88"/>
        <v>buildingLevelUp{buildingType:203,buildingLevel:17}</v>
      </c>
      <c r="T158" s="4" t="s">
        <v>52</v>
      </c>
      <c r="U158" s="4" t="s">
        <v>73</v>
      </c>
      <c r="V158" s="4" t="s">
        <v>181</v>
      </c>
      <c r="W158" s="4">
        <f>VLOOKUP(V158,[1]界面跳转!$I:$J,2,FALSE)</f>
        <v>7009</v>
      </c>
      <c r="Y158" s="4" t="s">
        <v>56</v>
      </c>
      <c r="Z158" s="4" t="s">
        <v>57</v>
      </c>
      <c r="AB158" s="4">
        <v>6622017</v>
      </c>
      <c r="AH158" s="4">
        <v>1</v>
      </c>
    </row>
    <row r="159" spans="1:34" x14ac:dyDescent="0.45">
      <c r="A159" s="4">
        <f t="shared" si="85"/>
        <v>11701060</v>
      </c>
      <c r="B159" s="22">
        <v>17</v>
      </c>
      <c r="C159" s="4">
        <v>1</v>
      </c>
      <c r="D159" s="4">
        <f t="shared" si="92"/>
        <v>6</v>
      </c>
      <c r="E159" s="4" t="s">
        <v>48</v>
      </c>
      <c r="F159" t="s">
        <v>366</v>
      </c>
      <c r="G159" s="22" t="s">
        <v>150</v>
      </c>
      <c r="H159" s="22">
        <v>17</v>
      </c>
      <c r="I159" s="22" t="s">
        <v>63</v>
      </c>
      <c r="J159" s="4" t="str">
        <f t="shared" si="86"/>
        <v>升级居民房舍至17级</v>
      </c>
      <c r="K159" s="4">
        <f t="shared" si="87"/>
        <v>11701060</v>
      </c>
      <c r="L159" s="4" t="str">
        <f t="shared" si="107"/>
        <v>TID_BranchLineTaskConf_203_8_taskName_GL_Main</v>
      </c>
      <c r="M159" s="4">
        <f t="shared" si="108"/>
        <v>11701050</v>
      </c>
      <c r="N159" s="4" t="s">
        <v>51</v>
      </c>
      <c r="O159" s="4" t="s">
        <v>52</v>
      </c>
      <c r="P159" s="4" t="str">
        <f t="shared" si="99"/>
        <v>taskReward{taskId:11701050}</v>
      </c>
      <c r="Q159" s="4" t="s">
        <v>52</v>
      </c>
      <c r="R159" s="4" t="s">
        <v>151</v>
      </c>
      <c r="S159" s="4" t="str">
        <f t="shared" si="88"/>
        <v>buildingLevelUp{buildingType:202,buildingLevel:17}</v>
      </c>
      <c r="T159" s="4" t="s">
        <v>52</v>
      </c>
      <c r="U159" s="4" t="s">
        <v>234</v>
      </c>
      <c r="V159" s="4" t="s">
        <v>153</v>
      </c>
      <c r="W159" s="4">
        <f>VLOOKUP(V159,[1]界面跳转!$I:$J,2,FALSE)</f>
        <v>7006</v>
      </c>
      <c r="Y159" s="4" t="s">
        <v>56</v>
      </c>
      <c r="Z159" s="4" t="s">
        <v>57</v>
      </c>
      <c r="AB159" s="4">
        <v>6622017</v>
      </c>
      <c r="AH159" s="4">
        <v>1</v>
      </c>
    </row>
    <row r="160" spans="1:34" x14ac:dyDescent="0.45">
      <c r="A160" s="4">
        <f t="shared" si="85"/>
        <v>11701070</v>
      </c>
      <c r="B160" s="22">
        <v>17</v>
      </c>
      <c r="C160" s="4">
        <v>1</v>
      </c>
      <c r="D160" s="4">
        <f t="shared" si="92"/>
        <v>7</v>
      </c>
      <c r="E160" s="4" t="s">
        <v>48</v>
      </c>
      <c r="F160" s="4" t="s">
        <v>367</v>
      </c>
      <c r="G160" s="22" t="s">
        <v>101</v>
      </c>
      <c r="H160" s="22">
        <v>17</v>
      </c>
      <c r="I160" s="22" t="s">
        <v>63</v>
      </c>
      <c r="J160" s="4" t="str">
        <f t="shared" si="86"/>
        <v>升级治疗房舍至17级</v>
      </c>
      <c r="K160" s="4">
        <f t="shared" si="87"/>
        <v>11701070</v>
      </c>
      <c r="L160" s="4" t="str">
        <f t="shared" si="107"/>
        <v>TID_BranchLineTaskConf_202_7_taskName_GL_Main</v>
      </c>
      <c r="M160" s="4">
        <f t="shared" si="108"/>
        <v>11701060</v>
      </c>
      <c r="N160" s="4" t="s">
        <v>51</v>
      </c>
      <c r="O160" s="4" t="s">
        <v>52</v>
      </c>
      <c r="P160" s="4" t="str">
        <f t="shared" si="99"/>
        <v>taskReward{taskId:11701060}</v>
      </c>
      <c r="Q160" s="4" t="s">
        <v>52</v>
      </c>
      <c r="R160" s="4" t="s">
        <v>102</v>
      </c>
      <c r="S160" s="4" t="str">
        <f t="shared" si="88"/>
        <v>buildingLevelUp{buildingType:222,buildingLevel:17}</v>
      </c>
      <c r="T160" s="4" t="s">
        <v>52</v>
      </c>
      <c r="U160" s="4" t="s">
        <v>103</v>
      </c>
      <c r="V160" s="4" t="s">
        <v>236</v>
      </c>
      <c r="W160" s="4">
        <f>VLOOKUP(V160,[1]界面跳转!$I:$J,2,FALSE)</f>
        <v>7041</v>
      </c>
      <c r="Y160" s="4" t="s">
        <v>56</v>
      </c>
      <c r="Z160" s="4" t="s">
        <v>57</v>
      </c>
      <c r="AB160" s="4">
        <v>6622017</v>
      </c>
      <c r="AH160" s="4">
        <v>1</v>
      </c>
    </row>
    <row r="161" spans="1:34" x14ac:dyDescent="0.45">
      <c r="A161" s="4">
        <f t="shared" ref="A161" si="121">10000000+B161*100000+C161*1000+D161*10</f>
        <v>11701080</v>
      </c>
      <c r="B161" s="22">
        <v>17</v>
      </c>
      <c r="C161" s="4">
        <v>1</v>
      </c>
      <c r="D161" s="4">
        <f t="shared" si="92"/>
        <v>8</v>
      </c>
      <c r="E161" s="4" t="s">
        <v>48</v>
      </c>
      <c r="F161" s="4" t="s">
        <v>368</v>
      </c>
      <c r="G161" s="22" t="s">
        <v>369</v>
      </c>
      <c r="H161" s="22">
        <v>17</v>
      </c>
      <c r="I161" s="22" t="s">
        <v>63</v>
      </c>
      <c r="J161" s="4" t="str">
        <f t="shared" ref="J161" si="122">G161&amp;H161&amp;I161</f>
        <v>升级马厩至17级</v>
      </c>
      <c r="K161" s="4">
        <f t="shared" ref="K161" si="123">A161</f>
        <v>11701080</v>
      </c>
      <c r="L161" s="4" t="str">
        <f t="shared" si="107"/>
        <v>TID_BranchLineTaskConf_222_11_taskName_GL_Main</v>
      </c>
      <c r="M161" s="4">
        <f t="shared" si="108"/>
        <v>11701070</v>
      </c>
      <c r="N161" s="4" t="s">
        <v>51</v>
      </c>
      <c r="O161" s="4" t="s">
        <v>52</v>
      </c>
      <c r="P161" s="4" t="str">
        <f t="shared" si="99"/>
        <v>taskReward{taskId:11701070}</v>
      </c>
      <c r="Q161" s="4" t="s">
        <v>52</v>
      </c>
      <c r="R161" s="4" t="s">
        <v>370</v>
      </c>
      <c r="S161" s="4" t="str">
        <f t="shared" ref="S161" si="124">SUBSTITUTE(R161,"@@@",H161)</f>
        <v>buildingLevelUp{buildingType:209,buildingLevel:17}</v>
      </c>
      <c r="T161" s="4" t="s">
        <v>52</v>
      </c>
      <c r="U161" s="4" t="s">
        <v>371</v>
      </c>
      <c r="V161" s="4" t="s">
        <v>372</v>
      </c>
      <c r="W161" s="4">
        <f>VLOOKUP(V161,[1]界面跳转!$I:$J,2,FALSE)</f>
        <v>7025</v>
      </c>
      <c r="Y161" s="4" t="s">
        <v>56</v>
      </c>
      <c r="Z161" s="4" t="s">
        <v>57</v>
      </c>
      <c r="AB161" s="4">
        <v>6622017</v>
      </c>
      <c r="AH161" s="4">
        <v>1</v>
      </c>
    </row>
    <row r="162" spans="1:34" x14ac:dyDescent="0.45">
      <c r="A162" s="4">
        <f t="shared" si="85"/>
        <v>11701090</v>
      </c>
      <c r="B162" s="22">
        <v>17</v>
      </c>
      <c r="C162" s="4">
        <v>1</v>
      </c>
      <c r="D162" s="4">
        <f t="shared" si="92"/>
        <v>9</v>
      </c>
      <c r="E162" s="4" t="s">
        <v>48</v>
      </c>
      <c r="F162" t="s">
        <v>373</v>
      </c>
      <c r="G162" s="22" t="s">
        <v>106</v>
      </c>
      <c r="H162" s="22">
        <v>17</v>
      </c>
      <c r="I162" s="22" t="s">
        <v>63</v>
      </c>
      <c r="J162" s="4" t="str">
        <f t="shared" si="86"/>
        <v>升级城墙至17级</v>
      </c>
      <c r="K162" s="4">
        <f t="shared" si="87"/>
        <v>11701090</v>
      </c>
      <c r="L162" s="4" t="str">
        <f t="shared" si="107"/>
        <v>TID_UpgradeBuildings_014</v>
      </c>
      <c r="M162" s="4">
        <f t="shared" si="108"/>
        <v>11701080</v>
      </c>
      <c r="N162" s="4" t="s">
        <v>51</v>
      </c>
      <c r="O162" s="4" t="s">
        <v>52</v>
      </c>
      <c r="P162" s="4" t="str">
        <f t="shared" si="99"/>
        <v>taskReward{taskId:11701080}</v>
      </c>
      <c r="Q162" s="4" t="s">
        <v>52</v>
      </c>
      <c r="R162" s="4" t="s">
        <v>107</v>
      </c>
      <c r="S162" s="4" t="str">
        <f t="shared" si="88"/>
        <v>buildingLevelUp{buildingType:215,buildingLevel:17}</v>
      </c>
      <c r="T162" s="4" t="s">
        <v>52</v>
      </c>
      <c r="U162" s="4" t="s">
        <v>108</v>
      </c>
      <c r="V162" s="4" t="s">
        <v>249</v>
      </c>
      <c r="W162" s="4">
        <f>VLOOKUP(V162,[1]界面跳转!$I:$J,2,FALSE)</f>
        <v>7039</v>
      </c>
      <c r="Y162" s="4" t="s">
        <v>56</v>
      </c>
      <c r="Z162" s="4" t="s">
        <v>57</v>
      </c>
      <c r="AB162" s="4">
        <v>6622017</v>
      </c>
      <c r="AH162" s="4">
        <v>1</v>
      </c>
    </row>
    <row r="163" spans="1:34" ht="16.149999999999999" customHeight="1" x14ac:dyDescent="0.45">
      <c r="A163" s="4">
        <f t="shared" si="85"/>
        <v>11701100</v>
      </c>
      <c r="B163" s="22">
        <v>17</v>
      </c>
      <c r="C163" s="4">
        <v>1</v>
      </c>
      <c r="D163" s="4">
        <f t="shared" si="92"/>
        <v>10</v>
      </c>
      <c r="E163" s="4" t="s">
        <v>48</v>
      </c>
      <c r="F163" s="4" t="s">
        <v>374</v>
      </c>
      <c r="G163" s="45" t="s">
        <v>96</v>
      </c>
      <c r="H163" s="45">
        <v>18</v>
      </c>
      <c r="I163" s="45" t="s">
        <v>63</v>
      </c>
      <c r="J163" s="4" t="str">
        <f t="shared" si="86"/>
        <v>升级城镇中心至18级</v>
      </c>
      <c r="K163" s="4">
        <f t="shared" si="87"/>
        <v>11701100</v>
      </c>
      <c r="L163" s="4" t="str">
        <f t="shared" si="107"/>
        <v>TID_BranchLineTaskConf_215_14_taskName_GL_Main</v>
      </c>
      <c r="M163" s="4">
        <f t="shared" si="108"/>
        <v>11701090</v>
      </c>
      <c r="N163" s="4" t="s">
        <v>51</v>
      </c>
      <c r="O163" s="4" t="s">
        <v>52</v>
      </c>
      <c r="P163" s="4" t="str">
        <f t="shared" si="99"/>
        <v>taskReward{taskId:11701090}</v>
      </c>
      <c r="Q163" s="4" t="s">
        <v>52</v>
      </c>
      <c r="R163" s="4" t="s">
        <v>97</v>
      </c>
      <c r="S163" s="4" t="str">
        <f t="shared" si="88"/>
        <v>buildingLevelUp{buildingType:201,buildingLevel:18}</v>
      </c>
      <c r="T163" s="4" t="s">
        <v>52</v>
      </c>
      <c r="U163" s="4" t="s">
        <v>98</v>
      </c>
      <c r="V163" s="4" t="s">
        <v>251</v>
      </c>
      <c r="W163" s="4">
        <f>VLOOKUP(V163,[1]界面跳转!$I:$J,2,FALSE)</f>
        <v>7001</v>
      </c>
      <c r="Y163" s="4" t="s">
        <v>56</v>
      </c>
      <c r="Z163" s="4" t="s">
        <v>57</v>
      </c>
      <c r="AB163" s="4">
        <v>6622018</v>
      </c>
      <c r="AG163" s="4">
        <v>1</v>
      </c>
      <c r="AH163" s="4">
        <v>1</v>
      </c>
    </row>
    <row r="164" spans="1:34" x14ac:dyDescent="0.45">
      <c r="A164" s="4">
        <v>11801030</v>
      </c>
      <c r="B164" s="22">
        <v>18</v>
      </c>
      <c r="C164" s="4">
        <v>1</v>
      </c>
      <c r="D164" s="4">
        <v>3</v>
      </c>
      <c r="E164" s="4" t="s">
        <v>48</v>
      </c>
      <c r="F164" t="s">
        <v>375</v>
      </c>
      <c r="G164" s="22" t="s">
        <v>67</v>
      </c>
      <c r="H164" s="22">
        <v>18</v>
      </c>
      <c r="I164" s="22" t="s">
        <v>63</v>
      </c>
      <c r="J164" s="4" t="str">
        <f t="shared" si="86"/>
        <v>升级伐木场至18级</v>
      </c>
      <c r="K164" s="4">
        <f t="shared" si="87"/>
        <v>11801030</v>
      </c>
      <c r="L164" s="4" t="str">
        <f>F163</f>
        <v>TID_BranchLineTaskConf_11710110_taskName_GL_Main</v>
      </c>
      <c r="M164" s="4">
        <f t="shared" si="108"/>
        <v>11701100</v>
      </c>
      <c r="N164" s="4" t="s">
        <v>51</v>
      </c>
      <c r="O164" s="4" t="s">
        <v>52</v>
      </c>
      <c r="P164" s="4" t="str">
        <f t="shared" si="99"/>
        <v>taskReward{taskId:11701100}</v>
      </c>
      <c r="Q164" s="4" t="s">
        <v>52</v>
      </c>
      <c r="R164" s="4" t="s">
        <v>68</v>
      </c>
      <c r="S164" s="4" t="str">
        <f t="shared" si="88"/>
        <v>buildingLevelUp{buildingType:204,buildingLevel:18}</v>
      </c>
      <c r="T164" s="4" t="s">
        <v>52</v>
      </c>
      <c r="U164" s="4" t="s">
        <v>69</v>
      </c>
      <c r="V164" s="4" t="s">
        <v>226</v>
      </c>
      <c r="W164" s="4">
        <f>VLOOKUP(V164,[1]界面跳转!$I:$J,2,FALSE)</f>
        <v>7011</v>
      </c>
      <c r="Y164" s="4" t="s">
        <v>56</v>
      </c>
      <c r="Z164" s="4" t="s">
        <v>57</v>
      </c>
      <c r="AB164" s="4">
        <v>6622018</v>
      </c>
      <c r="AH164" s="4">
        <v>1</v>
      </c>
    </row>
    <row r="165" spans="1:34" x14ac:dyDescent="0.45">
      <c r="A165" s="4">
        <v>11801040</v>
      </c>
      <c r="B165" s="22">
        <v>18</v>
      </c>
      <c r="C165" s="4">
        <v>1</v>
      </c>
      <c r="D165" s="4">
        <v>4</v>
      </c>
      <c r="E165" s="4" t="s">
        <v>48</v>
      </c>
      <c r="F165" t="s">
        <v>376</v>
      </c>
      <c r="G165" s="22" t="s">
        <v>228</v>
      </c>
      <c r="H165" s="22">
        <v>18</v>
      </c>
      <c r="I165" s="22" t="s">
        <v>63</v>
      </c>
      <c r="J165" s="4" t="str">
        <f t="shared" si="86"/>
        <v>升级石矿场至18级</v>
      </c>
      <c r="K165" s="4">
        <f t="shared" si="87"/>
        <v>11801040</v>
      </c>
      <c r="L165" s="4" t="str">
        <f t="shared" si="107"/>
        <v>TID_BranchLineTaskConf_204_9_taskName_GL_Main</v>
      </c>
      <c r="M165" s="4">
        <f t="shared" si="108"/>
        <v>11801030</v>
      </c>
      <c r="N165" s="4" t="s">
        <v>51</v>
      </c>
      <c r="O165" s="4" t="s">
        <v>52</v>
      </c>
      <c r="P165" s="4" t="str">
        <f t="shared" si="99"/>
        <v>taskReward{taskId:11801030}</v>
      </c>
      <c r="Q165" s="4" t="s">
        <v>52</v>
      </c>
      <c r="R165" s="4" t="s">
        <v>229</v>
      </c>
      <c r="S165" s="4" t="str">
        <f t="shared" si="88"/>
        <v>buildingLevelUp{buildingType:205,buildingLevel:18}</v>
      </c>
      <c r="T165" s="4" t="s">
        <v>52</v>
      </c>
      <c r="U165" s="4" t="s">
        <v>66</v>
      </c>
      <c r="V165" s="4" t="s">
        <v>230</v>
      </c>
      <c r="W165" s="4">
        <f>VLOOKUP(V165,[1]界面跳转!$I:$J,2,FALSE)</f>
        <v>7013</v>
      </c>
      <c r="Y165" s="4" t="s">
        <v>56</v>
      </c>
      <c r="Z165" s="4" t="s">
        <v>57</v>
      </c>
      <c r="AB165" s="4">
        <v>6622018</v>
      </c>
      <c r="AH165" s="4">
        <v>1</v>
      </c>
    </row>
    <row r="166" spans="1:34" x14ac:dyDescent="0.45">
      <c r="A166" s="4">
        <v>11801050</v>
      </c>
      <c r="B166" s="22">
        <v>18</v>
      </c>
      <c r="C166" s="4">
        <v>1</v>
      </c>
      <c r="D166" s="4">
        <v>5</v>
      </c>
      <c r="E166" s="4" t="s">
        <v>48</v>
      </c>
      <c r="F166" t="s">
        <v>377</v>
      </c>
      <c r="G166" s="22" t="s">
        <v>221</v>
      </c>
      <c r="H166" s="22">
        <v>18</v>
      </c>
      <c r="I166" s="22" t="s">
        <v>63</v>
      </c>
      <c r="J166" s="4" t="str">
        <f t="shared" si="86"/>
        <v>升级金矿场至18级</v>
      </c>
      <c r="K166" s="4">
        <f t="shared" si="87"/>
        <v>11801050</v>
      </c>
      <c r="L166" s="4" t="str">
        <f t="shared" si="107"/>
        <v>TID_BranchLineTaskConf_205_9_taskName_GL_Main</v>
      </c>
      <c r="M166" s="4">
        <f t="shared" si="108"/>
        <v>11801040</v>
      </c>
      <c r="N166" s="4" t="s">
        <v>51</v>
      </c>
      <c r="O166" s="4" t="s">
        <v>52</v>
      </c>
      <c r="P166" s="4" t="str">
        <f t="shared" si="99"/>
        <v>taskReward{taskId:11801040}</v>
      </c>
      <c r="Q166" s="4" t="s">
        <v>52</v>
      </c>
      <c r="R166" s="4" t="s">
        <v>222</v>
      </c>
      <c r="S166" s="4" t="str">
        <f t="shared" si="88"/>
        <v>buildingLevelUp{buildingType:234,buildingLevel:18}</v>
      </c>
      <c r="T166" s="4" t="s">
        <v>52</v>
      </c>
      <c r="U166" s="4" t="s">
        <v>223</v>
      </c>
      <c r="V166" s="4" t="s">
        <v>224</v>
      </c>
      <c r="W166" s="4">
        <f>VLOOKUP(V166,[1]界面跳转!$I:$J,2,FALSE)</f>
        <v>7067</v>
      </c>
      <c r="Y166" s="4" t="s">
        <v>56</v>
      </c>
      <c r="Z166" s="4" t="s">
        <v>57</v>
      </c>
      <c r="AB166" s="4">
        <v>6622018</v>
      </c>
      <c r="AH166" s="4">
        <v>1</v>
      </c>
    </row>
    <row r="167" spans="1:34" x14ac:dyDescent="0.45">
      <c r="A167" s="4">
        <v>11801060</v>
      </c>
      <c r="B167" s="22">
        <v>18</v>
      </c>
      <c r="C167" s="4">
        <v>1</v>
      </c>
      <c r="D167" s="4">
        <v>6</v>
      </c>
      <c r="E167" s="4" t="s">
        <v>48</v>
      </c>
      <c r="F167" t="s">
        <v>378</v>
      </c>
      <c r="G167" s="22" t="s">
        <v>71</v>
      </c>
      <c r="H167" s="22">
        <v>18</v>
      </c>
      <c r="I167" s="22" t="s">
        <v>63</v>
      </c>
      <c r="J167" s="4" t="str">
        <f t="shared" si="86"/>
        <v>升级磨坊至18级</v>
      </c>
      <c r="K167" s="4">
        <f t="shared" si="87"/>
        <v>11801060</v>
      </c>
      <c r="L167" s="4" t="str">
        <f t="shared" si="107"/>
        <v>TID_BranchLineTaskConf_234_9_taskName_GL_Main</v>
      </c>
      <c r="M167" s="4">
        <f t="shared" si="108"/>
        <v>11801050</v>
      </c>
      <c r="N167" s="4" t="s">
        <v>51</v>
      </c>
      <c r="O167" s="4" t="s">
        <v>52</v>
      </c>
      <c r="P167" s="4" t="str">
        <f t="shared" si="99"/>
        <v>taskReward{taskId:11801050}</v>
      </c>
      <c r="Q167" s="4" t="s">
        <v>52</v>
      </c>
      <c r="R167" s="4" t="s">
        <v>72</v>
      </c>
      <c r="S167" s="4" t="str">
        <f t="shared" si="88"/>
        <v>buildingLevelUp{buildingType:203,buildingLevel:18}</v>
      </c>
      <c r="T167" s="4" t="s">
        <v>52</v>
      </c>
      <c r="U167" s="4" t="s">
        <v>73</v>
      </c>
      <c r="V167" s="4" t="s">
        <v>181</v>
      </c>
      <c r="W167" s="4">
        <f>VLOOKUP(V167,[1]界面跳转!$I:$J,2,FALSE)</f>
        <v>7009</v>
      </c>
      <c r="Y167" s="4" t="s">
        <v>56</v>
      </c>
      <c r="Z167" s="4" t="s">
        <v>57</v>
      </c>
      <c r="AB167" s="4">
        <v>6622018</v>
      </c>
      <c r="AH167" s="4">
        <v>1</v>
      </c>
    </row>
    <row r="168" spans="1:34" x14ac:dyDescent="0.45">
      <c r="A168" s="4">
        <v>11801070</v>
      </c>
      <c r="B168" s="22">
        <v>18</v>
      </c>
      <c r="C168" s="4">
        <v>1</v>
      </c>
      <c r="D168" s="4">
        <v>7</v>
      </c>
      <c r="E168" s="4" t="s">
        <v>48</v>
      </c>
      <c r="F168" t="s">
        <v>379</v>
      </c>
      <c r="G168" s="22" t="s">
        <v>150</v>
      </c>
      <c r="H168" s="22">
        <v>18</v>
      </c>
      <c r="I168" s="22" t="s">
        <v>63</v>
      </c>
      <c r="J168" s="4" t="str">
        <f t="shared" si="86"/>
        <v>升级居民房舍至18级</v>
      </c>
      <c r="K168" s="4">
        <f t="shared" si="87"/>
        <v>11801070</v>
      </c>
      <c r="L168" s="4" t="str">
        <f t="shared" si="107"/>
        <v>TID_BranchLineTaskConf_203_9_taskName_GL_Main</v>
      </c>
      <c r="M168" s="4">
        <f t="shared" si="108"/>
        <v>11801060</v>
      </c>
      <c r="N168" s="4" t="s">
        <v>51</v>
      </c>
      <c r="O168" s="4" t="s">
        <v>52</v>
      </c>
      <c r="P168" s="4" t="str">
        <f t="shared" si="99"/>
        <v>taskReward{taskId:11801060}</v>
      </c>
      <c r="Q168" s="4" t="s">
        <v>52</v>
      </c>
      <c r="R168" s="4" t="s">
        <v>151</v>
      </c>
      <c r="S168" s="4" t="str">
        <f t="shared" si="88"/>
        <v>buildingLevelUp{buildingType:202,buildingLevel:18}</v>
      </c>
      <c r="T168" s="4" t="s">
        <v>52</v>
      </c>
      <c r="U168" s="4" t="s">
        <v>234</v>
      </c>
      <c r="V168" s="4" t="s">
        <v>153</v>
      </c>
      <c r="W168" s="4">
        <f>VLOOKUP(V168,[1]界面跳转!$I:$J,2,FALSE)</f>
        <v>7006</v>
      </c>
      <c r="Y168" s="4" t="s">
        <v>56</v>
      </c>
      <c r="Z168" s="4" t="s">
        <v>57</v>
      </c>
      <c r="AB168" s="4">
        <v>6622018</v>
      </c>
      <c r="AH168" s="4">
        <v>1</v>
      </c>
    </row>
    <row r="169" spans="1:34" x14ac:dyDescent="0.45">
      <c r="A169" s="4">
        <v>11801080</v>
      </c>
      <c r="B169" s="22">
        <v>18</v>
      </c>
      <c r="C169" s="4">
        <v>1</v>
      </c>
      <c r="D169" s="4">
        <v>8</v>
      </c>
      <c r="E169" s="4" t="s">
        <v>48</v>
      </c>
      <c r="F169" s="4" t="s">
        <v>380</v>
      </c>
      <c r="G169" s="22" t="s">
        <v>101</v>
      </c>
      <c r="H169" s="22">
        <v>18</v>
      </c>
      <c r="I169" s="22" t="s">
        <v>63</v>
      </c>
      <c r="J169" s="4" t="str">
        <f t="shared" ref="J169:J275" si="125">G169&amp;H169&amp;I169</f>
        <v>升级治疗房舍至18级</v>
      </c>
      <c r="K169" s="4">
        <f t="shared" ref="K169:K275" si="126">A169</f>
        <v>11801080</v>
      </c>
      <c r="L169" s="4" t="str">
        <f t="shared" si="107"/>
        <v>TID_BranchLineTaskConf_202_8_taskName_GL_Main</v>
      </c>
      <c r="M169" s="4">
        <f t="shared" si="108"/>
        <v>11801070</v>
      </c>
      <c r="N169" s="4" t="s">
        <v>51</v>
      </c>
      <c r="O169" s="4" t="s">
        <v>52</v>
      </c>
      <c r="P169" s="4" t="str">
        <f t="shared" si="99"/>
        <v>taskReward{taskId:11801070}</v>
      </c>
      <c r="Q169" s="4" t="s">
        <v>52</v>
      </c>
      <c r="R169" s="4" t="s">
        <v>102</v>
      </c>
      <c r="S169" s="4" t="str">
        <f t="shared" ref="S169:S275" si="127">SUBSTITUTE(R169,"@@@",H169)</f>
        <v>buildingLevelUp{buildingType:222,buildingLevel:18}</v>
      </c>
      <c r="T169" s="4" t="s">
        <v>52</v>
      </c>
      <c r="U169" s="4" t="s">
        <v>103</v>
      </c>
      <c r="V169" s="4" t="s">
        <v>236</v>
      </c>
      <c r="W169" s="4">
        <f>VLOOKUP(V169,[1]界面跳转!$I:$J,2,FALSE)</f>
        <v>7041</v>
      </c>
      <c r="Y169" s="4" t="s">
        <v>56</v>
      </c>
      <c r="Z169" s="4" t="s">
        <v>57</v>
      </c>
      <c r="AB169" s="4">
        <v>6622018</v>
      </c>
      <c r="AH169" s="4">
        <v>1</v>
      </c>
    </row>
    <row r="170" spans="1:34" x14ac:dyDescent="0.45">
      <c r="A170" s="4">
        <v>11801090</v>
      </c>
      <c r="B170" s="22">
        <v>18</v>
      </c>
      <c r="C170" s="4">
        <v>1</v>
      </c>
      <c r="D170" s="4">
        <v>9</v>
      </c>
      <c r="E170" s="4" t="s">
        <v>48</v>
      </c>
      <c r="F170" t="s">
        <v>381</v>
      </c>
      <c r="G170" s="22" t="s">
        <v>319</v>
      </c>
      <c r="H170" s="22">
        <v>18</v>
      </c>
      <c r="I170" s="22" t="s">
        <v>63</v>
      </c>
      <c r="J170" s="4" t="str">
        <f t="shared" si="125"/>
        <v>升级大使馆至18级</v>
      </c>
      <c r="K170" s="4">
        <f t="shared" si="126"/>
        <v>11801090</v>
      </c>
      <c r="L170" s="4" t="str">
        <f t="shared" si="107"/>
        <v>TID_BranchLineTaskConf_222_12_taskName_GL_Main</v>
      </c>
      <c r="M170" s="4">
        <f t="shared" si="108"/>
        <v>11801080</v>
      </c>
      <c r="N170" s="4" t="s">
        <v>51</v>
      </c>
      <c r="O170" s="4" t="s">
        <v>52</v>
      </c>
      <c r="P170" s="4" t="str">
        <f t="shared" si="99"/>
        <v>taskReward{taskId:11801080}</v>
      </c>
      <c r="Q170" s="4" t="s">
        <v>52</v>
      </c>
      <c r="R170" s="4" t="s">
        <v>320</v>
      </c>
      <c r="S170" s="4" t="str">
        <f t="shared" si="127"/>
        <v>buildingLevelUp{buildingType:230,buildingLevel:18}</v>
      </c>
      <c r="T170" s="4" t="s">
        <v>52</v>
      </c>
      <c r="U170" s="4" t="s">
        <v>321</v>
      </c>
      <c r="V170" s="4" t="s">
        <v>322</v>
      </c>
      <c r="W170" s="4">
        <f>VLOOKUP(V170,[1]界面跳转!$I:$J,2,FALSE)</f>
        <v>7055</v>
      </c>
      <c r="Y170" s="4" t="s">
        <v>56</v>
      </c>
      <c r="Z170" s="4" t="s">
        <v>57</v>
      </c>
      <c r="AB170" s="4">
        <v>6622018</v>
      </c>
      <c r="AH170" s="4">
        <v>1</v>
      </c>
    </row>
    <row r="171" spans="1:34" x14ac:dyDescent="0.45">
      <c r="A171" s="4">
        <v>11801100</v>
      </c>
      <c r="B171" s="22">
        <v>18</v>
      </c>
      <c r="C171" s="4">
        <v>1</v>
      </c>
      <c r="D171" s="4">
        <v>10</v>
      </c>
      <c r="E171" s="4" t="s">
        <v>48</v>
      </c>
      <c r="F171" t="s">
        <v>382</v>
      </c>
      <c r="G171" s="22" t="s">
        <v>106</v>
      </c>
      <c r="H171" s="22">
        <v>18</v>
      </c>
      <c r="I171" s="22" t="s">
        <v>63</v>
      </c>
      <c r="J171" s="4" t="str">
        <f t="shared" ref="J171" si="128">G171&amp;H171&amp;I171</f>
        <v>升级城墙至18级</v>
      </c>
      <c r="K171" s="4">
        <f t="shared" ref="K171" si="129">A171</f>
        <v>11801100</v>
      </c>
      <c r="L171" s="4" t="str">
        <f t="shared" si="107"/>
        <v>TID_BranchLineTaskConf_230_14_taskName_GL_Main</v>
      </c>
      <c r="M171" s="4">
        <f t="shared" si="108"/>
        <v>11801090</v>
      </c>
      <c r="N171" s="4" t="s">
        <v>51</v>
      </c>
      <c r="O171" s="4" t="s">
        <v>52</v>
      </c>
      <c r="P171" s="4" t="str">
        <f t="shared" si="99"/>
        <v>taskReward{taskId:11801090}</v>
      </c>
      <c r="Q171" s="4" t="s">
        <v>52</v>
      </c>
      <c r="R171" s="4" t="s">
        <v>107</v>
      </c>
      <c r="S171" s="4" t="str">
        <f t="shared" ref="S171" si="130">SUBSTITUTE(R171,"@@@",H171)</f>
        <v>buildingLevelUp{buildingType:215,buildingLevel:18}</v>
      </c>
      <c r="T171" s="4" t="s">
        <v>52</v>
      </c>
      <c r="U171" s="4" t="s">
        <v>108</v>
      </c>
      <c r="V171" s="4" t="s">
        <v>249</v>
      </c>
      <c r="W171" s="4">
        <f>VLOOKUP(V171,[1]界面跳转!$I:$J,2,FALSE)</f>
        <v>7039</v>
      </c>
      <c r="Y171" s="4" t="s">
        <v>56</v>
      </c>
      <c r="Z171" s="4" t="s">
        <v>57</v>
      </c>
      <c r="AB171" s="4">
        <v>6622018</v>
      </c>
      <c r="AH171" s="4">
        <v>1</v>
      </c>
    </row>
    <row r="172" spans="1:34" ht="16.149999999999999" customHeight="1" x14ac:dyDescent="0.45">
      <c r="A172" s="4">
        <v>11801110</v>
      </c>
      <c r="B172" s="22">
        <v>18</v>
      </c>
      <c r="C172" s="4">
        <v>1</v>
      </c>
      <c r="D172" s="4">
        <v>11</v>
      </c>
      <c r="E172" s="4" t="s">
        <v>48</v>
      </c>
      <c r="F172" s="4" t="s">
        <v>383</v>
      </c>
      <c r="G172" s="45" t="s">
        <v>96</v>
      </c>
      <c r="H172" s="45">
        <v>19</v>
      </c>
      <c r="I172" s="45" t="s">
        <v>63</v>
      </c>
      <c r="J172" s="4" t="str">
        <f t="shared" si="125"/>
        <v>升级城镇中心至19级</v>
      </c>
      <c r="K172" s="4">
        <f t="shared" si="126"/>
        <v>11801110</v>
      </c>
      <c r="L172" s="4" t="str">
        <f t="shared" si="107"/>
        <v>TID_BranchLineTaskConf_215_15_taskName_GL_Main</v>
      </c>
      <c r="M172" s="4">
        <f t="shared" si="108"/>
        <v>11801100</v>
      </c>
      <c r="N172" s="4" t="s">
        <v>51</v>
      </c>
      <c r="O172" s="4" t="s">
        <v>52</v>
      </c>
      <c r="P172" s="4" t="str">
        <f t="shared" si="99"/>
        <v>taskReward{taskId:11801100}</v>
      </c>
      <c r="Q172" s="4" t="s">
        <v>52</v>
      </c>
      <c r="R172" s="4" t="s">
        <v>97</v>
      </c>
      <c r="S172" s="4" t="str">
        <f t="shared" si="127"/>
        <v>buildingLevelUp{buildingType:201,buildingLevel:19}</v>
      </c>
      <c r="T172" s="4" t="s">
        <v>52</v>
      </c>
      <c r="U172" s="4" t="s">
        <v>98</v>
      </c>
      <c r="V172" s="4" t="s">
        <v>251</v>
      </c>
      <c r="W172" s="4">
        <f>VLOOKUP(V172,[1]界面跳转!$I:$J,2,FALSE)</f>
        <v>7001</v>
      </c>
      <c r="Y172" s="4" t="s">
        <v>56</v>
      </c>
      <c r="Z172" s="4" t="s">
        <v>57</v>
      </c>
      <c r="AB172" s="4">
        <v>6622019</v>
      </c>
      <c r="AG172" s="4">
        <v>1</v>
      </c>
      <c r="AH172" s="4">
        <v>1</v>
      </c>
    </row>
    <row r="173" spans="1:34" x14ac:dyDescent="0.45">
      <c r="A173" s="4">
        <f t="shared" ref="A173:A181" si="131">10000000+B173*100000+C173*1000+D173*10</f>
        <v>11901010</v>
      </c>
      <c r="B173" s="22">
        <v>19</v>
      </c>
      <c r="C173" s="4">
        <v>1</v>
      </c>
      <c r="D173" s="4">
        <f t="shared" si="92"/>
        <v>1</v>
      </c>
      <c r="E173" s="4" t="s">
        <v>48</v>
      </c>
      <c r="F173" t="s">
        <v>384</v>
      </c>
      <c r="G173" s="22" t="s">
        <v>67</v>
      </c>
      <c r="H173" s="22">
        <v>19</v>
      </c>
      <c r="I173" s="22" t="s">
        <v>63</v>
      </c>
      <c r="J173" s="4" t="str">
        <f t="shared" ref="J173:J181" si="132">G173&amp;H173&amp;I173</f>
        <v>升级伐木场至19级</v>
      </c>
      <c r="K173" s="4">
        <f t="shared" ref="K173:K181" si="133">A173</f>
        <v>11901010</v>
      </c>
      <c r="L173" s="4" t="str">
        <f t="shared" si="107"/>
        <v>TID_BranchLineTaskConf_11810110_taskName_GL_Main</v>
      </c>
      <c r="M173" s="4">
        <f t="shared" si="108"/>
        <v>11801110</v>
      </c>
      <c r="N173" s="4" t="s">
        <v>51</v>
      </c>
      <c r="O173" s="4" t="s">
        <v>52</v>
      </c>
      <c r="P173" s="4" t="str">
        <f t="shared" si="99"/>
        <v>taskReward{taskId:11801110}</v>
      </c>
      <c r="Q173" s="4" t="s">
        <v>52</v>
      </c>
      <c r="R173" s="4" t="s">
        <v>68</v>
      </c>
      <c r="S173" s="4" t="str">
        <f t="shared" ref="S173:S181" si="134">SUBSTITUTE(R173,"@@@",H173)</f>
        <v>buildingLevelUp{buildingType:204,buildingLevel:19}</v>
      </c>
      <c r="T173" s="4" t="s">
        <v>52</v>
      </c>
      <c r="U173" s="4" t="s">
        <v>69</v>
      </c>
      <c r="V173" s="4" t="s">
        <v>226</v>
      </c>
      <c r="W173" s="4">
        <f>VLOOKUP(V173,[1]界面跳转!$I:$J,2,FALSE)</f>
        <v>7011</v>
      </c>
      <c r="Y173" s="4" t="s">
        <v>56</v>
      </c>
      <c r="Z173" s="4" t="s">
        <v>57</v>
      </c>
      <c r="AB173" s="4">
        <v>6622019</v>
      </c>
      <c r="AH173" s="4">
        <v>1</v>
      </c>
    </row>
    <row r="174" spans="1:34" x14ac:dyDescent="0.45">
      <c r="A174" s="4">
        <f t="shared" si="131"/>
        <v>11901020</v>
      </c>
      <c r="B174" s="22">
        <v>19</v>
      </c>
      <c r="C174" s="4">
        <v>1</v>
      </c>
      <c r="D174" s="4">
        <f t="shared" si="92"/>
        <v>2</v>
      </c>
      <c r="E174" s="4" t="s">
        <v>48</v>
      </c>
      <c r="F174" t="s">
        <v>385</v>
      </c>
      <c r="G174" s="22" t="s">
        <v>228</v>
      </c>
      <c r="H174" s="22">
        <v>19</v>
      </c>
      <c r="I174" s="22" t="s">
        <v>63</v>
      </c>
      <c r="J174" s="4" t="str">
        <f t="shared" si="132"/>
        <v>升级石矿场至19级</v>
      </c>
      <c r="K174" s="4">
        <f t="shared" si="133"/>
        <v>11901020</v>
      </c>
      <c r="L174" s="4" t="str">
        <f t="shared" si="107"/>
        <v>TID_BranchLineTaskConf_204_10_taskName_GL_Main</v>
      </c>
      <c r="M174" s="4">
        <f t="shared" si="108"/>
        <v>11901010</v>
      </c>
      <c r="N174" s="4" t="s">
        <v>51</v>
      </c>
      <c r="O174" s="4" t="s">
        <v>52</v>
      </c>
      <c r="P174" s="4" t="str">
        <f t="shared" si="99"/>
        <v>taskReward{taskId:11901010}</v>
      </c>
      <c r="Q174" s="4" t="s">
        <v>52</v>
      </c>
      <c r="R174" s="4" t="s">
        <v>229</v>
      </c>
      <c r="S174" s="4" t="str">
        <f t="shared" si="134"/>
        <v>buildingLevelUp{buildingType:205,buildingLevel:19}</v>
      </c>
      <c r="T174" s="4" t="s">
        <v>52</v>
      </c>
      <c r="U174" s="4" t="s">
        <v>66</v>
      </c>
      <c r="V174" s="4" t="s">
        <v>230</v>
      </c>
      <c r="W174" s="4">
        <f>VLOOKUP(V174,[1]界面跳转!$I:$J,2,FALSE)</f>
        <v>7013</v>
      </c>
      <c r="Y174" s="4" t="s">
        <v>56</v>
      </c>
      <c r="Z174" s="4" t="s">
        <v>57</v>
      </c>
      <c r="AB174" s="4">
        <v>6622019</v>
      </c>
      <c r="AH174" s="4">
        <v>1</v>
      </c>
    </row>
    <row r="175" spans="1:34" x14ac:dyDescent="0.45">
      <c r="A175" s="4">
        <f t="shared" si="131"/>
        <v>11901030</v>
      </c>
      <c r="B175" s="22">
        <v>19</v>
      </c>
      <c r="C175" s="4">
        <v>1</v>
      </c>
      <c r="D175" s="4">
        <f t="shared" si="92"/>
        <v>3</v>
      </c>
      <c r="E175" s="4" t="s">
        <v>48</v>
      </c>
      <c r="F175" t="s">
        <v>386</v>
      </c>
      <c r="G175" s="22" t="s">
        <v>221</v>
      </c>
      <c r="H175" s="22">
        <v>19</v>
      </c>
      <c r="I175" s="22" t="s">
        <v>63</v>
      </c>
      <c r="J175" s="4" t="str">
        <f t="shared" si="132"/>
        <v>升级金矿场至19级</v>
      </c>
      <c r="K175" s="4">
        <f t="shared" si="133"/>
        <v>11901030</v>
      </c>
      <c r="L175" s="4" t="str">
        <f t="shared" si="107"/>
        <v>TID_BranchLineTaskConf_205_10_taskName_GL_Main</v>
      </c>
      <c r="M175" s="4">
        <f t="shared" si="108"/>
        <v>11901020</v>
      </c>
      <c r="N175" s="4" t="s">
        <v>51</v>
      </c>
      <c r="O175" s="4" t="s">
        <v>52</v>
      </c>
      <c r="P175" s="4" t="str">
        <f t="shared" si="99"/>
        <v>taskReward{taskId:11901020}</v>
      </c>
      <c r="Q175" s="4" t="s">
        <v>52</v>
      </c>
      <c r="R175" s="4" t="s">
        <v>222</v>
      </c>
      <c r="S175" s="4" t="str">
        <f t="shared" si="134"/>
        <v>buildingLevelUp{buildingType:234,buildingLevel:19}</v>
      </c>
      <c r="T175" s="4" t="s">
        <v>52</v>
      </c>
      <c r="U175" s="4" t="s">
        <v>223</v>
      </c>
      <c r="V175" s="4" t="s">
        <v>224</v>
      </c>
      <c r="W175" s="4">
        <f>VLOOKUP(V175,[1]界面跳转!$I:$J,2,FALSE)</f>
        <v>7067</v>
      </c>
      <c r="Y175" s="4" t="s">
        <v>56</v>
      </c>
      <c r="Z175" s="4" t="s">
        <v>57</v>
      </c>
      <c r="AB175" s="4">
        <v>6622019</v>
      </c>
      <c r="AH175" s="4">
        <v>1</v>
      </c>
    </row>
    <row r="176" spans="1:34" x14ac:dyDescent="0.45">
      <c r="A176" s="4">
        <f t="shared" si="131"/>
        <v>11901040</v>
      </c>
      <c r="B176" s="22">
        <v>19</v>
      </c>
      <c r="C176" s="4">
        <v>1</v>
      </c>
      <c r="D176" s="4">
        <f t="shared" si="92"/>
        <v>4</v>
      </c>
      <c r="E176" s="4" t="s">
        <v>48</v>
      </c>
      <c r="F176" t="s">
        <v>387</v>
      </c>
      <c r="G176" s="22" t="s">
        <v>71</v>
      </c>
      <c r="H176" s="22">
        <v>19</v>
      </c>
      <c r="I176" s="22" t="s">
        <v>63</v>
      </c>
      <c r="J176" s="4" t="str">
        <f t="shared" si="132"/>
        <v>升级磨坊至19级</v>
      </c>
      <c r="K176" s="4">
        <f t="shared" si="133"/>
        <v>11901040</v>
      </c>
      <c r="L176" s="4" t="str">
        <f t="shared" si="107"/>
        <v>TID_BranchLineTaskConf_234_10_taskName_GL_Main</v>
      </c>
      <c r="M176" s="4">
        <f t="shared" si="108"/>
        <v>11901030</v>
      </c>
      <c r="N176" s="4" t="s">
        <v>51</v>
      </c>
      <c r="O176" s="4" t="s">
        <v>52</v>
      </c>
      <c r="P176" s="4" t="str">
        <f t="shared" si="99"/>
        <v>taskReward{taskId:11901030}</v>
      </c>
      <c r="Q176" s="4" t="s">
        <v>52</v>
      </c>
      <c r="R176" s="4" t="s">
        <v>72</v>
      </c>
      <c r="S176" s="4" t="str">
        <f t="shared" si="134"/>
        <v>buildingLevelUp{buildingType:203,buildingLevel:19}</v>
      </c>
      <c r="T176" s="4" t="s">
        <v>52</v>
      </c>
      <c r="U176" s="4" t="s">
        <v>73</v>
      </c>
      <c r="V176" s="4" t="s">
        <v>181</v>
      </c>
      <c r="W176" s="4">
        <f>VLOOKUP(V176,[1]界面跳转!$I:$J,2,FALSE)</f>
        <v>7009</v>
      </c>
      <c r="Y176" s="4" t="s">
        <v>56</v>
      </c>
      <c r="Z176" s="4" t="s">
        <v>57</v>
      </c>
      <c r="AB176" s="4">
        <v>6622019</v>
      </c>
      <c r="AH176" s="4">
        <v>1</v>
      </c>
    </row>
    <row r="177" spans="1:34" x14ac:dyDescent="0.45">
      <c r="A177" s="4">
        <f t="shared" si="131"/>
        <v>11901050</v>
      </c>
      <c r="B177" s="22">
        <v>19</v>
      </c>
      <c r="C177" s="4">
        <v>1</v>
      </c>
      <c r="D177" s="4">
        <f t="shared" ref="D177:D182" si="135">IF(B177=B176,D176+1,1)</f>
        <v>5</v>
      </c>
      <c r="E177" s="4" t="s">
        <v>48</v>
      </c>
      <c r="F177" t="s">
        <v>388</v>
      </c>
      <c r="G177" s="22" t="s">
        <v>150</v>
      </c>
      <c r="H177" s="22">
        <v>19</v>
      </c>
      <c r="I177" s="22" t="s">
        <v>63</v>
      </c>
      <c r="J177" s="4" t="str">
        <f t="shared" si="132"/>
        <v>升级居民房舍至19级</v>
      </c>
      <c r="K177" s="4">
        <f t="shared" si="133"/>
        <v>11901050</v>
      </c>
      <c r="L177" s="4" t="str">
        <f t="shared" si="107"/>
        <v>TID_BranchLineTaskConf_203_10_taskName_GL_Main</v>
      </c>
      <c r="M177" s="4">
        <f t="shared" si="108"/>
        <v>11901040</v>
      </c>
      <c r="N177" s="4" t="s">
        <v>51</v>
      </c>
      <c r="O177" s="4" t="s">
        <v>52</v>
      </c>
      <c r="P177" s="4" t="str">
        <f t="shared" si="99"/>
        <v>taskReward{taskId:11901040}</v>
      </c>
      <c r="Q177" s="4" t="s">
        <v>52</v>
      </c>
      <c r="R177" s="4" t="s">
        <v>151</v>
      </c>
      <c r="S177" s="4" t="str">
        <f t="shared" si="134"/>
        <v>buildingLevelUp{buildingType:202,buildingLevel:19}</v>
      </c>
      <c r="T177" s="4" t="s">
        <v>52</v>
      </c>
      <c r="U177" s="4" t="s">
        <v>234</v>
      </c>
      <c r="V177" s="4" t="s">
        <v>153</v>
      </c>
      <c r="W177" s="4">
        <f>VLOOKUP(V177,[1]界面跳转!$I:$J,2,FALSE)</f>
        <v>7006</v>
      </c>
      <c r="Y177" s="4" t="s">
        <v>56</v>
      </c>
      <c r="Z177" s="4" t="s">
        <v>57</v>
      </c>
      <c r="AB177" s="4">
        <v>6622019</v>
      </c>
      <c r="AH177" s="4">
        <v>1</v>
      </c>
    </row>
    <row r="178" spans="1:34" x14ac:dyDescent="0.45">
      <c r="A178" s="4">
        <f t="shared" si="131"/>
        <v>11901060</v>
      </c>
      <c r="B178" s="22">
        <v>19</v>
      </c>
      <c r="C178" s="4">
        <v>1</v>
      </c>
      <c r="D178" s="4">
        <f t="shared" si="135"/>
        <v>6</v>
      </c>
      <c r="E178" s="4" t="s">
        <v>48</v>
      </c>
      <c r="F178" s="34" t="s">
        <v>389</v>
      </c>
      <c r="G178" s="22" t="s">
        <v>124</v>
      </c>
      <c r="H178" s="22">
        <v>19</v>
      </c>
      <c r="I178" s="22" t="s">
        <v>63</v>
      </c>
      <c r="J178" s="4" t="str">
        <f t="shared" si="132"/>
        <v>升级学院至19级</v>
      </c>
      <c r="K178" s="4">
        <f t="shared" si="133"/>
        <v>11901060</v>
      </c>
      <c r="L178" s="4" t="str">
        <f t="shared" si="107"/>
        <v>TID_BranchLineTaskConf_202_9_taskName_GL_Main</v>
      </c>
      <c r="M178" s="4">
        <f t="shared" si="108"/>
        <v>11901050</v>
      </c>
      <c r="N178" s="4" t="s">
        <v>51</v>
      </c>
      <c r="O178" s="4" t="s">
        <v>52</v>
      </c>
      <c r="P178" s="4" t="str">
        <f t="shared" si="99"/>
        <v>taskReward{taskId:11901050}</v>
      </c>
      <c r="Q178" s="4" t="s">
        <v>52</v>
      </c>
      <c r="R178" s="4" t="s">
        <v>125</v>
      </c>
      <c r="S178" s="4" t="str">
        <f t="shared" si="134"/>
        <v>buildingLevelUp{buildingType:211,buildingLevel:19}</v>
      </c>
      <c r="T178" s="4" t="s">
        <v>52</v>
      </c>
      <c r="U178" s="4" t="s">
        <v>126</v>
      </c>
      <c r="V178" s="4" t="s">
        <v>127</v>
      </c>
      <c r="W178" s="4">
        <f>VLOOKUP(V178,[1]界面跳转!$I:$J,2,FALSE)</f>
        <v>7029</v>
      </c>
      <c r="Y178" s="4" t="s">
        <v>56</v>
      </c>
      <c r="Z178" s="4" t="s">
        <v>57</v>
      </c>
      <c r="AB178" s="4">
        <v>6622019</v>
      </c>
      <c r="AH178" s="4">
        <v>1</v>
      </c>
    </row>
    <row r="179" spans="1:34" x14ac:dyDescent="0.45">
      <c r="A179" s="4">
        <f t="shared" si="131"/>
        <v>11901070</v>
      </c>
      <c r="B179" s="22">
        <v>19</v>
      </c>
      <c r="C179" s="4">
        <v>1</v>
      </c>
      <c r="D179" s="4">
        <f t="shared" si="135"/>
        <v>7</v>
      </c>
      <c r="E179" s="4" t="s">
        <v>48</v>
      </c>
      <c r="F179" s="4" t="s">
        <v>390</v>
      </c>
      <c r="G179" s="22" t="s">
        <v>101</v>
      </c>
      <c r="H179" s="22">
        <v>19</v>
      </c>
      <c r="I179" s="22" t="s">
        <v>63</v>
      </c>
      <c r="J179" s="4" t="str">
        <f t="shared" si="132"/>
        <v>升级治疗房舍至19级</v>
      </c>
      <c r="K179" s="4">
        <f t="shared" si="133"/>
        <v>11901070</v>
      </c>
      <c r="L179" s="4" t="str">
        <f t="shared" si="107"/>
        <v>TID_BranchLineTaskConf_211_18_taskName_GL_Main</v>
      </c>
      <c r="M179" s="4">
        <f t="shared" si="108"/>
        <v>11901060</v>
      </c>
      <c r="N179" s="4" t="s">
        <v>51</v>
      </c>
      <c r="O179" s="4" t="s">
        <v>52</v>
      </c>
      <c r="P179" s="4" t="str">
        <f t="shared" si="99"/>
        <v>taskReward{taskId:11901060}</v>
      </c>
      <c r="Q179" s="4" t="s">
        <v>52</v>
      </c>
      <c r="R179" s="4" t="s">
        <v>102</v>
      </c>
      <c r="S179" s="4" t="str">
        <f t="shared" si="134"/>
        <v>buildingLevelUp{buildingType:222,buildingLevel:19}</v>
      </c>
      <c r="T179" s="4" t="s">
        <v>52</v>
      </c>
      <c r="U179" s="4" t="s">
        <v>103</v>
      </c>
      <c r="V179" s="4" t="s">
        <v>236</v>
      </c>
      <c r="W179" s="4">
        <f>VLOOKUP(V179,[1]界面跳转!$I:$J,2,FALSE)</f>
        <v>7041</v>
      </c>
      <c r="Y179" s="4" t="s">
        <v>56</v>
      </c>
      <c r="Z179" s="4" t="s">
        <v>57</v>
      </c>
      <c r="AB179" s="4">
        <v>6622019</v>
      </c>
      <c r="AH179" s="4">
        <v>1</v>
      </c>
    </row>
    <row r="180" spans="1:34" x14ac:dyDescent="0.45">
      <c r="A180" s="4">
        <f t="shared" si="131"/>
        <v>11901080</v>
      </c>
      <c r="B180" s="22">
        <v>19</v>
      </c>
      <c r="C180" s="4">
        <v>1</v>
      </c>
      <c r="D180" s="4">
        <f t="shared" si="135"/>
        <v>8</v>
      </c>
      <c r="E180" s="4" t="s">
        <v>48</v>
      </c>
      <c r="F180" t="s">
        <v>391</v>
      </c>
      <c r="G180" s="22" t="s">
        <v>106</v>
      </c>
      <c r="H180" s="22">
        <v>19</v>
      </c>
      <c r="I180" s="22" t="s">
        <v>63</v>
      </c>
      <c r="J180" s="4" t="str">
        <f t="shared" si="132"/>
        <v>升级城墙至19级</v>
      </c>
      <c r="K180" s="4">
        <f t="shared" si="133"/>
        <v>11901080</v>
      </c>
      <c r="L180" s="4" t="str">
        <f t="shared" si="107"/>
        <v>TID_BranchLineTaskConf_222_13_taskName_GL_Main</v>
      </c>
      <c r="M180" s="4">
        <f t="shared" si="108"/>
        <v>11901070</v>
      </c>
      <c r="N180" s="4" t="s">
        <v>51</v>
      </c>
      <c r="O180" s="4" t="s">
        <v>52</v>
      </c>
      <c r="P180" s="4" t="str">
        <f t="shared" si="99"/>
        <v>taskReward{taskId:11901070}</v>
      </c>
      <c r="Q180" s="4" t="s">
        <v>52</v>
      </c>
      <c r="R180" s="4" t="s">
        <v>107</v>
      </c>
      <c r="S180" s="4" t="str">
        <f t="shared" si="134"/>
        <v>buildingLevelUp{buildingType:215,buildingLevel:19}</v>
      </c>
      <c r="T180" s="4" t="s">
        <v>52</v>
      </c>
      <c r="U180" s="4" t="s">
        <v>108</v>
      </c>
      <c r="V180" s="4" t="s">
        <v>249</v>
      </c>
      <c r="W180" s="4">
        <f>VLOOKUP(V180,[1]界面跳转!$I:$J,2,FALSE)</f>
        <v>7039</v>
      </c>
      <c r="Y180" s="4" t="s">
        <v>56</v>
      </c>
      <c r="Z180" s="4" t="s">
        <v>57</v>
      </c>
      <c r="AB180" s="4">
        <v>6622019</v>
      </c>
      <c r="AH180" s="4">
        <v>1</v>
      </c>
    </row>
    <row r="181" spans="1:34" ht="16.149999999999999" customHeight="1" x14ac:dyDescent="0.45">
      <c r="A181" s="4">
        <f t="shared" si="131"/>
        <v>11901090</v>
      </c>
      <c r="B181" s="22">
        <v>19</v>
      </c>
      <c r="C181" s="4">
        <v>1</v>
      </c>
      <c r="D181" s="4">
        <f t="shared" si="135"/>
        <v>9</v>
      </c>
      <c r="E181" s="4" t="s">
        <v>48</v>
      </c>
      <c r="F181" s="4" t="s">
        <v>392</v>
      </c>
      <c r="G181" s="45" t="s">
        <v>96</v>
      </c>
      <c r="H181" s="45">
        <v>20</v>
      </c>
      <c r="I181" s="45" t="s">
        <v>63</v>
      </c>
      <c r="J181" s="4" t="str">
        <f t="shared" si="132"/>
        <v>升级城镇中心至20级</v>
      </c>
      <c r="K181" s="4">
        <f t="shared" si="133"/>
        <v>11901090</v>
      </c>
      <c r="L181" s="4" t="str">
        <f t="shared" si="107"/>
        <v>TID_BranchLineTaskConf_215_16_taskName_GL_Main</v>
      </c>
      <c r="M181" s="4">
        <f t="shared" si="108"/>
        <v>11901080</v>
      </c>
      <c r="N181" s="4" t="s">
        <v>51</v>
      </c>
      <c r="O181" s="4" t="s">
        <v>52</v>
      </c>
      <c r="P181" s="4" t="str">
        <f t="shared" si="99"/>
        <v>taskReward{taskId:11901080}</v>
      </c>
      <c r="Q181" s="4" t="s">
        <v>52</v>
      </c>
      <c r="R181" s="4" t="s">
        <v>97</v>
      </c>
      <c r="S181" s="4" t="str">
        <f t="shared" si="134"/>
        <v>buildingLevelUp{buildingType:201,buildingLevel:20}</v>
      </c>
      <c r="T181" s="4" t="s">
        <v>52</v>
      </c>
      <c r="U181" s="4" t="s">
        <v>98</v>
      </c>
      <c r="V181" s="4" t="s">
        <v>251</v>
      </c>
      <c r="W181" s="4">
        <f>VLOOKUP(V181,[1]界面跳转!$I:$J,2,FALSE)</f>
        <v>7001</v>
      </c>
      <c r="Y181" s="4" t="s">
        <v>56</v>
      </c>
      <c r="Z181" s="4" t="s">
        <v>57</v>
      </c>
      <c r="AB181" s="4">
        <v>6622020</v>
      </c>
      <c r="AG181" s="4">
        <v>1</v>
      </c>
      <c r="AH181" s="4">
        <v>1</v>
      </c>
    </row>
    <row r="182" spans="1:34" x14ac:dyDescent="0.45">
      <c r="A182" s="4">
        <f t="shared" ref="A182:A275" si="136">10000000+B182*100000+C182*1000+D182*10</f>
        <v>12001010</v>
      </c>
      <c r="B182" s="22">
        <v>20</v>
      </c>
      <c r="C182" s="4">
        <v>1</v>
      </c>
      <c r="D182" s="4">
        <f t="shared" si="135"/>
        <v>1</v>
      </c>
      <c r="E182" s="4" t="s">
        <v>48</v>
      </c>
      <c r="F182" t="s">
        <v>393</v>
      </c>
      <c r="G182" s="22" t="s">
        <v>67</v>
      </c>
      <c r="H182" s="22">
        <v>20</v>
      </c>
      <c r="I182" s="22" t="s">
        <v>63</v>
      </c>
      <c r="J182" s="4" t="str">
        <f t="shared" si="125"/>
        <v>升级伐木场至20级</v>
      </c>
      <c r="K182" s="4">
        <f t="shared" si="126"/>
        <v>12001010</v>
      </c>
      <c r="L182" s="4" t="str">
        <f t="shared" si="107"/>
        <v>TID_BranchLineTaskConf_11910110_taskName_GL_Main</v>
      </c>
      <c r="M182" s="4">
        <f t="shared" si="108"/>
        <v>11901090</v>
      </c>
      <c r="N182" s="4" t="s">
        <v>51</v>
      </c>
      <c r="O182" s="4" t="s">
        <v>52</v>
      </c>
      <c r="P182" s="4" t="str">
        <f t="shared" si="99"/>
        <v>taskReward{taskId:11901090}</v>
      </c>
      <c r="Q182" s="4" t="s">
        <v>52</v>
      </c>
      <c r="R182" s="4" t="s">
        <v>68</v>
      </c>
      <c r="S182" s="4" t="str">
        <f t="shared" si="127"/>
        <v>buildingLevelUp{buildingType:204,buildingLevel:20}</v>
      </c>
      <c r="T182" s="4" t="s">
        <v>52</v>
      </c>
      <c r="U182" s="4" t="s">
        <v>69</v>
      </c>
      <c r="V182" s="4" t="s">
        <v>226</v>
      </c>
      <c r="W182" s="4">
        <f>VLOOKUP(V182,[1]界面跳转!$I:$J,2,FALSE)</f>
        <v>7011</v>
      </c>
      <c r="Y182" s="4" t="s">
        <v>56</v>
      </c>
      <c r="Z182" s="4" t="s">
        <v>57</v>
      </c>
      <c r="AB182" s="4">
        <v>6622020</v>
      </c>
      <c r="AH182" s="4">
        <v>1</v>
      </c>
    </row>
    <row r="183" spans="1:34" x14ac:dyDescent="0.45">
      <c r="A183" s="4">
        <f t="shared" si="136"/>
        <v>12001020</v>
      </c>
      <c r="B183" s="22">
        <v>20</v>
      </c>
      <c r="C183" s="4">
        <v>1</v>
      </c>
      <c r="D183" s="4">
        <f t="shared" ref="D183:D189" si="137">IF(B183=B182,D182+1,1)</f>
        <v>2</v>
      </c>
      <c r="E183" s="4" t="s">
        <v>48</v>
      </c>
      <c r="F183" t="s">
        <v>394</v>
      </c>
      <c r="G183" s="22" t="s">
        <v>228</v>
      </c>
      <c r="H183" s="22">
        <v>20</v>
      </c>
      <c r="I183" s="22" t="s">
        <v>63</v>
      </c>
      <c r="J183" s="4" t="str">
        <f t="shared" si="125"/>
        <v>升级石矿场至20级</v>
      </c>
      <c r="K183" s="4">
        <f t="shared" si="126"/>
        <v>12001020</v>
      </c>
      <c r="L183" s="4" t="str">
        <f t="shared" si="107"/>
        <v>TID_BranchLineTaskConf_204_11_taskName_GL_Main</v>
      </c>
      <c r="M183" s="4">
        <f t="shared" si="108"/>
        <v>12001010</v>
      </c>
      <c r="N183" s="4" t="s">
        <v>51</v>
      </c>
      <c r="O183" s="4" t="s">
        <v>52</v>
      </c>
      <c r="P183" s="4" t="str">
        <f t="shared" si="99"/>
        <v>taskReward{taskId:12001010}</v>
      </c>
      <c r="Q183" s="4" t="s">
        <v>52</v>
      </c>
      <c r="R183" s="4" t="s">
        <v>229</v>
      </c>
      <c r="S183" s="4" t="str">
        <f t="shared" si="127"/>
        <v>buildingLevelUp{buildingType:205,buildingLevel:20}</v>
      </c>
      <c r="T183" s="4" t="s">
        <v>52</v>
      </c>
      <c r="U183" s="4" t="s">
        <v>66</v>
      </c>
      <c r="V183" s="4" t="s">
        <v>230</v>
      </c>
      <c r="W183" s="4">
        <f>VLOOKUP(V183,[1]界面跳转!$I:$J,2,FALSE)</f>
        <v>7013</v>
      </c>
      <c r="Y183" s="4" t="s">
        <v>56</v>
      </c>
      <c r="Z183" s="4" t="s">
        <v>57</v>
      </c>
      <c r="AB183" s="4">
        <v>6622020</v>
      </c>
      <c r="AH183" s="4">
        <v>1</v>
      </c>
    </row>
    <row r="184" spans="1:34" x14ac:dyDescent="0.45">
      <c r="A184" s="4">
        <f t="shared" si="136"/>
        <v>12001030</v>
      </c>
      <c r="B184" s="22">
        <v>20</v>
      </c>
      <c r="C184" s="4">
        <v>1</v>
      </c>
      <c r="D184" s="4">
        <f t="shared" si="137"/>
        <v>3</v>
      </c>
      <c r="E184" s="4" t="s">
        <v>48</v>
      </c>
      <c r="F184" t="s">
        <v>395</v>
      </c>
      <c r="G184" s="22" t="s">
        <v>221</v>
      </c>
      <c r="H184" s="22">
        <v>20</v>
      </c>
      <c r="I184" s="22" t="s">
        <v>63</v>
      </c>
      <c r="J184" s="4" t="str">
        <f t="shared" si="125"/>
        <v>升级金矿场至20级</v>
      </c>
      <c r="K184" s="4">
        <f t="shared" si="126"/>
        <v>12001030</v>
      </c>
      <c r="L184" s="4" t="str">
        <f t="shared" si="107"/>
        <v>TID_BranchLineTaskConf_205_11_taskName_GL_Main</v>
      </c>
      <c r="M184" s="4">
        <f t="shared" si="108"/>
        <v>12001020</v>
      </c>
      <c r="N184" s="4" t="s">
        <v>51</v>
      </c>
      <c r="O184" s="4" t="s">
        <v>52</v>
      </c>
      <c r="P184" s="4" t="str">
        <f t="shared" si="99"/>
        <v>taskReward{taskId:12001020}</v>
      </c>
      <c r="Q184" s="4" t="s">
        <v>52</v>
      </c>
      <c r="R184" s="4" t="s">
        <v>222</v>
      </c>
      <c r="S184" s="4" t="str">
        <f t="shared" si="127"/>
        <v>buildingLevelUp{buildingType:234,buildingLevel:20}</v>
      </c>
      <c r="T184" s="4" t="s">
        <v>52</v>
      </c>
      <c r="U184" s="4" t="s">
        <v>223</v>
      </c>
      <c r="V184" s="4" t="s">
        <v>224</v>
      </c>
      <c r="W184" s="4">
        <f>VLOOKUP(V184,[1]界面跳转!$I:$J,2,FALSE)</f>
        <v>7067</v>
      </c>
      <c r="Y184" s="4" t="s">
        <v>56</v>
      </c>
      <c r="Z184" s="4" t="s">
        <v>57</v>
      </c>
      <c r="AB184" s="4">
        <v>6622020</v>
      </c>
      <c r="AH184" s="4">
        <v>1</v>
      </c>
    </row>
    <row r="185" spans="1:34" x14ac:dyDescent="0.45">
      <c r="A185" s="4">
        <f t="shared" si="136"/>
        <v>12001040</v>
      </c>
      <c r="B185" s="22">
        <v>20</v>
      </c>
      <c r="C185" s="4">
        <v>1</v>
      </c>
      <c r="D185" s="4">
        <f t="shared" si="137"/>
        <v>4</v>
      </c>
      <c r="E185" s="4" t="s">
        <v>48</v>
      </c>
      <c r="F185" t="s">
        <v>396</v>
      </c>
      <c r="G185" s="22" t="s">
        <v>71</v>
      </c>
      <c r="H185" s="22">
        <v>20</v>
      </c>
      <c r="I185" s="22" t="s">
        <v>63</v>
      </c>
      <c r="J185" s="4" t="str">
        <f t="shared" si="125"/>
        <v>升级磨坊至20级</v>
      </c>
      <c r="K185" s="4">
        <f t="shared" si="126"/>
        <v>12001040</v>
      </c>
      <c r="L185" s="4" t="str">
        <f t="shared" si="107"/>
        <v>TID_BranchLineTaskConf_234_11_taskName_GL_Main</v>
      </c>
      <c r="M185" s="4">
        <f t="shared" si="108"/>
        <v>12001030</v>
      </c>
      <c r="N185" s="4" t="s">
        <v>51</v>
      </c>
      <c r="O185" s="4" t="s">
        <v>52</v>
      </c>
      <c r="P185" s="4" t="str">
        <f t="shared" si="99"/>
        <v>taskReward{taskId:12001030}</v>
      </c>
      <c r="Q185" s="4" t="s">
        <v>52</v>
      </c>
      <c r="R185" s="4" t="s">
        <v>72</v>
      </c>
      <c r="S185" s="4" t="str">
        <f t="shared" si="127"/>
        <v>buildingLevelUp{buildingType:203,buildingLevel:20}</v>
      </c>
      <c r="T185" s="4" t="s">
        <v>52</v>
      </c>
      <c r="U185" s="4" t="s">
        <v>73</v>
      </c>
      <c r="V185" s="4" t="s">
        <v>181</v>
      </c>
      <c r="W185" s="4">
        <f>VLOOKUP(V185,[1]界面跳转!$I:$J,2,FALSE)</f>
        <v>7009</v>
      </c>
      <c r="Y185" s="4" t="s">
        <v>56</v>
      </c>
      <c r="Z185" s="4" t="s">
        <v>57</v>
      </c>
      <c r="AB185" s="4">
        <v>6622020</v>
      </c>
      <c r="AH185" s="4">
        <v>1</v>
      </c>
    </row>
    <row r="186" spans="1:34" x14ac:dyDescent="0.45">
      <c r="A186" s="4">
        <f t="shared" si="136"/>
        <v>12001050</v>
      </c>
      <c r="B186" s="22">
        <v>20</v>
      </c>
      <c r="C186" s="4">
        <v>1</v>
      </c>
      <c r="D186" s="4">
        <f t="shared" si="137"/>
        <v>5</v>
      </c>
      <c r="E186" s="4" t="s">
        <v>48</v>
      </c>
      <c r="F186" t="s">
        <v>397</v>
      </c>
      <c r="G186" s="22" t="s">
        <v>150</v>
      </c>
      <c r="H186" s="22">
        <v>20</v>
      </c>
      <c r="I186" s="22" t="s">
        <v>63</v>
      </c>
      <c r="J186" s="4" t="str">
        <f t="shared" si="125"/>
        <v>升级居民房舍至20级</v>
      </c>
      <c r="K186" s="4">
        <f t="shared" si="126"/>
        <v>12001050</v>
      </c>
      <c r="L186" s="4" t="str">
        <f t="shared" si="107"/>
        <v>TID_BranchLineTaskConf_203_11_taskName_GL_Main</v>
      </c>
      <c r="M186" s="4">
        <f t="shared" si="108"/>
        <v>12001040</v>
      </c>
      <c r="N186" s="4" t="s">
        <v>51</v>
      </c>
      <c r="O186" s="4" t="s">
        <v>52</v>
      </c>
      <c r="P186" s="4" t="str">
        <f t="shared" si="99"/>
        <v>taskReward{taskId:12001040}</v>
      </c>
      <c r="Q186" s="4" t="s">
        <v>52</v>
      </c>
      <c r="R186" s="4" t="s">
        <v>151</v>
      </c>
      <c r="S186" s="4" t="str">
        <f t="shared" si="127"/>
        <v>buildingLevelUp{buildingType:202,buildingLevel:20}</v>
      </c>
      <c r="T186" s="4" t="s">
        <v>52</v>
      </c>
      <c r="U186" s="4" t="s">
        <v>234</v>
      </c>
      <c r="V186" s="4" t="s">
        <v>153</v>
      </c>
      <c r="W186" s="4">
        <f>VLOOKUP(V186,[1]界面跳转!$I:$J,2,FALSE)</f>
        <v>7006</v>
      </c>
      <c r="Y186" s="4" t="s">
        <v>56</v>
      </c>
      <c r="Z186" s="4" t="s">
        <v>57</v>
      </c>
      <c r="AB186" s="4">
        <v>6622020</v>
      </c>
      <c r="AH186" s="4">
        <v>1</v>
      </c>
    </row>
    <row r="187" spans="1:34" x14ac:dyDescent="0.45">
      <c r="A187" s="4">
        <f t="shared" si="136"/>
        <v>12001060</v>
      </c>
      <c r="B187" s="22">
        <v>20</v>
      </c>
      <c r="C187" s="4">
        <v>1</v>
      </c>
      <c r="D187" s="4">
        <f t="shared" si="137"/>
        <v>6</v>
      </c>
      <c r="E187" s="4" t="s">
        <v>48</v>
      </c>
      <c r="F187" s="4" t="s">
        <v>398</v>
      </c>
      <c r="G187" s="22" t="s">
        <v>101</v>
      </c>
      <c r="H187" s="22">
        <v>20</v>
      </c>
      <c r="I187" s="22" t="s">
        <v>63</v>
      </c>
      <c r="J187" s="4" t="str">
        <f t="shared" si="125"/>
        <v>升级治疗房舍至20级</v>
      </c>
      <c r="K187" s="4">
        <f t="shared" si="126"/>
        <v>12001060</v>
      </c>
      <c r="L187" s="4" t="str">
        <f t="shared" si="107"/>
        <v>TID_BranchLineTaskConf_202_10_taskName_GL_Main</v>
      </c>
      <c r="M187" s="4">
        <f t="shared" si="108"/>
        <v>12001050</v>
      </c>
      <c r="N187" s="4" t="s">
        <v>51</v>
      </c>
      <c r="O187" s="4" t="s">
        <v>52</v>
      </c>
      <c r="P187" s="4" t="str">
        <f t="shared" si="99"/>
        <v>taskReward{taskId:12001050}</v>
      </c>
      <c r="Q187" s="4" t="s">
        <v>52</v>
      </c>
      <c r="R187" s="4" t="s">
        <v>102</v>
      </c>
      <c r="S187" s="4" t="str">
        <f t="shared" si="127"/>
        <v>buildingLevelUp{buildingType:222,buildingLevel:20}</v>
      </c>
      <c r="T187" s="4" t="s">
        <v>52</v>
      </c>
      <c r="U187" s="4" t="s">
        <v>103</v>
      </c>
      <c r="V187" s="4" t="s">
        <v>236</v>
      </c>
      <c r="W187" s="4">
        <f>VLOOKUP(V187,[1]界面跳转!$I:$J,2,FALSE)</f>
        <v>7041</v>
      </c>
      <c r="Y187" s="4" t="s">
        <v>56</v>
      </c>
      <c r="Z187" s="4" t="s">
        <v>57</v>
      </c>
      <c r="AB187" s="4">
        <v>6622020</v>
      </c>
      <c r="AH187" s="4">
        <v>1</v>
      </c>
    </row>
    <row r="188" spans="1:34" x14ac:dyDescent="0.45">
      <c r="A188" s="4">
        <f t="shared" ref="A188" si="138">10000000+B188*100000+C188*1000+D188*10</f>
        <v>12001070</v>
      </c>
      <c r="B188" s="22">
        <v>20</v>
      </c>
      <c r="C188" s="4">
        <v>1</v>
      </c>
      <c r="D188" s="4">
        <f t="shared" si="137"/>
        <v>7</v>
      </c>
      <c r="E188" s="4" t="s">
        <v>48</v>
      </c>
      <c r="F188" t="s">
        <v>399</v>
      </c>
      <c r="G188" s="22" t="s">
        <v>106</v>
      </c>
      <c r="H188" s="22">
        <v>20</v>
      </c>
      <c r="I188" s="22" t="s">
        <v>63</v>
      </c>
      <c r="J188" s="4" t="str">
        <f t="shared" ref="J188" si="139">G188&amp;H188&amp;I188</f>
        <v>升级城墙至20级</v>
      </c>
      <c r="K188" s="4">
        <f t="shared" ref="K188" si="140">A188</f>
        <v>12001070</v>
      </c>
      <c r="L188" s="4" t="str">
        <f t="shared" si="107"/>
        <v>TID_BranchLineTaskConf_222_14_taskName_GL_Main</v>
      </c>
      <c r="M188" s="4">
        <f t="shared" si="108"/>
        <v>12001060</v>
      </c>
      <c r="N188" s="4" t="s">
        <v>51</v>
      </c>
      <c r="O188" s="4" t="s">
        <v>52</v>
      </c>
      <c r="P188" s="4" t="str">
        <f t="shared" si="99"/>
        <v>taskReward{taskId:12001060}</v>
      </c>
      <c r="Q188" s="4" t="s">
        <v>52</v>
      </c>
      <c r="R188" s="4" t="s">
        <v>107</v>
      </c>
      <c r="S188" s="4" t="str">
        <f t="shared" ref="S188" si="141">SUBSTITUTE(R188,"@@@",H188)</f>
        <v>buildingLevelUp{buildingType:215,buildingLevel:20}</v>
      </c>
      <c r="T188" s="4" t="s">
        <v>52</v>
      </c>
      <c r="U188" s="4" t="s">
        <v>108</v>
      </c>
      <c r="V188" s="4" t="s">
        <v>249</v>
      </c>
      <c r="W188" s="4">
        <f>VLOOKUP(V188,[1]界面跳转!$I:$J,2,FALSE)</f>
        <v>7039</v>
      </c>
      <c r="Y188" s="4" t="s">
        <v>56</v>
      </c>
      <c r="Z188" s="4" t="s">
        <v>57</v>
      </c>
      <c r="AB188" s="4">
        <v>6622020</v>
      </c>
      <c r="AH188" s="4">
        <v>1</v>
      </c>
    </row>
    <row r="189" spans="1:34" ht="16.149999999999999" customHeight="1" x14ac:dyDescent="0.45">
      <c r="A189" s="4">
        <f t="shared" ref="A189:A217" si="142">10000000+B189*100000+C189*1000+D189*10</f>
        <v>12001080</v>
      </c>
      <c r="B189" s="22">
        <v>20</v>
      </c>
      <c r="C189" s="4">
        <v>1</v>
      </c>
      <c r="D189" s="4">
        <f t="shared" si="137"/>
        <v>8</v>
      </c>
      <c r="E189" s="4" t="s">
        <v>48</v>
      </c>
      <c r="F189" t="s">
        <v>400</v>
      </c>
      <c r="G189" s="45" t="s">
        <v>96</v>
      </c>
      <c r="H189" s="45">
        <v>21</v>
      </c>
      <c r="I189" s="45" t="s">
        <v>63</v>
      </c>
      <c r="J189" s="4" t="str">
        <f t="shared" ref="J189:J217" si="143">G189&amp;H189&amp;I189</f>
        <v>升级城镇中心至21级</v>
      </c>
      <c r="K189" s="4">
        <f t="shared" ref="K189:K217" si="144">A189</f>
        <v>12001080</v>
      </c>
      <c r="L189" s="4" t="str">
        <f t="shared" si="107"/>
        <v>TID_BranchLineTaskConf_215_17_taskName_GL_Main</v>
      </c>
      <c r="M189" s="4">
        <f t="shared" si="108"/>
        <v>12001070</v>
      </c>
      <c r="N189" s="4" t="s">
        <v>51</v>
      </c>
      <c r="O189" s="4" t="s">
        <v>52</v>
      </c>
      <c r="P189" s="4" t="str">
        <f t="shared" ref="P189:P252" si="145">SUBSTITUTE(N189,"@@@",M189)</f>
        <v>taskReward{taskId:12001070}</v>
      </c>
      <c r="Q189" s="4" t="s">
        <v>52</v>
      </c>
      <c r="R189" s="4" t="s">
        <v>97</v>
      </c>
      <c r="S189" s="4" t="str">
        <f t="shared" ref="S189:S217" si="146">SUBSTITUTE(R189,"@@@",H189)</f>
        <v>buildingLevelUp{buildingType:201,buildingLevel:21}</v>
      </c>
      <c r="T189" s="4" t="s">
        <v>52</v>
      </c>
      <c r="U189" s="4" t="s">
        <v>98</v>
      </c>
      <c r="V189" s="4" t="s">
        <v>251</v>
      </c>
      <c r="W189" s="4">
        <f>VLOOKUP(V189,[1]界面跳转!$I:$J,2,FALSE)</f>
        <v>7001</v>
      </c>
      <c r="Y189" s="4" t="s">
        <v>56</v>
      </c>
      <c r="Z189" s="4" t="s">
        <v>57</v>
      </c>
      <c r="AB189" s="4">
        <v>6622021</v>
      </c>
      <c r="AG189" s="4">
        <v>1</v>
      </c>
      <c r="AH189" s="4">
        <v>1</v>
      </c>
    </row>
    <row r="190" spans="1:34" x14ac:dyDescent="0.45">
      <c r="A190" s="4">
        <f t="shared" si="142"/>
        <v>12101010</v>
      </c>
      <c r="B190" s="22">
        <v>21</v>
      </c>
      <c r="C190" s="4">
        <v>1</v>
      </c>
      <c r="D190" s="4">
        <f t="shared" ref="D190:D208" si="147">IF(B190=B189,D189+1,1)</f>
        <v>1</v>
      </c>
      <c r="E190" s="4" t="s">
        <v>48</v>
      </c>
      <c r="F190" t="s">
        <v>401</v>
      </c>
      <c r="G190" s="22" t="s">
        <v>67</v>
      </c>
      <c r="H190" s="22">
        <v>21</v>
      </c>
      <c r="I190" s="22" t="s">
        <v>63</v>
      </c>
      <c r="J190" s="4" t="str">
        <f t="shared" si="143"/>
        <v>升级伐木场至21级</v>
      </c>
      <c r="K190" s="4">
        <f t="shared" si="144"/>
        <v>12101010</v>
      </c>
      <c r="L190" s="4" t="str">
        <f t="shared" ref="L190:L253" si="148">F189</f>
        <v>TID_BranchLineTaskConf_201_1_taskName_GL_Main</v>
      </c>
      <c r="M190" s="4">
        <f t="shared" ref="M190:M253" si="149">A189</f>
        <v>12001080</v>
      </c>
      <c r="N190" s="4" t="s">
        <v>51</v>
      </c>
      <c r="O190" s="4" t="s">
        <v>52</v>
      </c>
      <c r="P190" s="4" t="str">
        <f t="shared" si="145"/>
        <v>taskReward{taskId:12001080}</v>
      </c>
      <c r="Q190" s="4" t="s">
        <v>52</v>
      </c>
      <c r="R190" s="4" t="s">
        <v>68</v>
      </c>
      <c r="S190" s="4" t="str">
        <f t="shared" si="146"/>
        <v>buildingLevelUp{buildingType:204,buildingLevel:21}</v>
      </c>
      <c r="T190" s="4" t="s">
        <v>52</v>
      </c>
      <c r="U190" s="4" t="s">
        <v>69</v>
      </c>
      <c r="V190" s="4" t="s">
        <v>226</v>
      </c>
      <c r="W190" s="4">
        <f>VLOOKUP(V190,[1]界面跳转!$I:$J,2,FALSE)</f>
        <v>7011</v>
      </c>
      <c r="Y190" s="4" t="s">
        <v>56</v>
      </c>
      <c r="Z190" s="4" t="s">
        <v>57</v>
      </c>
      <c r="AB190" s="4">
        <v>6622021</v>
      </c>
      <c r="AH190" s="4">
        <v>1</v>
      </c>
    </row>
    <row r="191" spans="1:34" x14ac:dyDescent="0.45">
      <c r="A191" s="4">
        <f t="shared" si="142"/>
        <v>12101020</v>
      </c>
      <c r="B191" s="22">
        <v>21</v>
      </c>
      <c r="C191" s="4">
        <v>1</v>
      </c>
      <c r="D191" s="4">
        <f t="shared" si="147"/>
        <v>2</v>
      </c>
      <c r="E191" s="4" t="s">
        <v>48</v>
      </c>
      <c r="F191" t="s">
        <v>402</v>
      </c>
      <c r="G191" s="22" t="s">
        <v>228</v>
      </c>
      <c r="H191" s="22">
        <v>21</v>
      </c>
      <c r="I191" s="22" t="s">
        <v>63</v>
      </c>
      <c r="J191" s="4" t="str">
        <f t="shared" si="143"/>
        <v>升级石矿场至21级</v>
      </c>
      <c r="K191" s="4">
        <f t="shared" si="144"/>
        <v>12101020</v>
      </c>
      <c r="L191" s="4" t="str">
        <f t="shared" si="148"/>
        <v>TID_BranchLineTaskConf_204_12_taskName_GL_Main</v>
      </c>
      <c r="M191" s="4">
        <f t="shared" si="149"/>
        <v>12101010</v>
      </c>
      <c r="N191" s="4" t="s">
        <v>51</v>
      </c>
      <c r="O191" s="4" t="s">
        <v>52</v>
      </c>
      <c r="P191" s="4" t="str">
        <f t="shared" si="145"/>
        <v>taskReward{taskId:12101010}</v>
      </c>
      <c r="Q191" s="4" t="s">
        <v>52</v>
      </c>
      <c r="R191" s="4" t="s">
        <v>229</v>
      </c>
      <c r="S191" s="4" t="str">
        <f t="shared" si="146"/>
        <v>buildingLevelUp{buildingType:205,buildingLevel:21}</v>
      </c>
      <c r="T191" s="4" t="s">
        <v>52</v>
      </c>
      <c r="U191" s="4" t="s">
        <v>66</v>
      </c>
      <c r="V191" s="4" t="s">
        <v>230</v>
      </c>
      <c r="W191" s="4">
        <f>VLOOKUP(V191,[1]界面跳转!$I:$J,2,FALSE)</f>
        <v>7013</v>
      </c>
      <c r="Y191" s="4" t="s">
        <v>56</v>
      </c>
      <c r="Z191" s="4" t="s">
        <v>57</v>
      </c>
      <c r="AB191" s="4">
        <v>6622021</v>
      </c>
      <c r="AH191" s="4">
        <v>1</v>
      </c>
    </row>
    <row r="192" spans="1:34" x14ac:dyDescent="0.45">
      <c r="A192" s="4">
        <f t="shared" si="142"/>
        <v>12101030</v>
      </c>
      <c r="B192" s="22">
        <v>21</v>
      </c>
      <c r="C192" s="4">
        <v>1</v>
      </c>
      <c r="D192" s="4">
        <f t="shared" si="147"/>
        <v>3</v>
      </c>
      <c r="E192" s="4" t="s">
        <v>48</v>
      </c>
      <c r="F192" t="s">
        <v>403</v>
      </c>
      <c r="G192" s="22" t="s">
        <v>221</v>
      </c>
      <c r="H192" s="22">
        <v>21</v>
      </c>
      <c r="I192" s="22" t="s">
        <v>63</v>
      </c>
      <c r="J192" s="4" t="str">
        <f t="shared" si="143"/>
        <v>升级金矿场至21级</v>
      </c>
      <c r="K192" s="4">
        <f t="shared" si="144"/>
        <v>12101030</v>
      </c>
      <c r="L192" s="4" t="str">
        <f t="shared" si="148"/>
        <v>TID_BranchLineTaskConf_205_12_taskName_GL_Main</v>
      </c>
      <c r="M192" s="4">
        <f t="shared" si="149"/>
        <v>12101020</v>
      </c>
      <c r="N192" s="4" t="s">
        <v>51</v>
      </c>
      <c r="O192" s="4" t="s">
        <v>52</v>
      </c>
      <c r="P192" s="4" t="str">
        <f t="shared" si="145"/>
        <v>taskReward{taskId:12101020}</v>
      </c>
      <c r="Q192" s="4" t="s">
        <v>52</v>
      </c>
      <c r="R192" s="4" t="s">
        <v>222</v>
      </c>
      <c r="S192" s="4" t="str">
        <f t="shared" si="146"/>
        <v>buildingLevelUp{buildingType:234,buildingLevel:21}</v>
      </c>
      <c r="T192" s="4" t="s">
        <v>52</v>
      </c>
      <c r="U192" s="4" t="s">
        <v>223</v>
      </c>
      <c r="V192" s="4" t="s">
        <v>224</v>
      </c>
      <c r="W192" s="4">
        <f>VLOOKUP(V192,[1]界面跳转!$I:$J,2,FALSE)</f>
        <v>7067</v>
      </c>
      <c r="Y192" s="4" t="s">
        <v>56</v>
      </c>
      <c r="Z192" s="4" t="s">
        <v>57</v>
      </c>
      <c r="AB192" s="4">
        <v>6622021</v>
      </c>
      <c r="AH192" s="4">
        <v>1</v>
      </c>
    </row>
    <row r="193" spans="1:34" x14ac:dyDescent="0.45">
      <c r="A193" s="4">
        <f t="shared" si="142"/>
        <v>12101040</v>
      </c>
      <c r="B193" s="22">
        <v>21</v>
      </c>
      <c r="C193" s="4">
        <v>1</v>
      </c>
      <c r="D193" s="4">
        <f t="shared" si="147"/>
        <v>4</v>
      </c>
      <c r="E193" s="4" t="s">
        <v>48</v>
      </c>
      <c r="F193" t="s">
        <v>404</v>
      </c>
      <c r="G193" s="22" t="s">
        <v>71</v>
      </c>
      <c r="H193" s="22">
        <v>21</v>
      </c>
      <c r="I193" s="22" t="s">
        <v>63</v>
      </c>
      <c r="J193" s="4" t="str">
        <f t="shared" si="143"/>
        <v>升级磨坊至21级</v>
      </c>
      <c r="K193" s="4">
        <f t="shared" si="144"/>
        <v>12101040</v>
      </c>
      <c r="L193" s="4" t="str">
        <f t="shared" si="148"/>
        <v>TID_BranchLineTaskConf_234_12_taskName_GL_Main</v>
      </c>
      <c r="M193" s="4">
        <f t="shared" si="149"/>
        <v>12101030</v>
      </c>
      <c r="N193" s="4" t="s">
        <v>51</v>
      </c>
      <c r="O193" s="4" t="s">
        <v>52</v>
      </c>
      <c r="P193" s="4" t="str">
        <f t="shared" si="145"/>
        <v>taskReward{taskId:12101030}</v>
      </c>
      <c r="Q193" s="4" t="s">
        <v>52</v>
      </c>
      <c r="R193" s="4" t="s">
        <v>72</v>
      </c>
      <c r="S193" s="4" t="str">
        <f t="shared" si="146"/>
        <v>buildingLevelUp{buildingType:203,buildingLevel:21}</v>
      </c>
      <c r="T193" s="4" t="s">
        <v>52</v>
      </c>
      <c r="U193" s="4" t="s">
        <v>73</v>
      </c>
      <c r="V193" s="4" t="s">
        <v>181</v>
      </c>
      <c r="W193" s="4">
        <f>VLOOKUP(V193,[1]界面跳转!$I:$J,2,FALSE)</f>
        <v>7009</v>
      </c>
      <c r="Y193" s="4" t="s">
        <v>56</v>
      </c>
      <c r="Z193" s="4" t="s">
        <v>57</v>
      </c>
      <c r="AB193" s="4">
        <v>6622021</v>
      </c>
      <c r="AH193" s="4">
        <v>1</v>
      </c>
    </row>
    <row r="194" spans="1:34" x14ac:dyDescent="0.45">
      <c r="A194" s="4">
        <f t="shared" si="142"/>
        <v>12101050</v>
      </c>
      <c r="B194" s="22">
        <v>21</v>
      </c>
      <c r="C194" s="4">
        <v>1</v>
      </c>
      <c r="D194" s="4">
        <f t="shared" si="147"/>
        <v>5</v>
      </c>
      <c r="E194" s="4" t="s">
        <v>48</v>
      </c>
      <c r="F194" t="s">
        <v>405</v>
      </c>
      <c r="G194" s="22" t="s">
        <v>263</v>
      </c>
      <c r="H194" s="22">
        <v>21</v>
      </c>
      <c r="I194" s="22" t="s">
        <v>63</v>
      </c>
      <c r="J194" s="4" t="str">
        <f t="shared" si="143"/>
        <v>升级仓库至21级</v>
      </c>
      <c r="K194" s="4">
        <f t="shared" si="144"/>
        <v>12101050</v>
      </c>
      <c r="L194" s="4" t="str">
        <f t="shared" si="148"/>
        <v>TID_BranchLineTaskConf_203_12_taskName_GL_Main</v>
      </c>
      <c r="M194" s="4">
        <f t="shared" si="149"/>
        <v>12101040</v>
      </c>
      <c r="N194" s="4" t="s">
        <v>51</v>
      </c>
      <c r="O194" s="4" t="s">
        <v>52</v>
      </c>
      <c r="P194" s="4" t="str">
        <f t="shared" si="145"/>
        <v>taskReward{taskId:12101040}</v>
      </c>
      <c r="Q194" s="4" t="s">
        <v>52</v>
      </c>
      <c r="R194" s="4" t="s">
        <v>264</v>
      </c>
      <c r="S194" s="4" t="str">
        <f t="shared" si="146"/>
        <v>buildingLevelUp{buildingType:400,buildingLevel:21}</v>
      </c>
      <c r="T194" s="4" t="s">
        <v>52</v>
      </c>
      <c r="U194" s="4" t="s">
        <v>265</v>
      </c>
      <c r="V194" s="4" t="s">
        <v>266</v>
      </c>
      <c r="W194" s="4">
        <f>VLOOKUP(V194,[2]界面跳转!$I:$J,2,FALSE)</f>
        <v>100134</v>
      </c>
      <c r="Y194" s="4" t="s">
        <v>56</v>
      </c>
      <c r="Z194" s="4" t="s">
        <v>57</v>
      </c>
      <c r="AB194" s="4">
        <v>6622021</v>
      </c>
      <c r="AH194" s="4">
        <v>1</v>
      </c>
    </row>
    <row r="195" spans="1:34" x14ac:dyDescent="0.45">
      <c r="A195" s="4">
        <f t="shared" si="142"/>
        <v>12101060</v>
      </c>
      <c r="B195" s="22">
        <v>21</v>
      </c>
      <c r="C195" s="4">
        <v>1</v>
      </c>
      <c r="D195" s="4">
        <f t="shared" si="147"/>
        <v>6</v>
      </c>
      <c r="E195" s="4" t="s">
        <v>48</v>
      </c>
      <c r="F195" s="4" t="s">
        <v>406</v>
      </c>
      <c r="G195" s="22" t="s">
        <v>268</v>
      </c>
      <c r="H195" s="22">
        <v>21</v>
      </c>
      <c r="I195" s="22" t="s">
        <v>63</v>
      </c>
      <c r="J195" s="4" t="str">
        <f t="shared" si="143"/>
        <v>升级市集至21级</v>
      </c>
      <c r="K195" s="4">
        <f t="shared" si="144"/>
        <v>12101060</v>
      </c>
      <c r="L195" s="4" t="str">
        <f t="shared" si="148"/>
        <v>TID_BranchLineTaskConf_400_4_taskName_GL_Main</v>
      </c>
      <c r="M195" s="4">
        <f t="shared" si="149"/>
        <v>12101050</v>
      </c>
      <c r="N195" s="4" t="s">
        <v>51</v>
      </c>
      <c r="O195" s="4" t="s">
        <v>52</v>
      </c>
      <c r="P195" s="4" t="str">
        <f t="shared" si="145"/>
        <v>taskReward{taskId:12101050}</v>
      </c>
      <c r="Q195" s="4" t="s">
        <v>52</v>
      </c>
      <c r="R195" s="4" t="s">
        <v>269</v>
      </c>
      <c r="S195" s="4" t="str">
        <f t="shared" si="146"/>
        <v>buildingLevelUp{buildingType:231,buildingLevel:21}</v>
      </c>
      <c r="T195" s="4" t="s">
        <v>52</v>
      </c>
      <c r="U195" s="4" t="s">
        <v>270</v>
      </c>
      <c r="V195" s="4" t="s">
        <v>271</v>
      </c>
      <c r="W195" s="4">
        <f>VLOOKUP(V195,[1]界面跳转!$I:$J,2,FALSE)</f>
        <v>7058</v>
      </c>
      <c r="Y195" s="4" t="s">
        <v>56</v>
      </c>
      <c r="Z195" s="4" t="s">
        <v>57</v>
      </c>
      <c r="AB195" s="4">
        <v>6622021</v>
      </c>
      <c r="AH195" s="4">
        <v>1</v>
      </c>
    </row>
    <row r="196" spans="1:34" x14ac:dyDescent="0.45">
      <c r="A196" s="4">
        <f t="shared" si="142"/>
        <v>12101070</v>
      </c>
      <c r="B196" s="22">
        <v>21</v>
      </c>
      <c r="C196" s="4">
        <v>1</v>
      </c>
      <c r="D196" s="4">
        <f t="shared" si="147"/>
        <v>7</v>
      </c>
      <c r="E196" s="4" t="s">
        <v>48</v>
      </c>
      <c r="F196" t="s">
        <v>407</v>
      </c>
      <c r="G196" s="22" t="s">
        <v>150</v>
      </c>
      <c r="H196" s="22">
        <v>21</v>
      </c>
      <c r="I196" s="22" t="s">
        <v>63</v>
      </c>
      <c r="J196" s="4" t="str">
        <f t="shared" si="143"/>
        <v>升级居民房舍至21级</v>
      </c>
      <c r="K196" s="4">
        <f t="shared" si="144"/>
        <v>12101070</v>
      </c>
      <c r="L196" s="4" t="str">
        <f t="shared" si="148"/>
        <v>TID_BranchLineTaskConf_231_4_taskName_GL_Main</v>
      </c>
      <c r="M196" s="4">
        <f t="shared" si="149"/>
        <v>12101060</v>
      </c>
      <c r="N196" s="4" t="s">
        <v>51</v>
      </c>
      <c r="O196" s="4" t="s">
        <v>52</v>
      </c>
      <c r="P196" s="4" t="str">
        <f t="shared" si="145"/>
        <v>taskReward{taskId:12101060}</v>
      </c>
      <c r="Q196" s="4" t="s">
        <v>52</v>
      </c>
      <c r="R196" s="4" t="s">
        <v>151</v>
      </c>
      <c r="S196" s="4" t="str">
        <f t="shared" si="146"/>
        <v>buildingLevelUp{buildingType:202,buildingLevel:21}</v>
      </c>
      <c r="T196" s="4" t="s">
        <v>52</v>
      </c>
      <c r="U196" s="4" t="s">
        <v>234</v>
      </c>
      <c r="V196" s="4" t="s">
        <v>153</v>
      </c>
      <c r="W196" s="4">
        <f>VLOOKUP(V196,[1]界面跳转!$I:$J,2,FALSE)</f>
        <v>7006</v>
      </c>
      <c r="Y196" s="4" t="s">
        <v>56</v>
      </c>
      <c r="Z196" s="4" t="s">
        <v>57</v>
      </c>
      <c r="AB196" s="4">
        <v>6622021</v>
      </c>
      <c r="AH196" s="4">
        <v>1</v>
      </c>
    </row>
    <row r="197" spans="1:34" x14ac:dyDescent="0.45">
      <c r="A197" s="4">
        <f t="shared" si="142"/>
        <v>12101080</v>
      </c>
      <c r="B197" s="22">
        <v>21</v>
      </c>
      <c r="C197" s="4">
        <v>1</v>
      </c>
      <c r="D197" s="4">
        <f t="shared" si="147"/>
        <v>8</v>
      </c>
      <c r="E197" s="4" t="s">
        <v>48</v>
      </c>
      <c r="F197" s="4" t="s">
        <v>408</v>
      </c>
      <c r="G197" s="22" t="s">
        <v>101</v>
      </c>
      <c r="H197" s="22">
        <v>21</v>
      </c>
      <c r="I197" s="22" t="s">
        <v>63</v>
      </c>
      <c r="J197" s="4" t="str">
        <f t="shared" si="143"/>
        <v>升级治疗房舍至21级</v>
      </c>
      <c r="K197" s="4">
        <f t="shared" si="144"/>
        <v>12101080</v>
      </c>
      <c r="L197" s="4" t="str">
        <f t="shared" si="148"/>
        <v>TID_BranchLineTaskConf_202_11_taskName_GL_Main</v>
      </c>
      <c r="M197" s="4">
        <f t="shared" si="149"/>
        <v>12101070</v>
      </c>
      <c r="N197" s="4" t="s">
        <v>51</v>
      </c>
      <c r="O197" s="4" t="s">
        <v>52</v>
      </c>
      <c r="P197" s="4" t="str">
        <f t="shared" si="145"/>
        <v>taskReward{taskId:12101070}</v>
      </c>
      <c r="Q197" s="4" t="s">
        <v>52</v>
      </c>
      <c r="R197" s="4" t="s">
        <v>102</v>
      </c>
      <c r="S197" s="4" t="str">
        <f t="shared" si="146"/>
        <v>buildingLevelUp{buildingType:222,buildingLevel:21}</v>
      </c>
      <c r="T197" s="4" t="s">
        <v>52</v>
      </c>
      <c r="U197" s="4" t="s">
        <v>103</v>
      </c>
      <c r="V197" s="4" t="s">
        <v>236</v>
      </c>
      <c r="W197" s="4">
        <f>VLOOKUP(V197,[1]界面跳转!$I:$J,2,FALSE)</f>
        <v>7041</v>
      </c>
      <c r="Y197" s="4" t="s">
        <v>56</v>
      </c>
      <c r="Z197" s="4" t="s">
        <v>57</v>
      </c>
      <c r="AB197" s="4">
        <v>6622021</v>
      </c>
      <c r="AH197" s="4">
        <v>1</v>
      </c>
    </row>
    <row r="198" spans="1:34" x14ac:dyDescent="0.45">
      <c r="A198" s="4">
        <f t="shared" si="142"/>
        <v>12101090</v>
      </c>
      <c r="B198" s="22">
        <v>21</v>
      </c>
      <c r="C198" s="4">
        <v>1</v>
      </c>
      <c r="D198" s="4">
        <f t="shared" si="147"/>
        <v>9</v>
      </c>
      <c r="E198" s="4" t="s">
        <v>48</v>
      </c>
      <c r="F198" t="s">
        <v>409</v>
      </c>
      <c r="G198" s="22" t="s">
        <v>106</v>
      </c>
      <c r="H198" s="22">
        <v>21</v>
      </c>
      <c r="I198" s="22" t="s">
        <v>63</v>
      </c>
      <c r="J198" s="4" t="str">
        <f t="shared" si="143"/>
        <v>升级城墙至21级</v>
      </c>
      <c r="K198" s="4">
        <f t="shared" si="144"/>
        <v>12101090</v>
      </c>
      <c r="L198" s="4" t="str">
        <f t="shared" si="148"/>
        <v>TID_BranchLineTaskConf_222_15_taskName_GL_Main</v>
      </c>
      <c r="M198" s="4">
        <f t="shared" si="149"/>
        <v>12101080</v>
      </c>
      <c r="N198" s="4" t="s">
        <v>51</v>
      </c>
      <c r="O198" s="4" t="s">
        <v>52</v>
      </c>
      <c r="P198" s="4" t="str">
        <f t="shared" si="145"/>
        <v>taskReward{taskId:12101080}</v>
      </c>
      <c r="Q198" s="4" t="s">
        <v>52</v>
      </c>
      <c r="R198" s="4" t="s">
        <v>107</v>
      </c>
      <c r="S198" s="4" t="str">
        <f t="shared" si="146"/>
        <v>buildingLevelUp{buildingType:215,buildingLevel:21}</v>
      </c>
      <c r="T198" s="4" t="s">
        <v>52</v>
      </c>
      <c r="U198" s="4" t="s">
        <v>108</v>
      </c>
      <c r="V198" s="4" t="s">
        <v>249</v>
      </c>
      <c r="W198" s="4">
        <f>VLOOKUP(V198,[1]界面跳转!$I:$J,2,FALSE)</f>
        <v>7039</v>
      </c>
      <c r="Y198" s="4" t="s">
        <v>56</v>
      </c>
      <c r="Z198" s="4" t="s">
        <v>57</v>
      </c>
      <c r="AB198" s="4">
        <v>6622021</v>
      </c>
      <c r="AH198" s="4">
        <v>1</v>
      </c>
    </row>
    <row r="199" spans="1:34" ht="16.149999999999999" customHeight="1" x14ac:dyDescent="0.45">
      <c r="A199" s="4">
        <f t="shared" si="142"/>
        <v>12101100</v>
      </c>
      <c r="B199" s="22">
        <v>21</v>
      </c>
      <c r="C199" s="4">
        <v>1</v>
      </c>
      <c r="D199" s="4">
        <f t="shared" si="147"/>
        <v>10</v>
      </c>
      <c r="E199" s="4" t="s">
        <v>48</v>
      </c>
      <c r="F199" t="s">
        <v>410</v>
      </c>
      <c r="G199" s="45" t="s">
        <v>96</v>
      </c>
      <c r="H199" s="45">
        <v>22</v>
      </c>
      <c r="I199" s="45" t="s">
        <v>63</v>
      </c>
      <c r="J199" s="4" t="str">
        <f t="shared" si="143"/>
        <v>升级城镇中心至22级</v>
      </c>
      <c r="K199" s="4">
        <f t="shared" si="144"/>
        <v>12101100</v>
      </c>
      <c r="L199" s="4" t="str">
        <f t="shared" si="148"/>
        <v>TID_BranchLineTaskConf_215_18_taskName_GL_Main</v>
      </c>
      <c r="M199" s="4">
        <f t="shared" si="149"/>
        <v>12101090</v>
      </c>
      <c r="N199" s="4" t="s">
        <v>51</v>
      </c>
      <c r="O199" s="4" t="s">
        <v>52</v>
      </c>
      <c r="P199" s="4" t="str">
        <f t="shared" si="145"/>
        <v>taskReward{taskId:12101090}</v>
      </c>
      <c r="Q199" s="4" t="s">
        <v>52</v>
      </c>
      <c r="R199" s="4" t="s">
        <v>97</v>
      </c>
      <c r="S199" s="4" t="str">
        <f t="shared" si="146"/>
        <v>buildingLevelUp{buildingType:201,buildingLevel:22}</v>
      </c>
      <c r="T199" s="4" t="s">
        <v>52</v>
      </c>
      <c r="U199" s="4" t="s">
        <v>98</v>
      </c>
      <c r="V199" s="4" t="s">
        <v>251</v>
      </c>
      <c r="W199" s="4">
        <f>VLOOKUP(V199,[1]界面跳转!$I:$J,2,FALSE)</f>
        <v>7001</v>
      </c>
      <c r="Y199" s="4" t="s">
        <v>56</v>
      </c>
      <c r="Z199" s="4" t="s">
        <v>57</v>
      </c>
      <c r="AB199" s="4">
        <v>6622022</v>
      </c>
      <c r="AG199" s="4">
        <v>1</v>
      </c>
      <c r="AH199" s="4">
        <v>1</v>
      </c>
    </row>
    <row r="200" spans="1:34" x14ac:dyDescent="0.45">
      <c r="A200" s="4">
        <f t="shared" si="142"/>
        <v>12201010</v>
      </c>
      <c r="B200" s="22">
        <v>22</v>
      </c>
      <c r="C200" s="4">
        <v>1</v>
      </c>
      <c r="D200" s="4">
        <f t="shared" si="147"/>
        <v>1</v>
      </c>
      <c r="E200" s="4" t="s">
        <v>48</v>
      </c>
      <c r="F200" t="s">
        <v>411</v>
      </c>
      <c r="G200" s="22" t="s">
        <v>67</v>
      </c>
      <c r="H200" s="22">
        <v>22</v>
      </c>
      <c r="I200" s="22" t="s">
        <v>63</v>
      </c>
      <c r="J200" s="4" t="str">
        <f t="shared" si="143"/>
        <v>升级伐木场至22级</v>
      </c>
      <c r="K200" s="4">
        <f t="shared" si="144"/>
        <v>12201010</v>
      </c>
      <c r="L200" s="4" t="str">
        <f t="shared" si="148"/>
        <v>TID_BranchLineTaskConf_201_2_taskName_GL_Main</v>
      </c>
      <c r="M200" s="4">
        <f t="shared" si="149"/>
        <v>12101100</v>
      </c>
      <c r="N200" s="4" t="s">
        <v>51</v>
      </c>
      <c r="O200" s="4" t="s">
        <v>52</v>
      </c>
      <c r="P200" s="4" t="str">
        <f t="shared" si="145"/>
        <v>taskReward{taskId:12101100}</v>
      </c>
      <c r="Q200" s="4" t="s">
        <v>52</v>
      </c>
      <c r="R200" s="4" t="s">
        <v>68</v>
      </c>
      <c r="S200" s="4" t="str">
        <f t="shared" si="146"/>
        <v>buildingLevelUp{buildingType:204,buildingLevel:22}</v>
      </c>
      <c r="T200" s="4" t="s">
        <v>52</v>
      </c>
      <c r="U200" s="4" t="s">
        <v>69</v>
      </c>
      <c r="V200" s="4" t="s">
        <v>226</v>
      </c>
      <c r="W200" s="4">
        <f>VLOOKUP(V200,[1]界面跳转!$I:$J,2,FALSE)</f>
        <v>7011</v>
      </c>
      <c r="Y200" s="4" t="s">
        <v>56</v>
      </c>
      <c r="Z200" s="4" t="s">
        <v>57</v>
      </c>
      <c r="AB200" s="4">
        <v>6622022</v>
      </c>
      <c r="AH200" s="4">
        <v>1</v>
      </c>
    </row>
    <row r="201" spans="1:34" x14ac:dyDescent="0.45">
      <c r="A201" s="4">
        <f t="shared" si="142"/>
        <v>12201020</v>
      </c>
      <c r="B201" s="22">
        <v>22</v>
      </c>
      <c r="C201" s="4">
        <v>1</v>
      </c>
      <c r="D201" s="4">
        <f t="shared" si="147"/>
        <v>2</v>
      </c>
      <c r="E201" s="4" t="s">
        <v>48</v>
      </c>
      <c r="F201" t="s">
        <v>412</v>
      </c>
      <c r="G201" s="22" t="s">
        <v>228</v>
      </c>
      <c r="H201" s="22">
        <v>22</v>
      </c>
      <c r="I201" s="22" t="s">
        <v>63</v>
      </c>
      <c r="J201" s="4" t="str">
        <f t="shared" si="143"/>
        <v>升级石矿场至22级</v>
      </c>
      <c r="K201" s="4">
        <f t="shared" si="144"/>
        <v>12201020</v>
      </c>
      <c r="L201" s="4" t="str">
        <f t="shared" ref="L201:L208" si="150">F200</f>
        <v>TID_BranchLineTaskConf_204_13_taskName_GL_Main</v>
      </c>
      <c r="M201" s="4">
        <f t="shared" si="149"/>
        <v>12201010</v>
      </c>
      <c r="N201" s="4" t="s">
        <v>51</v>
      </c>
      <c r="O201" s="4" t="s">
        <v>52</v>
      </c>
      <c r="P201" s="4" t="str">
        <f t="shared" si="145"/>
        <v>taskReward{taskId:12201010}</v>
      </c>
      <c r="Q201" s="4" t="s">
        <v>52</v>
      </c>
      <c r="R201" s="4" t="s">
        <v>229</v>
      </c>
      <c r="S201" s="4" t="str">
        <f t="shared" si="146"/>
        <v>buildingLevelUp{buildingType:205,buildingLevel:22}</v>
      </c>
      <c r="T201" s="4" t="s">
        <v>52</v>
      </c>
      <c r="U201" s="4" t="s">
        <v>66</v>
      </c>
      <c r="V201" s="4" t="s">
        <v>230</v>
      </c>
      <c r="W201" s="4">
        <f>VLOOKUP(V201,[1]界面跳转!$I:$J,2,FALSE)</f>
        <v>7013</v>
      </c>
      <c r="Y201" s="4" t="s">
        <v>56</v>
      </c>
      <c r="Z201" s="4" t="s">
        <v>57</v>
      </c>
      <c r="AB201" s="4">
        <v>6622022</v>
      </c>
      <c r="AH201" s="4">
        <v>1</v>
      </c>
    </row>
    <row r="202" spans="1:34" x14ac:dyDescent="0.45">
      <c r="A202" s="4">
        <f t="shared" si="142"/>
        <v>12201030</v>
      </c>
      <c r="B202" s="22">
        <v>22</v>
      </c>
      <c r="C202" s="4">
        <v>1</v>
      </c>
      <c r="D202" s="4">
        <f t="shared" si="147"/>
        <v>3</v>
      </c>
      <c r="E202" s="4" t="s">
        <v>48</v>
      </c>
      <c r="F202" t="s">
        <v>413</v>
      </c>
      <c r="G202" s="22" t="s">
        <v>221</v>
      </c>
      <c r="H202" s="22">
        <v>22</v>
      </c>
      <c r="I202" s="22" t="s">
        <v>63</v>
      </c>
      <c r="J202" s="4" t="str">
        <f t="shared" si="143"/>
        <v>升级金矿场至22级</v>
      </c>
      <c r="K202" s="4">
        <f t="shared" si="144"/>
        <v>12201030</v>
      </c>
      <c r="L202" s="4" t="str">
        <f t="shared" si="150"/>
        <v>TID_BranchLineTaskConf_205_13_taskName_GL_Main</v>
      </c>
      <c r="M202" s="4">
        <f t="shared" si="149"/>
        <v>12201020</v>
      </c>
      <c r="N202" s="4" t="s">
        <v>51</v>
      </c>
      <c r="O202" s="4" t="s">
        <v>52</v>
      </c>
      <c r="P202" s="4" t="str">
        <f t="shared" si="145"/>
        <v>taskReward{taskId:12201020}</v>
      </c>
      <c r="Q202" s="4" t="s">
        <v>52</v>
      </c>
      <c r="R202" s="4" t="s">
        <v>222</v>
      </c>
      <c r="S202" s="4" t="str">
        <f t="shared" si="146"/>
        <v>buildingLevelUp{buildingType:234,buildingLevel:22}</v>
      </c>
      <c r="T202" s="4" t="s">
        <v>52</v>
      </c>
      <c r="U202" s="4" t="s">
        <v>223</v>
      </c>
      <c r="V202" s="4" t="s">
        <v>224</v>
      </c>
      <c r="W202" s="4">
        <f>VLOOKUP(V202,[1]界面跳转!$I:$J,2,FALSE)</f>
        <v>7067</v>
      </c>
      <c r="Y202" s="4" t="s">
        <v>56</v>
      </c>
      <c r="Z202" s="4" t="s">
        <v>57</v>
      </c>
      <c r="AB202" s="4">
        <v>6622022</v>
      </c>
      <c r="AH202" s="4">
        <v>1</v>
      </c>
    </row>
    <row r="203" spans="1:34" x14ac:dyDescent="0.45">
      <c r="A203" s="4">
        <f t="shared" si="142"/>
        <v>12201040</v>
      </c>
      <c r="B203" s="22">
        <v>22</v>
      </c>
      <c r="C203" s="4">
        <v>1</v>
      </c>
      <c r="D203" s="4">
        <f t="shared" si="147"/>
        <v>4</v>
      </c>
      <c r="E203" s="4" t="s">
        <v>48</v>
      </c>
      <c r="F203" t="s">
        <v>414</v>
      </c>
      <c r="G203" s="22" t="s">
        <v>71</v>
      </c>
      <c r="H203" s="22">
        <v>22</v>
      </c>
      <c r="I203" s="22" t="s">
        <v>63</v>
      </c>
      <c r="J203" s="4" t="str">
        <f t="shared" si="143"/>
        <v>升级磨坊至22级</v>
      </c>
      <c r="K203" s="4">
        <f t="shared" si="144"/>
        <v>12201040</v>
      </c>
      <c r="L203" s="4" t="str">
        <f t="shared" si="150"/>
        <v>TID_BranchLineTaskConf_234_13_taskName_GL_Main</v>
      </c>
      <c r="M203" s="4">
        <f t="shared" si="149"/>
        <v>12201030</v>
      </c>
      <c r="N203" s="4" t="s">
        <v>51</v>
      </c>
      <c r="O203" s="4" t="s">
        <v>52</v>
      </c>
      <c r="P203" s="4" t="str">
        <f t="shared" si="145"/>
        <v>taskReward{taskId:12201030}</v>
      </c>
      <c r="Q203" s="4" t="s">
        <v>52</v>
      </c>
      <c r="R203" s="4" t="s">
        <v>72</v>
      </c>
      <c r="S203" s="4" t="str">
        <f t="shared" si="146"/>
        <v>buildingLevelUp{buildingType:203,buildingLevel:22}</v>
      </c>
      <c r="T203" s="4" t="s">
        <v>52</v>
      </c>
      <c r="U203" s="4" t="s">
        <v>73</v>
      </c>
      <c r="V203" s="4" t="s">
        <v>181</v>
      </c>
      <c r="W203" s="4">
        <f>VLOOKUP(V203,[1]界面跳转!$I:$J,2,FALSE)</f>
        <v>7009</v>
      </c>
      <c r="Y203" s="4" t="s">
        <v>56</v>
      </c>
      <c r="Z203" s="4" t="s">
        <v>57</v>
      </c>
      <c r="AB203" s="4">
        <v>6622022</v>
      </c>
      <c r="AH203" s="4">
        <v>1</v>
      </c>
    </row>
    <row r="204" spans="1:34" x14ac:dyDescent="0.45">
      <c r="A204" s="4">
        <f t="shared" si="142"/>
        <v>12201050</v>
      </c>
      <c r="B204" s="22">
        <v>22</v>
      </c>
      <c r="C204" s="4">
        <v>1</v>
      </c>
      <c r="D204" s="4">
        <f t="shared" si="147"/>
        <v>5</v>
      </c>
      <c r="E204" s="4" t="s">
        <v>48</v>
      </c>
      <c r="F204" t="s">
        <v>415</v>
      </c>
      <c r="G204" s="22" t="s">
        <v>150</v>
      </c>
      <c r="H204" s="22">
        <v>22</v>
      </c>
      <c r="I204" s="22" t="s">
        <v>63</v>
      </c>
      <c r="J204" s="4" t="str">
        <f t="shared" si="143"/>
        <v>升级居民房舍至22级</v>
      </c>
      <c r="K204" s="4">
        <f t="shared" si="144"/>
        <v>12201050</v>
      </c>
      <c r="L204" s="4" t="str">
        <f t="shared" si="150"/>
        <v>TID_BranchLineTaskConf_203_13_taskName_GL_Main</v>
      </c>
      <c r="M204" s="4">
        <f t="shared" si="149"/>
        <v>12201040</v>
      </c>
      <c r="N204" s="4" t="s">
        <v>51</v>
      </c>
      <c r="O204" s="4" t="s">
        <v>52</v>
      </c>
      <c r="P204" s="4" t="str">
        <f t="shared" si="145"/>
        <v>taskReward{taskId:12201040}</v>
      </c>
      <c r="Q204" s="4" t="s">
        <v>52</v>
      </c>
      <c r="R204" s="4" t="s">
        <v>151</v>
      </c>
      <c r="S204" s="4" t="str">
        <f t="shared" si="146"/>
        <v>buildingLevelUp{buildingType:202,buildingLevel:22}</v>
      </c>
      <c r="T204" s="4" t="s">
        <v>52</v>
      </c>
      <c r="U204" s="4" t="s">
        <v>234</v>
      </c>
      <c r="V204" s="4" t="s">
        <v>153</v>
      </c>
      <c r="W204" s="4">
        <f>VLOOKUP(V204,[1]界面跳转!$I:$J,2,FALSE)</f>
        <v>7006</v>
      </c>
      <c r="Y204" s="4" t="s">
        <v>56</v>
      </c>
      <c r="Z204" s="4" t="s">
        <v>57</v>
      </c>
      <c r="AB204" s="4">
        <v>6622022</v>
      </c>
      <c r="AH204" s="4">
        <v>1</v>
      </c>
    </row>
    <row r="205" spans="1:34" x14ac:dyDescent="0.45">
      <c r="A205" s="4">
        <f t="shared" si="142"/>
        <v>12201060</v>
      </c>
      <c r="B205" s="22">
        <v>22</v>
      </c>
      <c r="C205" s="4">
        <v>1</v>
      </c>
      <c r="D205" s="4">
        <f t="shared" si="147"/>
        <v>6</v>
      </c>
      <c r="E205" s="4" t="s">
        <v>48</v>
      </c>
      <c r="F205" s="4" t="s">
        <v>416</v>
      </c>
      <c r="G205" s="22" t="s">
        <v>101</v>
      </c>
      <c r="H205" s="22">
        <v>22</v>
      </c>
      <c r="I205" s="22" t="s">
        <v>63</v>
      </c>
      <c r="J205" s="4" t="str">
        <f t="shared" si="143"/>
        <v>升级治疗房舍至22级</v>
      </c>
      <c r="K205" s="4">
        <f t="shared" si="144"/>
        <v>12201060</v>
      </c>
      <c r="L205" s="4" t="str">
        <f t="shared" si="150"/>
        <v>TID_BranchLineTaskConf_202_12_taskName_GL_Main</v>
      </c>
      <c r="M205" s="4">
        <f t="shared" si="149"/>
        <v>12201050</v>
      </c>
      <c r="N205" s="4" t="s">
        <v>51</v>
      </c>
      <c r="O205" s="4" t="s">
        <v>52</v>
      </c>
      <c r="P205" s="4" t="str">
        <f t="shared" si="145"/>
        <v>taskReward{taskId:12201050}</v>
      </c>
      <c r="Q205" s="4" t="s">
        <v>52</v>
      </c>
      <c r="R205" s="4" t="s">
        <v>102</v>
      </c>
      <c r="S205" s="4" t="str">
        <f t="shared" si="146"/>
        <v>buildingLevelUp{buildingType:222,buildingLevel:22}</v>
      </c>
      <c r="T205" s="4" t="s">
        <v>52</v>
      </c>
      <c r="U205" s="4" t="s">
        <v>103</v>
      </c>
      <c r="V205" s="4" t="s">
        <v>236</v>
      </c>
      <c r="W205" s="4">
        <f>VLOOKUP(V205,[1]界面跳转!$I:$J,2,FALSE)</f>
        <v>7041</v>
      </c>
      <c r="Y205" s="4" t="s">
        <v>56</v>
      </c>
      <c r="Z205" s="4" t="s">
        <v>57</v>
      </c>
      <c r="AB205" s="4">
        <v>6622022</v>
      </c>
      <c r="AH205" s="4">
        <v>1</v>
      </c>
    </row>
    <row r="206" spans="1:34" x14ac:dyDescent="0.45">
      <c r="A206" s="4">
        <f t="shared" si="142"/>
        <v>12201070</v>
      </c>
      <c r="B206" s="22">
        <v>22</v>
      </c>
      <c r="C206" s="4">
        <v>1</v>
      </c>
      <c r="D206" s="4">
        <f t="shared" si="147"/>
        <v>7</v>
      </c>
      <c r="E206" s="4" t="s">
        <v>48</v>
      </c>
      <c r="F206" s="4" t="s">
        <v>417</v>
      </c>
      <c r="G206" s="22" t="s">
        <v>418</v>
      </c>
      <c r="H206" s="22">
        <v>22</v>
      </c>
      <c r="I206" s="22" t="s">
        <v>63</v>
      </c>
      <c r="J206" s="4" t="str">
        <f t="shared" si="143"/>
        <v>升级射箭场至22级</v>
      </c>
      <c r="K206" s="4">
        <f t="shared" si="144"/>
        <v>12201070</v>
      </c>
      <c r="L206" s="4" t="str">
        <f t="shared" si="150"/>
        <v>TID_BranchLineTaskConf_222_16_taskName_GL_Main</v>
      </c>
      <c r="M206" s="4">
        <f t="shared" si="149"/>
        <v>12201060</v>
      </c>
      <c r="N206" s="4" t="s">
        <v>51</v>
      </c>
      <c r="O206" s="4" t="s">
        <v>52</v>
      </c>
      <c r="P206" s="4" t="str">
        <f t="shared" si="145"/>
        <v>taskReward{taskId:12201060}</v>
      </c>
      <c r="Q206" s="4" t="s">
        <v>52</v>
      </c>
      <c r="R206" s="4" t="s">
        <v>419</v>
      </c>
      <c r="S206" s="4" t="str">
        <f t="shared" si="146"/>
        <v>buildingLevelUp{buildingType:224,buildingLevel:22}</v>
      </c>
      <c r="T206" s="4" t="s">
        <v>52</v>
      </c>
      <c r="U206" s="4" t="s">
        <v>420</v>
      </c>
      <c r="V206" s="4" t="s">
        <v>421</v>
      </c>
      <c r="W206" s="4">
        <f>VLOOKUP(V206,[1]界面跳转!$I:$J,2,FALSE)</f>
        <v>7045</v>
      </c>
      <c r="Y206" s="4" t="s">
        <v>56</v>
      </c>
      <c r="Z206" s="4" t="s">
        <v>57</v>
      </c>
      <c r="AB206" s="4">
        <v>6622022</v>
      </c>
      <c r="AH206" s="4">
        <v>1</v>
      </c>
    </row>
    <row r="207" spans="1:34" x14ac:dyDescent="0.45">
      <c r="A207" s="4">
        <f t="shared" si="142"/>
        <v>12201080</v>
      </c>
      <c r="B207" s="22">
        <v>22</v>
      </c>
      <c r="C207" s="4">
        <v>1</v>
      </c>
      <c r="D207" s="4">
        <f t="shared" si="147"/>
        <v>8</v>
      </c>
      <c r="E207" s="4" t="s">
        <v>48</v>
      </c>
      <c r="F207" t="s">
        <v>422</v>
      </c>
      <c r="G207" s="22" t="s">
        <v>106</v>
      </c>
      <c r="H207" s="22">
        <v>22</v>
      </c>
      <c r="I207" s="22" t="s">
        <v>63</v>
      </c>
      <c r="J207" s="4" t="str">
        <f t="shared" si="143"/>
        <v>升级城墙至22级</v>
      </c>
      <c r="K207" s="4">
        <f t="shared" si="144"/>
        <v>12201080</v>
      </c>
      <c r="L207" s="4" t="str">
        <f t="shared" si="150"/>
        <v>TID_UpgradeBuildings_013</v>
      </c>
      <c r="M207" s="4">
        <f t="shared" si="149"/>
        <v>12201070</v>
      </c>
      <c r="N207" s="4" t="s">
        <v>51</v>
      </c>
      <c r="O207" s="4" t="s">
        <v>52</v>
      </c>
      <c r="P207" s="4" t="str">
        <f t="shared" si="145"/>
        <v>taskReward{taskId:12201070}</v>
      </c>
      <c r="Q207" s="4" t="s">
        <v>52</v>
      </c>
      <c r="R207" s="4" t="s">
        <v>107</v>
      </c>
      <c r="S207" s="4" t="str">
        <f t="shared" si="146"/>
        <v>buildingLevelUp{buildingType:215,buildingLevel:22}</v>
      </c>
      <c r="T207" s="4" t="s">
        <v>52</v>
      </c>
      <c r="U207" s="4" t="s">
        <v>108</v>
      </c>
      <c r="V207" s="4" t="s">
        <v>249</v>
      </c>
      <c r="W207" s="4">
        <f>VLOOKUP(V207,[1]界面跳转!$I:$J,2,FALSE)</f>
        <v>7039</v>
      </c>
      <c r="Y207" s="4" t="s">
        <v>56</v>
      </c>
      <c r="Z207" s="4" t="s">
        <v>57</v>
      </c>
      <c r="AB207" s="4">
        <v>6622022</v>
      </c>
      <c r="AH207" s="4">
        <v>1</v>
      </c>
    </row>
    <row r="208" spans="1:34" ht="16.149999999999999" customHeight="1" x14ac:dyDescent="0.45">
      <c r="A208" s="4">
        <f t="shared" si="142"/>
        <v>12201090</v>
      </c>
      <c r="B208" s="22">
        <v>22</v>
      </c>
      <c r="C208" s="4">
        <v>1</v>
      </c>
      <c r="D208" s="4">
        <f t="shared" si="147"/>
        <v>9</v>
      </c>
      <c r="E208" s="4" t="s">
        <v>48</v>
      </c>
      <c r="F208" t="s">
        <v>423</v>
      </c>
      <c r="G208" s="45" t="s">
        <v>96</v>
      </c>
      <c r="H208" s="45">
        <v>23</v>
      </c>
      <c r="I208" s="45" t="s">
        <v>63</v>
      </c>
      <c r="J208" s="4" t="str">
        <f t="shared" si="143"/>
        <v>升级城镇中心至23级</v>
      </c>
      <c r="K208" s="4">
        <f t="shared" si="144"/>
        <v>12201090</v>
      </c>
      <c r="L208" s="4" t="str">
        <f t="shared" si="150"/>
        <v>TID_BranchLineTaskConf_215_19_taskName_GL_Main</v>
      </c>
      <c r="M208" s="4">
        <f t="shared" si="149"/>
        <v>12201080</v>
      </c>
      <c r="N208" s="4" t="s">
        <v>51</v>
      </c>
      <c r="O208" s="4" t="s">
        <v>52</v>
      </c>
      <c r="P208" s="4" t="str">
        <f t="shared" si="145"/>
        <v>taskReward{taskId:12201080}</v>
      </c>
      <c r="Q208" s="4" t="s">
        <v>52</v>
      </c>
      <c r="R208" s="4" t="s">
        <v>97</v>
      </c>
      <c r="S208" s="4" t="str">
        <f t="shared" si="146"/>
        <v>buildingLevelUp{buildingType:201,buildingLevel:23}</v>
      </c>
      <c r="T208" s="4" t="s">
        <v>52</v>
      </c>
      <c r="U208" s="4" t="s">
        <v>98</v>
      </c>
      <c r="V208" s="4" t="s">
        <v>251</v>
      </c>
      <c r="W208" s="4">
        <f>VLOOKUP(V208,[1]界面跳转!$I:$J,2,FALSE)</f>
        <v>7001</v>
      </c>
      <c r="Y208" s="4" t="s">
        <v>56</v>
      </c>
      <c r="Z208" s="4" t="s">
        <v>57</v>
      </c>
      <c r="AB208" s="4">
        <v>6622023</v>
      </c>
      <c r="AG208" s="4">
        <v>1</v>
      </c>
      <c r="AH208" s="4">
        <v>1</v>
      </c>
    </row>
    <row r="209" spans="1:34" x14ac:dyDescent="0.45">
      <c r="A209" s="4">
        <f t="shared" si="142"/>
        <v>12301010</v>
      </c>
      <c r="B209" s="22">
        <v>23</v>
      </c>
      <c r="C209" s="4">
        <v>1</v>
      </c>
      <c r="D209" s="4">
        <f t="shared" ref="D209:D220" si="151">IF(B209=B208,D208+1,1)</f>
        <v>1</v>
      </c>
      <c r="E209" s="4" t="s">
        <v>48</v>
      </c>
      <c r="F209" t="s">
        <v>424</v>
      </c>
      <c r="G209" s="22" t="s">
        <v>67</v>
      </c>
      <c r="H209" s="22">
        <v>23</v>
      </c>
      <c r="I209" s="22" t="s">
        <v>63</v>
      </c>
      <c r="J209" s="4" t="str">
        <f t="shared" si="143"/>
        <v>升级伐木场至23级</v>
      </c>
      <c r="K209" s="4">
        <f t="shared" si="144"/>
        <v>12301010</v>
      </c>
      <c r="L209" s="4" t="str">
        <f t="shared" si="148"/>
        <v>TID_BranchLineTaskConf_201_3_taskName_GL_Main</v>
      </c>
      <c r="M209" s="4">
        <f t="shared" si="149"/>
        <v>12201090</v>
      </c>
      <c r="N209" s="4" t="s">
        <v>51</v>
      </c>
      <c r="O209" s="4" t="s">
        <v>52</v>
      </c>
      <c r="P209" s="4" t="str">
        <f t="shared" si="145"/>
        <v>taskReward{taskId:12201090}</v>
      </c>
      <c r="Q209" s="4" t="s">
        <v>52</v>
      </c>
      <c r="R209" s="4" t="s">
        <v>68</v>
      </c>
      <c r="S209" s="4" t="str">
        <f t="shared" si="146"/>
        <v>buildingLevelUp{buildingType:204,buildingLevel:23}</v>
      </c>
      <c r="T209" s="4" t="s">
        <v>52</v>
      </c>
      <c r="U209" s="4" t="s">
        <v>69</v>
      </c>
      <c r="V209" s="4" t="s">
        <v>226</v>
      </c>
      <c r="W209" s="4">
        <f>VLOOKUP(V209,[1]界面跳转!$I:$J,2,FALSE)</f>
        <v>7011</v>
      </c>
      <c r="Y209" s="4" t="s">
        <v>56</v>
      </c>
      <c r="Z209" s="4" t="s">
        <v>57</v>
      </c>
      <c r="AB209" s="4">
        <v>6622023</v>
      </c>
      <c r="AH209" s="4">
        <v>1</v>
      </c>
    </row>
    <row r="210" spans="1:34" x14ac:dyDescent="0.45">
      <c r="A210" s="4">
        <f t="shared" si="142"/>
        <v>12301020</v>
      </c>
      <c r="B210" s="22">
        <v>23</v>
      </c>
      <c r="C210" s="4">
        <v>1</v>
      </c>
      <c r="D210" s="4">
        <f t="shared" si="151"/>
        <v>2</v>
      </c>
      <c r="E210" s="4" t="s">
        <v>48</v>
      </c>
      <c r="F210" t="s">
        <v>425</v>
      </c>
      <c r="G210" s="22" t="s">
        <v>228</v>
      </c>
      <c r="H210" s="22">
        <v>23</v>
      </c>
      <c r="I210" s="22" t="s">
        <v>63</v>
      </c>
      <c r="J210" s="4" t="str">
        <f t="shared" si="143"/>
        <v>升级石矿场至23级</v>
      </c>
      <c r="K210" s="4">
        <f t="shared" si="144"/>
        <v>12301020</v>
      </c>
      <c r="L210" s="4" t="str">
        <f t="shared" si="148"/>
        <v>TID_BranchLineTaskConf_204_14_taskName_GL_Main</v>
      </c>
      <c r="M210" s="4">
        <f t="shared" si="149"/>
        <v>12301010</v>
      </c>
      <c r="N210" s="4" t="s">
        <v>51</v>
      </c>
      <c r="O210" s="4" t="s">
        <v>52</v>
      </c>
      <c r="P210" s="4" t="str">
        <f t="shared" si="145"/>
        <v>taskReward{taskId:12301010}</v>
      </c>
      <c r="Q210" s="4" t="s">
        <v>52</v>
      </c>
      <c r="R210" s="4" t="s">
        <v>229</v>
      </c>
      <c r="S210" s="4" t="str">
        <f t="shared" si="146"/>
        <v>buildingLevelUp{buildingType:205,buildingLevel:23}</v>
      </c>
      <c r="T210" s="4" t="s">
        <v>52</v>
      </c>
      <c r="U210" s="4" t="s">
        <v>66</v>
      </c>
      <c r="V210" s="4" t="s">
        <v>230</v>
      </c>
      <c r="W210" s="4">
        <f>VLOOKUP(V210,[1]界面跳转!$I:$J,2,FALSE)</f>
        <v>7013</v>
      </c>
      <c r="Y210" s="4" t="s">
        <v>56</v>
      </c>
      <c r="Z210" s="4" t="s">
        <v>57</v>
      </c>
      <c r="AB210" s="4">
        <v>6622023</v>
      </c>
      <c r="AH210" s="4">
        <v>1</v>
      </c>
    </row>
    <row r="211" spans="1:34" x14ac:dyDescent="0.45">
      <c r="A211" s="4">
        <f t="shared" si="142"/>
        <v>12301030</v>
      </c>
      <c r="B211" s="22">
        <v>23</v>
      </c>
      <c r="C211" s="4">
        <v>1</v>
      </c>
      <c r="D211" s="4">
        <f t="shared" si="151"/>
        <v>3</v>
      </c>
      <c r="E211" s="4" t="s">
        <v>48</v>
      </c>
      <c r="F211" t="s">
        <v>426</v>
      </c>
      <c r="G211" s="22" t="s">
        <v>221</v>
      </c>
      <c r="H211" s="22">
        <v>23</v>
      </c>
      <c r="I211" s="22" t="s">
        <v>63</v>
      </c>
      <c r="J211" s="4" t="str">
        <f t="shared" si="143"/>
        <v>升级金矿场至23级</v>
      </c>
      <c r="K211" s="4">
        <f t="shared" si="144"/>
        <v>12301030</v>
      </c>
      <c r="L211" s="4" t="str">
        <f t="shared" si="148"/>
        <v>TID_BranchLineTaskConf_205_14_taskName_GL_Main</v>
      </c>
      <c r="M211" s="4">
        <f t="shared" si="149"/>
        <v>12301020</v>
      </c>
      <c r="N211" s="4" t="s">
        <v>51</v>
      </c>
      <c r="O211" s="4" t="s">
        <v>52</v>
      </c>
      <c r="P211" s="4" t="str">
        <f t="shared" si="145"/>
        <v>taskReward{taskId:12301020}</v>
      </c>
      <c r="Q211" s="4" t="s">
        <v>52</v>
      </c>
      <c r="R211" s="4" t="s">
        <v>222</v>
      </c>
      <c r="S211" s="4" t="str">
        <f t="shared" si="146"/>
        <v>buildingLevelUp{buildingType:234,buildingLevel:23}</v>
      </c>
      <c r="T211" s="4" t="s">
        <v>52</v>
      </c>
      <c r="U211" s="4" t="s">
        <v>223</v>
      </c>
      <c r="V211" s="4" t="s">
        <v>224</v>
      </c>
      <c r="W211" s="4">
        <f>VLOOKUP(V211,[1]界面跳转!$I:$J,2,FALSE)</f>
        <v>7067</v>
      </c>
      <c r="Y211" s="4" t="s">
        <v>56</v>
      </c>
      <c r="Z211" s="4" t="s">
        <v>57</v>
      </c>
      <c r="AB211" s="4">
        <v>6622023</v>
      </c>
      <c r="AH211" s="4">
        <v>1</v>
      </c>
    </row>
    <row r="212" spans="1:34" x14ac:dyDescent="0.45">
      <c r="A212" s="4">
        <f t="shared" si="142"/>
        <v>12301040</v>
      </c>
      <c r="B212" s="22">
        <v>23</v>
      </c>
      <c r="C212" s="4">
        <v>1</v>
      </c>
      <c r="D212" s="4">
        <f t="shared" si="151"/>
        <v>4</v>
      </c>
      <c r="E212" s="4" t="s">
        <v>48</v>
      </c>
      <c r="F212" t="s">
        <v>427</v>
      </c>
      <c r="G212" s="22" t="s">
        <v>71</v>
      </c>
      <c r="H212" s="22">
        <v>23</v>
      </c>
      <c r="I212" s="22" t="s">
        <v>63</v>
      </c>
      <c r="J212" s="4" t="str">
        <f t="shared" si="143"/>
        <v>升级磨坊至23级</v>
      </c>
      <c r="K212" s="4">
        <f t="shared" si="144"/>
        <v>12301040</v>
      </c>
      <c r="L212" s="4" t="str">
        <f t="shared" si="148"/>
        <v>TID_BranchLineTaskConf_234_14_taskName_GL_Main</v>
      </c>
      <c r="M212" s="4">
        <f t="shared" si="149"/>
        <v>12301030</v>
      </c>
      <c r="N212" s="4" t="s">
        <v>51</v>
      </c>
      <c r="O212" s="4" t="s">
        <v>52</v>
      </c>
      <c r="P212" s="4" t="str">
        <f t="shared" si="145"/>
        <v>taskReward{taskId:12301030}</v>
      </c>
      <c r="Q212" s="4" t="s">
        <v>52</v>
      </c>
      <c r="R212" s="4" t="s">
        <v>72</v>
      </c>
      <c r="S212" s="4" t="str">
        <f t="shared" si="146"/>
        <v>buildingLevelUp{buildingType:203,buildingLevel:23}</v>
      </c>
      <c r="T212" s="4" t="s">
        <v>52</v>
      </c>
      <c r="U212" s="4" t="s">
        <v>73</v>
      </c>
      <c r="V212" s="4" t="s">
        <v>181</v>
      </c>
      <c r="W212" s="4">
        <f>VLOOKUP(V212,[1]界面跳转!$I:$J,2,FALSE)</f>
        <v>7009</v>
      </c>
      <c r="Y212" s="4" t="s">
        <v>56</v>
      </c>
      <c r="Z212" s="4" t="s">
        <v>57</v>
      </c>
      <c r="AB212" s="4">
        <v>6622023</v>
      </c>
      <c r="AH212" s="4">
        <v>1</v>
      </c>
    </row>
    <row r="213" spans="1:34" x14ac:dyDescent="0.45">
      <c r="A213" s="4">
        <f t="shared" si="142"/>
        <v>12301050</v>
      </c>
      <c r="B213" s="22">
        <v>23</v>
      </c>
      <c r="C213" s="4">
        <v>1</v>
      </c>
      <c r="D213" s="4">
        <f t="shared" si="151"/>
        <v>5</v>
      </c>
      <c r="E213" s="4" t="s">
        <v>48</v>
      </c>
      <c r="F213" t="s">
        <v>428</v>
      </c>
      <c r="G213" s="22" t="s">
        <v>150</v>
      </c>
      <c r="H213" s="22">
        <v>23</v>
      </c>
      <c r="I213" s="22" t="s">
        <v>63</v>
      </c>
      <c r="J213" s="4" t="str">
        <f t="shared" si="143"/>
        <v>升级居民房舍至23级</v>
      </c>
      <c r="K213" s="4">
        <f t="shared" si="144"/>
        <v>12301050</v>
      </c>
      <c r="L213" s="4" t="str">
        <f t="shared" si="148"/>
        <v>TID_BranchLineTaskConf_203_14_taskName_GL_Main</v>
      </c>
      <c r="M213" s="4">
        <f t="shared" si="149"/>
        <v>12301040</v>
      </c>
      <c r="N213" s="4" t="s">
        <v>51</v>
      </c>
      <c r="O213" s="4" t="s">
        <v>52</v>
      </c>
      <c r="P213" s="4" t="str">
        <f t="shared" si="145"/>
        <v>taskReward{taskId:12301040}</v>
      </c>
      <c r="Q213" s="4" t="s">
        <v>52</v>
      </c>
      <c r="R213" s="4" t="s">
        <v>151</v>
      </c>
      <c r="S213" s="4" t="str">
        <f t="shared" si="146"/>
        <v>buildingLevelUp{buildingType:202,buildingLevel:23}</v>
      </c>
      <c r="T213" s="4" t="s">
        <v>52</v>
      </c>
      <c r="U213" s="4" t="s">
        <v>234</v>
      </c>
      <c r="V213" s="4" t="s">
        <v>153</v>
      </c>
      <c r="W213" s="4">
        <f>VLOOKUP(V213,[1]界面跳转!$I:$J,2,FALSE)</f>
        <v>7006</v>
      </c>
      <c r="Y213" s="4" t="s">
        <v>56</v>
      </c>
      <c r="Z213" s="4" t="s">
        <v>57</v>
      </c>
      <c r="AB213" s="4">
        <v>6622023</v>
      </c>
      <c r="AH213" s="4">
        <v>1</v>
      </c>
    </row>
    <row r="214" spans="1:34" x14ac:dyDescent="0.45">
      <c r="A214" s="4">
        <f t="shared" si="142"/>
        <v>12301060</v>
      </c>
      <c r="B214" s="22">
        <v>23</v>
      </c>
      <c r="C214" s="4">
        <v>1</v>
      </c>
      <c r="D214" s="4">
        <f t="shared" si="151"/>
        <v>6</v>
      </c>
      <c r="E214" s="4" t="s">
        <v>48</v>
      </c>
      <c r="F214" t="s">
        <v>429</v>
      </c>
      <c r="G214" s="22" t="s">
        <v>101</v>
      </c>
      <c r="H214" s="22">
        <v>23</v>
      </c>
      <c r="I214" s="22" t="s">
        <v>63</v>
      </c>
      <c r="J214" s="4" t="str">
        <f t="shared" si="143"/>
        <v>升级治疗房舍至23级</v>
      </c>
      <c r="K214" s="4">
        <f t="shared" si="144"/>
        <v>12301060</v>
      </c>
      <c r="L214" s="4" t="str">
        <f t="shared" si="148"/>
        <v>TID_BranchLineTaskConf_202_13_taskName_GL_Main</v>
      </c>
      <c r="M214" s="4">
        <f t="shared" si="149"/>
        <v>12301050</v>
      </c>
      <c r="N214" s="4" t="s">
        <v>51</v>
      </c>
      <c r="O214" s="4" t="s">
        <v>52</v>
      </c>
      <c r="P214" s="4" t="str">
        <f t="shared" si="145"/>
        <v>taskReward{taskId:12301050}</v>
      </c>
      <c r="Q214" s="4" t="s">
        <v>52</v>
      </c>
      <c r="R214" s="4" t="s">
        <v>102</v>
      </c>
      <c r="S214" s="4" t="str">
        <f t="shared" si="146"/>
        <v>buildingLevelUp{buildingType:222,buildingLevel:23}</v>
      </c>
      <c r="T214" s="4" t="s">
        <v>52</v>
      </c>
      <c r="U214" s="4" t="s">
        <v>103</v>
      </c>
      <c r="V214" s="4" t="s">
        <v>236</v>
      </c>
      <c r="W214" s="4">
        <f>VLOOKUP(V214,[1]界面跳转!$I:$J,2,FALSE)</f>
        <v>7041</v>
      </c>
      <c r="Y214" s="4" t="s">
        <v>56</v>
      </c>
      <c r="Z214" s="4" t="s">
        <v>57</v>
      </c>
      <c r="AB214" s="4">
        <v>6622023</v>
      </c>
      <c r="AH214" s="4">
        <v>1</v>
      </c>
    </row>
    <row r="215" spans="1:34" x14ac:dyDescent="0.45">
      <c r="A215" s="4">
        <f t="shared" si="142"/>
        <v>12301070</v>
      </c>
      <c r="B215" s="22">
        <v>23</v>
      </c>
      <c r="C215" s="4">
        <v>1</v>
      </c>
      <c r="D215" s="4">
        <f t="shared" si="151"/>
        <v>7</v>
      </c>
      <c r="E215" s="4" t="s">
        <v>48</v>
      </c>
      <c r="F215" t="s">
        <v>430</v>
      </c>
      <c r="G215" s="22" t="s">
        <v>319</v>
      </c>
      <c r="H215" s="22">
        <v>23</v>
      </c>
      <c r="I215" s="22" t="s">
        <v>63</v>
      </c>
      <c r="J215" s="4" t="str">
        <f t="shared" si="143"/>
        <v>升级大使馆至23级</v>
      </c>
      <c r="K215" s="4">
        <f t="shared" si="144"/>
        <v>12301070</v>
      </c>
      <c r="L215" s="4" t="str">
        <f t="shared" si="148"/>
        <v>TID_BranchLineTaskConf_222_17_taskName_GL_Main</v>
      </c>
      <c r="M215" s="4">
        <f t="shared" si="149"/>
        <v>12301060</v>
      </c>
      <c r="N215" s="4" t="s">
        <v>51</v>
      </c>
      <c r="O215" s="4" t="s">
        <v>52</v>
      </c>
      <c r="P215" s="4" t="str">
        <f t="shared" si="145"/>
        <v>taskReward{taskId:12301060}</v>
      </c>
      <c r="Q215" s="4" t="s">
        <v>52</v>
      </c>
      <c r="R215" s="4" t="s">
        <v>320</v>
      </c>
      <c r="S215" s="4" t="str">
        <f t="shared" si="146"/>
        <v>buildingLevelUp{buildingType:230,buildingLevel:23}</v>
      </c>
      <c r="T215" s="4" t="s">
        <v>52</v>
      </c>
      <c r="U215" s="4" t="s">
        <v>321</v>
      </c>
      <c r="V215" s="4" t="s">
        <v>322</v>
      </c>
      <c r="W215" s="4">
        <f>VLOOKUP(V215,[1]界面跳转!$I:$J,2,FALSE)</f>
        <v>7055</v>
      </c>
      <c r="Y215" s="4" t="s">
        <v>56</v>
      </c>
      <c r="Z215" s="4" t="s">
        <v>57</v>
      </c>
      <c r="AB215" s="4">
        <v>6622023</v>
      </c>
      <c r="AH215" s="4">
        <v>1</v>
      </c>
    </row>
    <row r="216" spans="1:34" x14ac:dyDescent="0.45">
      <c r="A216" s="4">
        <f t="shared" si="142"/>
        <v>12301080</v>
      </c>
      <c r="B216" s="22">
        <v>23</v>
      </c>
      <c r="C216" s="4">
        <v>1</v>
      </c>
      <c r="D216" s="4">
        <f t="shared" si="151"/>
        <v>8</v>
      </c>
      <c r="E216" s="4" t="s">
        <v>48</v>
      </c>
      <c r="F216" t="s">
        <v>431</v>
      </c>
      <c r="G216" s="22" t="s">
        <v>106</v>
      </c>
      <c r="H216" s="22">
        <v>23</v>
      </c>
      <c r="I216" s="22" t="s">
        <v>63</v>
      </c>
      <c r="J216" s="4" t="str">
        <f t="shared" si="143"/>
        <v>升级城墙至23级</v>
      </c>
      <c r="K216" s="4">
        <f t="shared" si="144"/>
        <v>12301080</v>
      </c>
      <c r="L216" s="4" t="str">
        <f t="shared" si="148"/>
        <v>TID_BranchLineTaskConf_230_19_taskName_GL_Main</v>
      </c>
      <c r="M216" s="4">
        <f t="shared" si="149"/>
        <v>12301070</v>
      </c>
      <c r="N216" s="4" t="s">
        <v>51</v>
      </c>
      <c r="O216" s="4" t="s">
        <v>52</v>
      </c>
      <c r="P216" s="4" t="str">
        <f t="shared" si="145"/>
        <v>taskReward{taskId:12301070}</v>
      </c>
      <c r="Q216" s="4" t="s">
        <v>52</v>
      </c>
      <c r="R216" s="4" t="s">
        <v>107</v>
      </c>
      <c r="S216" s="4" t="str">
        <f t="shared" si="146"/>
        <v>buildingLevelUp{buildingType:215,buildingLevel:23}</v>
      </c>
      <c r="T216" s="4" t="s">
        <v>52</v>
      </c>
      <c r="U216" s="4" t="s">
        <v>108</v>
      </c>
      <c r="V216" s="4" t="s">
        <v>249</v>
      </c>
      <c r="W216" s="4">
        <f>VLOOKUP(V216,[1]界面跳转!$I:$J,2,FALSE)</f>
        <v>7039</v>
      </c>
      <c r="Y216" s="4" t="s">
        <v>56</v>
      </c>
      <c r="Z216" s="4" t="s">
        <v>57</v>
      </c>
      <c r="AB216" s="4">
        <v>6622023</v>
      </c>
      <c r="AH216" s="4">
        <v>1</v>
      </c>
    </row>
    <row r="217" spans="1:34" ht="16.149999999999999" customHeight="1" x14ac:dyDescent="0.45">
      <c r="A217" s="4">
        <f t="shared" si="142"/>
        <v>12301090</v>
      </c>
      <c r="B217" s="22">
        <v>23</v>
      </c>
      <c r="C217" s="4">
        <v>1</v>
      </c>
      <c r="D217" s="4">
        <f t="shared" si="151"/>
        <v>9</v>
      </c>
      <c r="E217" s="4" t="s">
        <v>48</v>
      </c>
      <c r="F217" t="s">
        <v>432</v>
      </c>
      <c r="G217" s="45" t="s">
        <v>96</v>
      </c>
      <c r="H217" s="45">
        <v>24</v>
      </c>
      <c r="I217" s="45" t="s">
        <v>63</v>
      </c>
      <c r="J217" s="4" t="str">
        <f t="shared" si="143"/>
        <v>升级城镇中心至24级</v>
      </c>
      <c r="K217" s="4">
        <f t="shared" si="144"/>
        <v>12301090</v>
      </c>
      <c r="L217" s="4" t="str">
        <f t="shared" si="148"/>
        <v>TID_BranchLineTaskConf_215_20_taskName_GL_Main</v>
      </c>
      <c r="M217" s="4">
        <f t="shared" si="149"/>
        <v>12301080</v>
      </c>
      <c r="N217" s="4" t="s">
        <v>51</v>
      </c>
      <c r="O217" s="4" t="s">
        <v>52</v>
      </c>
      <c r="P217" s="4" t="str">
        <f t="shared" si="145"/>
        <v>taskReward{taskId:12301080}</v>
      </c>
      <c r="Q217" s="4" t="s">
        <v>52</v>
      </c>
      <c r="R217" s="4" t="s">
        <v>97</v>
      </c>
      <c r="S217" s="4" t="str">
        <f t="shared" si="146"/>
        <v>buildingLevelUp{buildingType:201,buildingLevel:24}</v>
      </c>
      <c r="T217" s="4" t="s">
        <v>52</v>
      </c>
      <c r="U217" s="4" t="s">
        <v>98</v>
      </c>
      <c r="V217" s="4" t="s">
        <v>251</v>
      </c>
      <c r="W217" s="4">
        <f>VLOOKUP(V217,[1]界面跳转!$I:$J,2,FALSE)</f>
        <v>7001</v>
      </c>
      <c r="Y217" s="4" t="s">
        <v>56</v>
      </c>
      <c r="Z217" s="4" t="s">
        <v>57</v>
      </c>
      <c r="AB217" s="4">
        <v>6622024</v>
      </c>
      <c r="AG217" s="4">
        <v>1</v>
      </c>
      <c r="AH217" s="4">
        <v>1</v>
      </c>
    </row>
    <row r="218" spans="1:34" x14ac:dyDescent="0.45">
      <c r="A218" s="4">
        <f t="shared" ref="A218:A225" si="152">10000000+B218*100000+C218*1000+D218*10</f>
        <v>12401010</v>
      </c>
      <c r="B218" s="22">
        <v>24</v>
      </c>
      <c r="C218" s="4">
        <v>1</v>
      </c>
      <c r="D218" s="4">
        <f t="shared" si="151"/>
        <v>1</v>
      </c>
      <c r="E218" s="4" t="s">
        <v>48</v>
      </c>
      <c r="F218" t="s">
        <v>433</v>
      </c>
      <c r="G218" s="22" t="s">
        <v>67</v>
      </c>
      <c r="H218" s="22">
        <v>24</v>
      </c>
      <c r="I218" s="22" t="s">
        <v>63</v>
      </c>
      <c r="J218" s="4" t="str">
        <f t="shared" ref="J218:J225" si="153">G218&amp;H218&amp;I218</f>
        <v>升级伐木场至24级</v>
      </c>
      <c r="K218" s="4">
        <f t="shared" ref="K218:K225" si="154">A218</f>
        <v>12401010</v>
      </c>
      <c r="L218" s="4" t="str">
        <f t="shared" si="148"/>
        <v>TID_BranchLineTaskConf_201_4_taskName_GL_Main</v>
      </c>
      <c r="M218" s="4">
        <f t="shared" si="149"/>
        <v>12301090</v>
      </c>
      <c r="N218" s="4" t="s">
        <v>51</v>
      </c>
      <c r="O218" s="4" t="s">
        <v>52</v>
      </c>
      <c r="P218" s="4" t="str">
        <f t="shared" si="145"/>
        <v>taskReward{taskId:12301090}</v>
      </c>
      <c r="Q218" s="4" t="s">
        <v>52</v>
      </c>
      <c r="R218" s="4" t="s">
        <v>68</v>
      </c>
      <c r="S218" s="4" t="str">
        <f t="shared" ref="S218:S225" si="155">SUBSTITUTE(R218,"@@@",H218)</f>
        <v>buildingLevelUp{buildingType:204,buildingLevel:24}</v>
      </c>
      <c r="T218" s="4" t="s">
        <v>52</v>
      </c>
      <c r="U218" s="4" t="s">
        <v>69</v>
      </c>
      <c r="V218" s="4" t="s">
        <v>226</v>
      </c>
      <c r="W218" s="4">
        <f>VLOOKUP(V218,[1]界面跳转!$I:$J,2,FALSE)</f>
        <v>7011</v>
      </c>
      <c r="Y218" s="4" t="s">
        <v>56</v>
      </c>
      <c r="Z218" s="4" t="s">
        <v>57</v>
      </c>
      <c r="AB218" s="4">
        <v>6622024</v>
      </c>
      <c r="AH218" s="4">
        <v>1</v>
      </c>
    </row>
    <row r="219" spans="1:34" x14ac:dyDescent="0.45">
      <c r="A219" s="4">
        <f t="shared" si="152"/>
        <v>12401020</v>
      </c>
      <c r="B219" s="22">
        <v>24</v>
      </c>
      <c r="C219" s="4">
        <v>1</v>
      </c>
      <c r="D219" s="4">
        <f t="shared" si="151"/>
        <v>2</v>
      </c>
      <c r="E219" s="4" t="s">
        <v>48</v>
      </c>
      <c r="F219" t="s">
        <v>434</v>
      </c>
      <c r="G219" s="22" t="s">
        <v>228</v>
      </c>
      <c r="H219" s="22">
        <v>24</v>
      </c>
      <c r="I219" s="22" t="s">
        <v>63</v>
      </c>
      <c r="J219" s="4" t="str">
        <f t="shared" si="153"/>
        <v>升级石矿场至24级</v>
      </c>
      <c r="K219" s="4">
        <f t="shared" si="154"/>
        <v>12401020</v>
      </c>
      <c r="L219" s="4" t="str">
        <f t="shared" si="148"/>
        <v>TID_BranchLineTaskConf_204_15_taskName_GL_Main</v>
      </c>
      <c r="M219" s="4">
        <f t="shared" si="149"/>
        <v>12401010</v>
      </c>
      <c r="N219" s="4" t="s">
        <v>51</v>
      </c>
      <c r="O219" s="4" t="s">
        <v>52</v>
      </c>
      <c r="P219" s="4" t="str">
        <f t="shared" si="145"/>
        <v>taskReward{taskId:12401010}</v>
      </c>
      <c r="Q219" s="4" t="s">
        <v>52</v>
      </c>
      <c r="R219" s="4" t="s">
        <v>229</v>
      </c>
      <c r="S219" s="4" t="str">
        <f t="shared" si="155"/>
        <v>buildingLevelUp{buildingType:205,buildingLevel:24}</v>
      </c>
      <c r="T219" s="4" t="s">
        <v>52</v>
      </c>
      <c r="U219" s="4" t="s">
        <v>66</v>
      </c>
      <c r="V219" s="4" t="s">
        <v>230</v>
      </c>
      <c r="W219" s="4">
        <f>VLOOKUP(V219,[1]界面跳转!$I:$J,2,FALSE)</f>
        <v>7013</v>
      </c>
      <c r="Y219" s="4" t="s">
        <v>56</v>
      </c>
      <c r="Z219" s="4" t="s">
        <v>57</v>
      </c>
      <c r="AB219" s="4">
        <v>6622024</v>
      </c>
      <c r="AH219" s="4">
        <v>1</v>
      </c>
    </row>
    <row r="220" spans="1:34" x14ac:dyDescent="0.45">
      <c r="A220" s="4">
        <f t="shared" si="152"/>
        <v>12401030</v>
      </c>
      <c r="B220" s="22">
        <v>24</v>
      </c>
      <c r="C220" s="4">
        <v>1</v>
      </c>
      <c r="D220" s="4">
        <f t="shared" si="151"/>
        <v>3</v>
      </c>
      <c r="E220" s="4" t="s">
        <v>48</v>
      </c>
      <c r="F220" t="s">
        <v>435</v>
      </c>
      <c r="G220" s="22" t="s">
        <v>221</v>
      </c>
      <c r="H220" s="22">
        <v>24</v>
      </c>
      <c r="I220" s="22" t="s">
        <v>63</v>
      </c>
      <c r="J220" s="4" t="str">
        <f t="shared" si="153"/>
        <v>升级金矿场至24级</v>
      </c>
      <c r="K220" s="4">
        <f t="shared" si="154"/>
        <v>12401030</v>
      </c>
      <c r="L220" s="4" t="str">
        <f t="shared" si="148"/>
        <v>TID_BranchLineTaskConf_205_15_taskName_GL_Main</v>
      </c>
      <c r="M220" s="4">
        <f t="shared" si="149"/>
        <v>12401020</v>
      </c>
      <c r="N220" s="4" t="s">
        <v>51</v>
      </c>
      <c r="O220" s="4" t="s">
        <v>52</v>
      </c>
      <c r="P220" s="4" t="str">
        <f t="shared" si="145"/>
        <v>taskReward{taskId:12401020}</v>
      </c>
      <c r="Q220" s="4" t="s">
        <v>52</v>
      </c>
      <c r="R220" s="4" t="s">
        <v>222</v>
      </c>
      <c r="S220" s="4" t="str">
        <f t="shared" si="155"/>
        <v>buildingLevelUp{buildingType:234,buildingLevel:24}</v>
      </c>
      <c r="T220" s="4" t="s">
        <v>52</v>
      </c>
      <c r="U220" s="4" t="s">
        <v>223</v>
      </c>
      <c r="V220" s="4" t="s">
        <v>224</v>
      </c>
      <c r="W220" s="4">
        <f>VLOOKUP(V220,[1]界面跳转!$I:$J,2,FALSE)</f>
        <v>7067</v>
      </c>
      <c r="Y220" s="4" t="s">
        <v>56</v>
      </c>
      <c r="Z220" s="4" t="s">
        <v>57</v>
      </c>
      <c r="AB220" s="4">
        <v>6622024</v>
      </c>
      <c r="AH220" s="4">
        <v>1</v>
      </c>
    </row>
    <row r="221" spans="1:34" x14ac:dyDescent="0.45">
      <c r="A221" s="4">
        <f t="shared" si="152"/>
        <v>12401040</v>
      </c>
      <c r="B221" s="22">
        <v>24</v>
      </c>
      <c r="C221" s="4">
        <v>1</v>
      </c>
      <c r="D221" s="4">
        <f t="shared" ref="D221:D226" si="156">IF(B221=B220,D220+1,1)</f>
        <v>4</v>
      </c>
      <c r="E221" s="4" t="s">
        <v>48</v>
      </c>
      <c r="F221" t="s">
        <v>436</v>
      </c>
      <c r="G221" s="22" t="s">
        <v>71</v>
      </c>
      <c r="H221" s="22">
        <v>24</v>
      </c>
      <c r="I221" s="22" t="s">
        <v>63</v>
      </c>
      <c r="J221" s="4" t="str">
        <f t="shared" si="153"/>
        <v>升级磨坊至24级</v>
      </c>
      <c r="K221" s="4">
        <f t="shared" si="154"/>
        <v>12401040</v>
      </c>
      <c r="L221" s="4" t="str">
        <f t="shared" si="148"/>
        <v>TID_BranchLineTaskConf_234_15_taskName_GL_Main</v>
      </c>
      <c r="M221" s="4">
        <f t="shared" si="149"/>
        <v>12401030</v>
      </c>
      <c r="N221" s="4" t="s">
        <v>51</v>
      </c>
      <c r="O221" s="4" t="s">
        <v>52</v>
      </c>
      <c r="P221" s="4" t="str">
        <f t="shared" si="145"/>
        <v>taskReward{taskId:12401030}</v>
      </c>
      <c r="Q221" s="4" t="s">
        <v>52</v>
      </c>
      <c r="R221" s="4" t="s">
        <v>72</v>
      </c>
      <c r="S221" s="4" t="str">
        <f t="shared" si="155"/>
        <v>buildingLevelUp{buildingType:203,buildingLevel:24}</v>
      </c>
      <c r="T221" s="4" t="s">
        <v>52</v>
      </c>
      <c r="U221" s="4" t="s">
        <v>73</v>
      </c>
      <c r="V221" s="4" t="s">
        <v>181</v>
      </c>
      <c r="W221" s="4">
        <f>VLOOKUP(V221,[1]界面跳转!$I:$J,2,FALSE)</f>
        <v>7009</v>
      </c>
      <c r="Y221" s="4" t="s">
        <v>56</v>
      </c>
      <c r="Z221" s="4" t="s">
        <v>57</v>
      </c>
      <c r="AB221" s="4">
        <v>6622024</v>
      </c>
      <c r="AH221" s="4">
        <v>1</v>
      </c>
    </row>
    <row r="222" spans="1:34" x14ac:dyDescent="0.45">
      <c r="A222" s="4">
        <f t="shared" si="152"/>
        <v>12401050</v>
      </c>
      <c r="B222" s="22">
        <v>24</v>
      </c>
      <c r="C222" s="4">
        <v>1</v>
      </c>
      <c r="D222" s="4">
        <f t="shared" si="156"/>
        <v>5</v>
      </c>
      <c r="E222" s="4" t="s">
        <v>48</v>
      </c>
      <c r="F222" t="s">
        <v>437</v>
      </c>
      <c r="G222" s="22" t="s">
        <v>150</v>
      </c>
      <c r="H222" s="22">
        <v>24</v>
      </c>
      <c r="I222" s="22" t="s">
        <v>63</v>
      </c>
      <c r="J222" s="4" t="str">
        <f t="shared" si="153"/>
        <v>升级居民房舍至24级</v>
      </c>
      <c r="K222" s="4">
        <f t="shared" si="154"/>
        <v>12401050</v>
      </c>
      <c r="L222" s="4" t="str">
        <f t="shared" si="148"/>
        <v>TID_BranchLineTaskConf_203_15_taskName_GL_Main</v>
      </c>
      <c r="M222" s="4">
        <f t="shared" si="149"/>
        <v>12401040</v>
      </c>
      <c r="N222" s="4" t="s">
        <v>51</v>
      </c>
      <c r="O222" s="4" t="s">
        <v>52</v>
      </c>
      <c r="P222" s="4" t="str">
        <f t="shared" si="145"/>
        <v>taskReward{taskId:12401040}</v>
      </c>
      <c r="Q222" s="4" t="s">
        <v>52</v>
      </c>
      <c r="R222" s="4" t="s">
        <v>151</v>
      </c>
      <c r="S222" s="4" t="str">
        <f t="shared" si="155"/>
        <v>buildingLevelUp{buildingType:202,buildingLevel:24}</v>
      </c>
      <c r="T222" s="4" t="s">
        <v>52</v>
      </c>
      <c r="U222" s="4" t="s">
        <v>234</v>
      </c>
      <c r="V222" s="4" t="s">
        <v>153</v>
      </c>
      <c r="W222" s="4">
        <f>VLOOKUP(V222,[1]界面跳转!$I:$J,2,FALSE)</f>
        <v>7006</v>
      </c>
      <c r="Y222" s="4" t="s">
        <v>56</v>
      </c>
      <c r="Z222" s="4" t="s">
        <v>57</v>
      </c>
      <c r="AB222" s="4">
        <v>6622024</v>
      </c>
      <c r="AH222" s="4">
        <v>1</v>
      </c>
    </row>
    <row r="223" spans="1:34" x14ac:dyDescent="0.45">
      <c r="A223" s="4">
        <f t="shared" si="152"/>
        <v>12401060</v>
      </c>
      <c r="B223" s="22">
        <v>24</v>
      </c>
      <c r="C223" s="4">
        <v>1</v>
      </c>
      <c r="D223" s="4">
        <f t="shared" si="156"/>
        <v>6</v>
      </c>
      <c r="E223" s="4" t="s">
        <v>48</v>
      </c>
      <c r="F223" s="34" t="s">
        <v>438</v>
      </c>
      <c r="G223" s="22" t="s">
        <v>124</v>
      </c>
      <c r="H223" s="22">
        <v>24</v>
      </c>
      <c r="I223" s="22" t="s">
        <v>63</v>
      </c>
      <c r="J223" s="4" t="str">
        <f t="shared" si="153"/>
        <v>升级学院至24级</v>
      </c>
      <c r="K223" s="4">
        <f t="shared" si="154"/>
        <v>12401060</v>
      </c>
      <c r="L223" s="4" t="str">
        <f t="shared" si="148"/>
        <v>TID_BranchLineTaskConf_202_14_taskName_GL_Main</v>
      </c>
      <c r="M223" s="4">
        <f t="shared" si="149"/>
        <v>12401050</v>
      </c>
      <c r="N223" s="4" t="s">
        <v>51</v>
      </c>
      <c r="O223" s="4" t="s">
        <v>52</v>
      </c>
      <c r="P223" s="4" t="str">
        <f t="shared" si="145"/>
        <v>taskReward{taskId:12401050}</v>
      </c>
      <c r="Q223" s="4" t="s">
        <v>52</v>
      </c>
      <c r="R223" s="4" t="s">
        <v>125</v>
      </c>
      <c r="S223" s="4" t="str">
        <f t="shared" si="155"/>
        <v>buildingLevelUp{buildingType:211,buildingLevel:24}</v>
      </c>
      <c r="T223" s="4" t="s">
        <v>52</v>
      </c>
      <c r="U223" s="4" t="s">
        <v>126</v>
      </c>
      <c r="V223" s="4" t="s">
        <v>127</v>
      </c>
      <c r="W223" s="4">
        <f>VLOOKUP(V223,[1]界面跳转!$I:$J,2,FALSE)</f>
        <v>7029</v>
      </c>
      <c r="Y223" s="4" t="s">
        <v>56</v>
      </c>
      <c r="Z223" s="4" t="s">
        <v>57</v>
      </c>
      <c r="AB223" s="4">
        <v>6622024</v>
      </c>
      <c r="AH223" s="4">
        <v>1</v>
      </c>
    </row>
    <row r="224" spans="1:34" x14ac:dyDescent="0.45">
      <c r="A224" s="4">
        <f t="shared" si="152"/>
        <v>12401070</v>
      </c>
      <c r="B224" s="22">
        <v>24</v>
      </c>
      <c r="C224" s="4">
        <v>1</v>
      </c>
      <c r="D224" s="4">
        <f t="shared" si="156"/>
        <v>7</v>
      </c>
      <c r="E224" s="4" t="s">
        <v>48</v>
      </c>
      <c r="F224" t="s">
        <v>439</v>
      </c>
      <c r="G224" s="22" t="s">
        <v>101</v>
      </c>
      <c r="H224" s="22">
        <v>24</v>
      </c>
      <c r="I224" s="22" t="s">
        <v>63</v>
      </c>
      <c r="J224" s="4" t="str">
        <f t="shared" si="153"/>
        <v>升级治疗房舍至24级</v>
      </c>
      <c r="K224" s="4">
        <f t="shared" si="154"/>
        <v>12401070</v>
      </c>
      <c r="L224" s="4" t="str">
        <f t="shared" si="148"/>
        <v>TID_BranchLineTaskConf_211_23_taskName_GL_Main</v>
      </c>
      <c r="M224" s="4">
        <f t="shared" si="149"/>
        <v>12401060</v>
      </c>
      <c r="N224" s="4" t="s">
        <v>51</v>
      </c>
      <c r="O224" s="4" t="s">
        <v>52</v>
      </c>
      <c r="P224" s="4" t="str">
        <f t="shared" si="145"/>
        <v>taskReward{taskId:12401060}</v>
      </c>
      <c r="Q224" s="4" t="s">
        <v>52</v>
      </c>
      <c r="R224" s="4" t="s">
        <v>102</v>
      </c>
      <c r="S224" s="4" t="str">
        <f t="shared" si="155"/>
        <v>buildingLevelUp{buildingType:222,buildingLevel:24}</v>
      </c>
      <c r="T224" s="4" t="s">
        <v>52</v>
      </c>
      <c r="U224" s="4" t="s">
        <v>103</v>
      </c>
      <c r="V224" s="4" t="s">
        <v>236</v>
      </c>
      <c r="W224" s="4">
        <f>VLOOKUP(V224,[1]界面跳转!$I:$J,2,FALSE)</f>
        <v>7041</v>
      </c>
      <c r="Y224" s="4" t="s">
        <v>56</v>
      </c>
      <c r="Z224" s="4" t="s">
        <v>57</v>
      </c>
      <c r="AB224" s="4">
        <v>6622024</v>
      </c>
      <c r="AH224" s="4">
        <v>1</v>
      </c>
    </row>
    <row r="225" spans="1:34" x14ac:dyDescent="0.45">
      <c r="A225" s="4">
        <f t="shared" si="152"/>
        <v>12401080</v>
      </c>
      <c r="B225" s="22">
        <v>24</v>
      </c>
      <c r="C225" s="4">
        <v>1</v>
      </c>
      <c r="D225" s="4">
        <f t="shared" si="156"/>
        <v>8</v>
      </c>
      <c r="E225" s="4" t="s">
        <v>48</v>
      </c>
      <c r="F225" t="s">
        <v>440</v>
      </c>
      <c r="G225" s="22" t="s">
        <v>106</v>
      </c>
      <c r="H225" s="22">
        <v>24</v>
      </c>
      <c r="I225" s="22" t="s">
        <v>63</v>
      </c>
      <c r="J225" s="4" t="str">
        <f t="shared" si="153"/>
        <v>升级城墙至24级</v>
      </c>
      <c r="K225" s="4">
        <f t="shared" si="154"/>
        <v>12401080</v>
      </c>
      <c r="L225" s="4" t="str">
        <f t="shared" si="148"/>
        <v>TID_BranchLineTaskConf_222_18_taskName_GL_Main</v>
      </c>
      <c r="M225" s="4">
        <f t="shared" si="149"/>
        <v>12401070</v>
      </c>
      <c r="N225" s="4" t="s">
        <v>51</v>
      </c>
      <c r="O225" s="4" t="s">
        <v>52</v>
      </c>
      <c r="P225" s="4" t="str">
        <f t="shared" si="145"/>
        <v>taskReward{taskId:12401070}</v>
      </c>
      <c r="Q225" s="4" t="s">
        <v>52</v>
      </c>
      <c r="R225" s="4" t="s">
        <v>107</v>
      </c>
      <c r="S225" s="4" t="str">
        <f t="shared" si="155"/>
        <v>buildingLevelUp{buildingType:215,buildingLevel:24}</v>
      </c>
      <c r="T225" s="4" t="s">
        <v>52</v>
      </c>
      <c r="U225" s="4" t="s">
        <v>108</v>
      </c>
      <c r="V225" s="4" t="s">
        <v>249</v>
      </c>
      <c r="W225" s="4">
        <f>VLOOKUP(V225,[1]界面跳转!$I:$J,2,FALSE)</f>
        <v>7039</v>
      </c>
      <c r="Y225" s="4" t="s">
        <v>56</v>
      </c>
      <c r="Z225" s="4" t="s">
        <v>57</v>
      </c>
      <c r="AB225" s="4">
        <v>6622024</v>
      </c>
      <c r="AH225" s="4">
        <v>1</v>
      </c>
    </row>
    <row r="226" spans="1:34" ht="16.149999999999999" customHeight="1" x14ac:dyDescent="0.45">
      <c r="A226" s="4">
        <f t="shared" ref="A226:A244" si="157">10000000+B226*100000+C226*1000+D226*10</f>
        <v>12401090</v>
      </c>
      <c r="B226" s="22">
        <v>24</v>
      </c>
      <c r="C226" s="4">
        <v>1</v>
      </c>
      <c r="D226" s="4">
        <f t="shared" si="156"/>
        <v>9</v>
      </c>
      <c r="E226" s="4" t="s">
        <v>48</v>
      </c>
      <c r="F226" t="s">
        <v>441</v>
      </c>
      <c r="G226" s="45" t="s">
        <v>96</v>
      </c>
      <c r="H226" s="45">
        <v>25</v>
      </c>
      <c r="I226" s="45" t="s">
        <v>63</v>
      </c>
      <c r="J226" s="4" t="str">
        <f t="shared" ref="J226:J244" si="158">G226&amp;H226&amp;I226</f>
        <v>升级城镇中心至25级</v>
      </c>
      <c r="K226" s="4">
        <f t="shared" ref="K226:K244" si="159">A226</f>
        <v>12401090</v>
      </c>
      <c r="L226" s="4" t="str">
        <f t="shared" si="148"/>
        <v>TID_BranchLineTaskConf_215_21_taskName_GL_Main</v>
      </c>
      <c r="M226" s="4">
        <f t="shared" si="149"/>
        <v>12401080</v>
      </c>
      <c r="N226" s="4" t="s">
        <v>51</v>
      </c>
      <c r="O226" s="4" t="s">
        <v>52</v>
      </c>
      <c r="P226" s="4" t="str">
        <f t="shared" si="145"/>
        <v>taskReward{taskId:12401080}</v>
      </c>
      <c r="Q226" s="4" t="s">
        <v>52</v>
      </c>
      <c r="R226" s="4" t="s">
        <v>97</v>
      </c>
      <c r="S226" s="4" t="str">
        <f t="shared" ref="S226:S244" si="160">SUBSTITUTE(R226,"@@@",H226)</f>
        <v>buildingLevelUp{buildingType:201,buildingLevel:25}</v>
      </c>
      <c r="T226" s="4" t="s">
        <v>52</v>
      </c>
      <c r="U226" s="4" t="s">
        <v>98</v>
      </c>
      <c r="V226" s="4" t="s">
        <v>251</v>
      </c>
      <c r="W226" s="4">
        <f>VLOOKUP(V226,[1]界面跳转!$I:$J,2,FALSE)</f>
        <v>7001</v>
      </c>
      <c r="Y226" s="4" t="s">
        <v>56</v>
      </c>
      <c r="Z226" s="4" t="s">
        <v>57</v>
      </c>
      <c r="AB226" s="4">
        <v>6622025</v>
      </c>
      <c r="AG226" s="4">
        <v>1</v>
      </c>
      <c r="AH226" s="4">
        <v>1</v>
      </c>
    </row>
    <row r="227" spans="1:34" x14ac:dyDescent="0.45">
      <c r="A227" s="4">
        <f t="shared" si="157"/>
        <v>12501010</v>
      </c>
      <c r="B227" s="22">
        <v>25</v>
      </c>
      <c r="C227" s="4">
        <v>1</v>
      </c>
      <c r="D227" s="4">
        <f t="shared" ref="D227:D235" si="161">IF(B227=B226,D226+1,1)</f>
        <v>1</v>
      </c>
      <c r="E227" s="4" t="s">
        <v>48</v>
      </c>
      <c r="F227" t="s">
        <v>442</v>
      </c>
      <c r="G227" s="22" t="s">
        <v>67</v>
      </c>
      <c r="H227" s="22">
        <v>25</v>
      </c>
      <c r="I227" s="22" t="s">
        <v>63</v>
      </c>
      <c r="J227" s="4" t="str">
        <f t="shared" si="158"/>
        <v>升级伐木场至25级</v>
      </c>
      <c r="K227" s="4">
        <f t="shared" si="159"/>
        <v>12501010</v>
      </c>
      <c r="L227" s="4" t="str">
        <f t="shared" si="148"/>
        <v>TID_BranchLineTaskConf_201_5_taskName_GL_Main</v>
      </c>
      <c r="M227" s="4">
        <f t="shared" si="149"/>
        <v>12401090</v>
      </c>
      <c r="N227" s="4" t="s">
        <v>51</v>
      </c>
      <c r="O227" s="4" t="s">
        <v>52</v>
      </c>
      <c r="P227" s="4" t="str">
        <f t="shared" si="145"/>
        <v>taskReward{taskId:12401090}</v>
      </c>
      <c r="Q227" s="4" t="s">
        <v>52</v>
      </c>
      <c r="R227" s="4" t="s">
        <v>68</v>
      </c>
      <c r="S227" s="4" t="str">
        <f t="shared" si="160"/>
        <v>buildingLevelUp{buildingType:204,buildingLevel:25}</v>
      </c>
      <c r="T227" s="4" t="s">
        <v>52</v>
      </c>
      <c r="U227" s="4" t="s">
        <v>69</v>
      </c>
      <c r="V227" s="4" t="s">
        <v>226</v>
      </c>
      <c r="W227" s="4">
        <f>VLOOKUP(V227,[1]界面跳转!$I:$J,2,FALSE)</f>
        <v>7011</v>
      </c>
      <c r="Y227" s="4" t="s">
        <v>56</v>
      </c>
      <c r="Z227" s="4" t="s">
        <v>57</v>
      </c>
      <c r="AB227" s="4">
        <v>6622025</v>
      </c>
      <c r="AH227" s="4">
        <v>1</v>
      </c>
    </row>
    <row r="228" spans="1:34" x14ac:dyDescent="0.45">
      <c r="A228" s="4">
        <f t="shared" si="157"/>
        <v>12501020</v>
      </c>
      <c r="B228" s="22">
        <v>25</v>
      </c>
      <c r="C228" s="4">
        <v>1</v>
      </c>
      <c r="D228" s="4">
        <f t="shared" si="161"/>
        <v>2</v>
      </c>
      <c r="E228" s="4" t="s">
        <v>48</v>
      </c>
      <c r="F228" t="s">
        <v>443</v>
      </c>
      <c r="G228" s="22" t="s">
        <v>228</v>
      </c>
      <c r="H228" s="22">
        <v>25</v>
      </c>
      <c r="I228" s="22" t="s">
        <v>63</v>
      </c>
      <c r="J228" s="4" t="str">
        <f t="shared" si="158"/>
        <v>升级石矿场至25级</v>
      </c>
      <c r="K228" s="4">
        <f t="shared" si="159"/>
        <v>12501020</v>
      </c>
      <c r="L228" s="4" t="str">
        <f t="shared" si="148"/>
        <v>TID_BranchLineTaskConf_204_16_taskName_GL_Main</v>
      </c>
      <c r="M228" s="4">
        <f t="shared" si="149"/>
        <v>12501010</v>
      </c>
      <c r="N228" s="4" t="s">
        <v>51</v>
      </c>
      <c r="O228" s="4" t="s">
        <v>52</v>
      </c>
      <c r="P228" s="4" t="str">
        <f t="shared" si="145"/>
        <v>taskReward{taskId:12501010}</v>
      </c>
      <c r="Q228" s="4" t="s">
        <v>52</v>
      </c>
      <c r="R228" s="4" t="s">
        <v>229</v>
      </c>
      <c r="S228" s="4" t="str">
        <f t="shared" si="160"/>
        <v>buildingLevelUp{buildingType:205,buildingLevel:25}</v>
      </c>
      <c r="T228" s="4" t="s">
        <v>52</v>
      </c>
      <c r="U228" s="4" t="s">
        <v>66</v>
      </c>
      <c r="V228" s="4" t="s">
        <v>230</v>
      </c>
      <c r="W228" s="4">
        <f>VLOOKUP(V228,[1]界面跳转!$I:$J,2,FALSE)</f>
        <v>7013</v>
      </c>
      <c r="Y228" s="4" t="s">
        <v>56</v>
      </c>
      <c r="Z228" s="4" t="s">
        <v>57</v>
      </c>
      <c r="AB228" s="4">
        <v>6622025</v>
      </c>
      <c r="AH228" s="4">
        <v>1</v>
      </c>
    </row>
    <row r="229" spans="1:34" x14ac:dyDescent="0.45">
      <c r="A229" s="4">
        <f t="shared" si="157"/>
        <v>12501030</v>
      </c>
      <c r="B229" s="22">
        <v>25</v>
      </c>
      <c r="C229" s="4">
        <v>1</v>
      </c>
      <c r="D229" s="4">
        <f t="shared" si="161"/>
        <v>3</v>
      </c>
      <c r="E229" s="4" t="s">
        <v>48</v>
      </c>
      <c r="F229" t="s">
        <v>444</v>
      </c>
      <c r="G229" s="22" t="s">
        <v>221</v>
      </c>
      <c r="H229" s="22">
        <v>25</v>
      </c>
      <c r="I229" s="22" t="s">
        <v>63</v>
      </c>
      <c r="J229" s="4" t="str">
        <f t="shared" si="158"/>
        <v>升级金矿场至25级</v>
      </c>
      <c r="K229" s="4">
        <f t="shared" si="159"/>
        <v>12501030</v>
      </c>
      <c r="L229" s="4" t="str">
        <f t="shared" si="148"/>
        <v>TID_BranchLineTaskConf_205_16_taskName_GL_Main</v>
      </c>
      <c r="M229" s="4">
        <f t="shared" si="149"/>
        <v>12501020</v>
      </c>
      <c r="N229" s="4" t="s">
        <v>51</v>
      </c>
      <c r="O229" s="4" t="s">
        <v>52</v>
      </c>
      <c r="P229" s="4" t="str">
        <f t="shared" si="145"/>
        <v>taskReward{taskId:12501020}</v>
      </c>
      <c r="Q229" s="4" t="s">
        <v>52</v>
      </c>
      <c r="R229" s="4" t="s">
        <v>222</v>
      </c>
      <c r="S229" s="4" t="str">
        <f t="shared" si="160"/>
        <v>buildingLevelUp{buildingType:234,buildingLevel:25}</v>
      </c>
      <c r="T229" s="4" t="s">
        <v>52</v>
      </c>
      <c r="U229" s="4" t="s">
        <v>223</v>
      </c>
      <c r="V229" s="4" t="s">
        <v>224</v>
      </c>
      <c r="W229" s="4">
        <f>VLOOKUP(V229,[1]界面跳转!$I:$J,2,FALSE)</f>
        <v>7067</v>
      </c>
      <c r="Y229" s="4" t="s">
        <v>56</v>
      </c>
      <c r="Z229" s="4" t="s">
        <v>57</v>
      </c>
      <c r="AB229" s="4">
        <v>6622025</v>
      </c>
      <c r="AH229" s="4">
        <v>1</v>
      </c>
    </row>
    <row r="230" spans="1:34" x14ac:dyDescent="0.45">
      <c r="A230" s="4">
        <f t="shared" si="157"/>
        <v>12501040</v>
      </c>
      <c r="B230" s="22">
        <v>25</v>
      </c>
      <c r="C230" s="4">
        <v>1</v>
      </c>
      <c r="D230" s="4">
        <f t="shared" si="161"/>
        <v>4</v>
      </c>
      <c r="E230" s="4" t="s">
        <v>48</v>
      </c>
      <c r="F230" t="s">
        <v>445</v>
      </c>
      <c r="G230" s="22" t="s">
        <v>71</v>
      </c>
      <c r="H230" s="22">
        <v>25</v>
      </c>
      <c r="I230" s="22" t="s">
        <v>63</v>
      </c>
      <c r="J230" s="4" t="str">
        <f t="shared" si="158"/>
        <v>升级磨坊至25级</v>
      </c>
      <c r="K230" s="4">
        <f t="shared" si="159"/>
        <v>12501040</v>
      </c>
      <c r="L230" s="4" t="str">
        <f t="shared" si="148"/>
        <v>TID_BranchLineTaskConf_234_16_taskName_GL_Main</v>
      </c>
      <c r="M230" s="4">
        <f t="shared" si="149"/>
        <v>12501030</v>
      </c>
      <c r="N230" s="4" t="s">
        <v>51</v>
      </c>
      <c r="O230" s="4" t="s">
        <v>52</v>
      </c>
      <c r="P230" s="4" t="str">
        <f t="shared" si="145"/>
        <v>taskReward{taskId:12501030}</v>
      </c>
      <c r="Q230" s="4" t="s">
        <v>52</v>
      </c>
      <c r="R230" s="4" t="s">
        <v>72</v>
      </c>
      <c r="S230" s="4" t="str">
        <f t="shared" si="160"/>
        <v>buildingLevelUp{buildingType:203,buildingLevel:25}</v>
      </c>
      <c r="T230" s="4" t="s">
        <v>52</v>
      </c>
      <c r="U230" s="4" t="s">
        <v>73</v>
      </c>
      <c r="V230" s="4" t="s">
        <v>181</v>
      </c>
      <c r="W230" s="4">
        <f>VLOOKUP(V230,[1]界面跳转!$I:$J,2,FALSE)</f>
        <v>7009</v>
      </c>
      <c r="Y230" s="4" t="s">
        <v>56</v>
      </c>
      <c r="Z230" s="4" t="s">
        <v>57</v>
      </c>
      <c r="AB230" s="4">
        <v>6622025</v>
      </c>
      <c r="AH230" s="4">
        <v>1</v>
      </c>
    </row>
    <row r="231" spans="1:34" x14ac:dyDescent="0.45">
      <c r="A231" s="4">
        <f t="shared" si="157"/>
        <v>12501050</v>
      </c>
      <c r="B231" s="22">
        <v>25</v>
      </c>
      <c r="C231" s="4">
        <v>1</v>
      </c>
      <c r="D231" s="4">
        <f t="shared" si="161"/>
        <v>5</v>
      </c>
      <c r="E231" s="4" t="s">
        <v>48</v>
      </c>
      <c r="F231" t="s">
        <v>446</v>
      </c>
      <c r="G231" s="22" t="s">
        <v>150</v>
      </c>
      <c r="H231" s="22">
        <v>25</v>
      </c>
      <c r="I231" s="22" t="s">
        <v>63</v>
      </c>
      <c r="J231" s="4" t="str">
        <f t="shared" si="158"/>
        <v>升级居民房舍至25级</v>
      </c>
      <c r="K231" s="4">
        <f t="shared" si="159"/>
        <v>12501050</v>
      </c>
      <c r="L231" s="4" t="str">
        <f t="shared" si="148"/>
        <v>TID_BranchLineTaskConf_203_16_taskName_GL_Main</v>
      </c>
      <c r="M231" s="4">
        <f t="shared" si="149"/>
        <v>12501040</v>
      </c>
      <c r="N231" s="4" t="s">
        <v>51</v>
      </c>
      <c r="O231" s="4" t="s">
        <v>52</v>
      </c>
      <c r="P231" s="4" t="str">
        <f t="shared" si="145"/>
        <v>taskReward{taskId:12501040}</v>
      </c>
      <c r="Q231" s="4" t="s">
        <v>52</v>
      </c>
      <c r="R231" s="4" t="s">
        <v>151</v>
      </c>
      <c r="S231" s="4" t="str">
        <f t="shared" si="160"/>
        <v>buildingLevelUp{buildingType:202,buildingLevel:25}</v>
      </c>
      <c r="T231" s="4" t="s">
        <v>52</v>
      </c>
      <c r="U231" s="4" t="s">
        <v>234</v>
      </c>
      <c r="V231" s="4" t="s">
        <v>153</v>
      </c>
      <c r="W231" s="4">
        <f>VLOOKUP(V231,[1]界面跳转!$I:$J,2,FALSE)</f>
        <v>7006</v>
      </c>
      <c r="Y231" s="4" t="s">
        <v>56</v>
      </c>
      <c r="Z231" s="4" t="s">
        <v>57</v>
      </c>
      <c r="AB231" s="4">
        <v>6622025</v>
      </c>
      <c r="AH231" s="4">
        <v>1</v>
      </c>
    </row>
    <row r="232" spans="1:34" x14ac:dyDescent="0.45">
      <c r="A232" s="4">
        <f t="shared" si="157"/>
        <v>12501060</v>
      </c>
      <c r="B232" s="22">
        <v>25</v>
      </c>
      <c r="C232" s="4">
        <v>1</v>
      </c>
      <c r="D232" s="4">
        <f t="shared" si="161"/>
        <v>6</v>
      </c>
      <c r="E232" s="4" t="s">
        <v>48</v>
      </c>
      <c r="F232" t="s">
        <v>447</v>
      </c>
      <c r="G232" s="22" t="s">
        <v>101</v>
      </c>
      <c r="H232" s="22">
        <v>25</v>
      </c>
      <c r="I232" s="22" t="s">
        <v>63</v>
      </c>
      <c r="J232" s="4" t="str">
        <f t="shared" si="158"/>
        <v>升级治疗房舍至25级</v>
      </c>
      <c r="K232" s="4">
        <f t="shared" si="159"/>
        <v>12501060</v>
      </c>
      <c r="L232" s="4" t="str">
        <f t="shared" si="148"/>
        <v>TID_BranchLineTaskConf_202_15_taskName_GL_Main</v>
      </c>
      <c r="M232" s="4">
        <f t="shared" si="149"/>
        <v>12501050</v>
      </c>
      <c r="N232" s="4" t="s">
        <v>51</v>
      </c>
      <c r="O232" s="4" t="s">
        <v>52</v>
      </c>
      <c r="P232" s="4" t="str">
        <f t="shared" si="145"/>
        <v>taskReward{taskId:12501050}</v>
      </c>
      <c r="Q232" s="4" t="s">
        <v>52</v>
      </c>
      <c r="R232" s="4" t="s">
        <v>102</v>
      </c>
      <c r="S232" s="4" t="str">
        <f t="shared" si="160"/>
        <v>buildingLevelUp{buildingType:222,buildingLevel:25}</v>
      </c>
      <c r="T232" s="4" t="s">
        <v>52</v>
      </c>
      <c r="U232" s="4" t="s">
        <v>103</v>
      </c>
      <c r="V232" s="4" t="s">
        <v>236</v>
      </c>
      <c r="W232" s="4">
        <f>VLOOKUP(V232,[1]界面跳转!$I:$J,2,FALSE)</f>
        <v>7041</v>
      </c>
      <c r="Y232" s="4" t="s">
        <v>56</v>
      </c>
      <c r="Z232" s="4" t="s">
        <v>57</v>
      </c>
      <c r="AB232" s="4">
        <v>6622025</v>
      </c>
      <c r="AH232" s="4">
        <v>1</v>
      </c>
    </row>
    <row r="233" spans="1:34" x14ac:dyDescent="0.45">
      <c r="A233" s="4">
        <f t="shared" si="157"/>
        <v>12501070</v>
      </c>
      <c r="B233" s="22">
        <v>25</v>
      </c>
      <c r="C233" s="4">
        <v>1</v>
      </c>
      <c r="D233" s="4">
        <f t="shared" si="161"/>
        <v>7</v>
      </c>
      <c r="E233" s="4" t="s">
        <v>48</v>
      </c>
      <c r="F233" t="s">
        <v>448</v>
      </c>
      <c r="G233" s="22" t="s">
        <v>139</v>
      </c>
      <c r="H233" s="22">
        <v>25</v>
      </c>
      <c r="I233" s="22" t="s">
        <v>63</v>
      </c>
      <c r="J233" s="4" t="str">
        <f t="shared" si="158"/>
        <v>升级瞭望塔至25级</v>
      </c>
      <c r="K233" s="4">
        <f t="shared" si="159"/>
        <v>12501070</v>
      </c>
      <c r="L233" s="4" t="str">
        <f t="shared" si="148"/>
        <v>TID_BranchLineTaskConf_222_19_taskName_GL_Main</v>
      </c>
      <c r="M233" s="4">
        <f t="shared" si="149"/>
        <v>12501060</v>
      </c>
      <c r="N233" s="4" t="s">
        <v>51</v>
      </c>
      <c r="O233" s="4" t="s">
        <v>52</v>
      </c>
      <c r="P233" s="4" t="str">
        <f t="shared" si="145"/>
        <v>taskReward{taskId:12501060}</v>
      </c>
      <c r="Q233" s="4" t="s">
        <v>52</v>
      </c>
      <c r="R233" s="4" t="s">
        <v>140</v>
      </c>
      <c r="S233" s="4" t="str">
        <f t="shared" si="160"/>
        <v>buildingLevelUp{buildingType:226,buildingLevel:25}</v>
      </c>
      <c r="T233" s="4" t="s">
        <v>52</v>
      </c>
      <c r="U233" s="4" t="s">
        <v>276</v>
      </c>
      <c r="V233" s="4" t="s">
        <v>449</v>
      </c>
      <c r="W233" s="4">
        <f>VLOOKUP(V233,[1]界面跳转!$I:$J,2,FALSE)</f>
        <v>7049</v>
      </c>
      <c r="Y233" s="4" t="s">
        <v>56</v>
      </c>
      <c r="Z233" s="4" t="s">
        <v>57</v>
      </c>
      <c r="AB233" s="4">
        <v>6622025</v>
      </c>
      <c r="AH233" s="4">
        <v>1</v>
      </c>
    </row>
    <row r="234" spans="1:34" x14ac:dyDescent="0.45">
      <c r="A234" s="4">
        <f t="shared" si="157"/>
        <v>12501080</v>
      </c>
      <c r="B234" s="22">
        <v>25</v>
      </c>
      <c r="C234" s="4">
        <v>1</v>
      </c>
      <c r="D234" s="4">
        <f t="shared" si="161"/>
        <v>8</v>
      </c>
      <c r="E234" s="4" t="s">
        <v>48</v>
      </c>
      <c r="F234" t="s">
        <v>450</v>
      </c>
      <c r="G234" s="22" t="s">
        <v>106</v>
      </c>
      <c r="H234" s="22">
        <v>25</v>
      </c>
      <c r="I234" s="22" t="s">
        <v>63</v>
      </c>
      <c r="J234" s="4" t="str">
        <f t="shared" si="158"/>
        <v>升级城墙至25级</v>
      </c>
      <c r="K234" s="4">
        <f t="shared" si="159"/>
        <v>12501080</v>
      </c>
      <c r="L234" s="4" t="str">
        <f t="shared" si="148"/>
        <v>TID_BranchLineTaskConf_226_21_taskName_GL_Main</v>
      </c>
      <c r="M234" s="4">
        <f t="shared" si="149"/>
        <v>12501070</v>
      </c>
      <c r="N234" s="4" t="s">
        <v>51</v>
      </c>
      <c r="O234" s="4" t="s">
        <v>52</v>
      </c>
      <c r="P234" s="4" t="str">
        <f t="shared" si="145"/>
        <v>taskReward{taskId:12501070}</v>
      </c>
      <c r="Q234" s="4" t="s">
        <v>52</v>
      </c>
      <c r="R234" s="4" t="s">
        <v>107</v>
      </c>
      <c r="S234" s="4" t="str">
        <f t="shared" si="160"/>
        <v>buildingLevelUp{buildingType:215,buildingLevel:25}</v>
      </c>
      <c r="T234" s="4" t="s">
        <v>52</v>
      </c>
      <c r="U234" s="4" t="s">
        <v>108</v>
      </c>
      <c r="V234" s="4" t="s">
        <v>249</v>
      </c>
      <c r="W234" s="4">
        <f>VLOOKUP(V234,[1]界面跳转!$I:$J,2,FALSE)</f>
        <v>7039</v>
      </c>
      <c r="Y234" s="4" t="s">
        <v>56</v>
      </c>
      <c r="Z234" s="4" t="s">
        <v>57</v>
      </c>
      <c r="AB234" s="4">
        <v>6622025</v>
      </c>
      <c r="AH234" s="4">
        <v>1</v>
      </c>
    </row>
    <row r="235" spans="1:34" ht="16.149999999999999" customHeight="1" x14ac:dyDescent="0.45">
      <c r="A235" s="4">
        <f t="shared" si="157"/>
        <v>12501090</v>
      </c>
      <c r="B235" s="22">
        <v>25</v>
      </c>
      <c r="C235" s="4">
        <v>1</v>
      </c>
      <c r="D235" s="4">
        <f t="shared" si="161"/>
        <v>9</v>
      </c>
      <c r="E235" s="4" t="s">
        <v>48</v>
      </c>
      <c r="F235" t="s">
        <v>451</v>
      </c>
      <c r="G235" s="45" t="s">
        <v>96</v>
      </c>
      <c r="H235" s="45">
        <v>26</v>
      </c>
      <c r="I235" s="45" t="s">
        <v>63</v>
      </c>
      <c r="J235" s="4" t="str">
        <f t="shared" si="158"/>
        <v>升级城镇中心至26级</v>
      </c>
      <c r="K235" s="4">
        <f t="shared" si="159"/>
        <v>12501090</v>
      </c>
      <c r="L235" s="4" t="str">
        <f t="shared" si="148"/>
        <v>TID_BranchLineTaskConf_215_22_taskName_GL_Main</v>
      </c>
      <c r="M235" s="4">
        <f t="shared" si="149"/>
        <v>12501080</v>
      </c>
      <c r="N235" s="4" t="s">
        <v>51</v>
      </c>
      <c r="O235" s="4" t="s">
        <v>52</v>
      </c>
      <c r="P235" s="4" t="str">
        <f t="shared" si="145"/>
        <v>taskReward{taskId:12501080}</v>
      </c>
      <c r="Q235" s="4" t="s">
        <v>52</v>
      </c>
      <c r="R235" s="4" t="s">
        <v>97</v>
      </c>
      <c r="S235" s="4" t="str">
        <f t="shared" si="160"/>
        <v>buildingLevelUp{buildingType:201,buildingLevel:26}</v>
      </c>
      <c r="T235" s="4" t="s">
        <v>52</v>
      </c>
      <c r="U235" s="4" t="s">
        <v>98</v>
      </c>
      <c r="V235" s="4" t="s">
        <v>251</v>
      </c>
      <c r="W235" s="4">
        <f>VLOOKUP(V235,[1]界面跳转!$I:$J,2,FALSE)</f>
        <v>7001</v>
      </c>
      <c r="Y235" s="4" t="s">
        <v>56</v>
      </c>
      <c r="Z235" s="4" t="s">
        <v>57</v>
      </c>
      <c r="AB235" s="4">
        <v>6622026</v>
      </c>
      <c r="AG235" s="4">
        <v>1</v>
      </c>
      <c r="AH235" s="4">
        <v>1</v>
      </c>
    </row>
    <row r="236" spans="1:34" x14ac:dyDescent="0.45">
      <c r="A236" s="4">
        <f t="shared" si="157"/>
        <v>12601010</v>
      </c>
      <c r="B236" s="22">
        <v>26</v>
      </c>
      <c r="C236" s="4">
        <v>1</v>
      </c>
      <c r="D236" s="4">
        <f t="shared" ref="D236:D245" si="162">IF(B236=B235,D235+1,1)</f>
        <v>1</v>
      </c>
      <c r="E236" s="4" t="s">
        <v>48</v>
      </c>
      <c r="F236" t="s">
        <v>452</v>
      </c>
      <c r="G236" s="22" t="s">
        <v>67</v>
      </c>
      <c r="H236" s="22">
        <v>26</v>
      </c>
      <c r="I236" s="22" t="s">
        <v>63</v>
      </c>
      <c r="J236" s="4" t="str">
        <f t="shared" si="158"/>
        <v>升级伐木场至26级</v>
      </c>
      <c r="K236" s="4">
        <f t="shared" si="159"/>
        <v>12601010</v>
      </c>
      <c r="L236" s="4" t="str">
        <f t="shared" si="148"/>
        <v>TID_BranchLineTaskConf_201_6_taskName_GL_Main</v>
      </c>
      <c r="M236" s="4">
        <f t="shared" si="149"/>
        <v>12501090</v>
      </c>
      <c r="N236" s="4" t="s">
        <v>51</v>
      </c>
      <c r="O236" s="4" t="s">
        <v>52</v>
      </c>
      <c r="P236" s="4" t="str">
        <f t="shared" si="145"/>
        <v>taskReward{taskId:12501090}</v>
      </c>
      <c r="Q236" s="4" t="s">
        <v>52</v>
      </c>
      <c r="R236" s="4" t="s">
        <v>68</v>
      </c>
      <c r="S236" s="4" t="str">
        <f t="shared" si="160"/>
        <v>buildingLevelUp{buildingType:204,buildingLevel:26}</v>
      </c>
      <c r="T236" s="4" t="s">
        <v>52</v>
      </c>
      <c r="U236" s="4" t="s">
        <v>69</v>
      </c>
      <c r="V236" s="4" t="s">
        <v>226</v>
      </c>
      <c r="W236" s="4">
        <f>VLOOKUP(V236,[1]界面跳转!$I:$J,2,FALSE)</f>
        <v>7011</v>
      </c>
      <c r="Y236" s="4" t="s">
        <v>56</v>
      </c>
      <c r="Z236" s="4" t="s">
        <v>57</v>
      </c>
      <c r="AB236" s="4">
        <v>6622026</v>
      </c>
      <c r="AH236" s="4">
        <v>1</v>
      </c>
    </row>
    <row r="237" spans="1:34" x14ac:dyDescent="0.45">
      <c r="A237" s="4">
        <f t="shared" si="157"/>
        <v>12601020</v>
      </c>
      <c r="B237" s="22">
        <v>26</v>
      </c>
      <c r="C237" s="4">
        <v>1</v>
      </c>
      <c r="D237" s="4">
        <f t="shared" si="162"/>
        <v>2</v>
      </c>
      <c r="E237" s="4" t="s">
        <v>48</v>
      </c>
      <c r="F237" t="s">
        <v>453</v>
      </c>
      <c r="G237" s="22" t="s">
        <v>228</v>
      </c>
      <c r="H237" s="22">
        <v>26</v>
      </c>
      <c r="I237" s="22" t="s">
        <v>63</v>
      </c>
      <c r="J237" s="4" t="str">
        <f t="shared" si="158"/>
        <v>升级石矿场至26级</v>
      </c>
      <c r="K237" s="4">
        <f t="shared" si="159"/>
        <v>12601020</v>
      </c>
      <c r="L237" s="4" t="str">
        <f t="shared" si="148"/>
        <v>TID_BranchLineTaskConf_204_17_taskName_GL_Main</v>
      </c>
      <c r="M237" s="4">
        <f t="shared" si="149"/>
        <v>12601010</v>
      </c>
      <c r="N237" s="4" t="s">
        <v>51</v>
      </c>
      <c r="O237" s="4" t="s">
        <v>52</v>
      </c>
      <c r="P237" s="4" t="str">
        <f t="shared" si="145"/>
        <v>taskReward{taskId:12601010}</v>
      </c>
      <c r="Q237" s="4" t="s">
        <v>52</v>
      </c>
      <c r="R237" s="4" t="s">
        <v>229</v>
      </c>
      <c r="S237" s="4" t="str">
        <f t="shared" si="160"/>
        <v>buildingLevelUp{buildingType:205,buildingLevel:26}</v>
      </c>
      <c r="T237" s="4" t="s">
        <v>52</v>
      </c>
      <c r="U237" s="4" t="s">
        <v>66</v>
      </c>
      <c r="V237" s="4" t="s">
        <v>230</v>
      </c>
      <c r="W237" s="4">
        <f>VLOOKUP(V237,[1]界面跳转!$I:$J,2,FALSE)</f>
        <v>7013</v>
      </c>
      <c r="Y237" s="4" t="s">
        <v>56</v>
      </c>
      <c r="Z237" s="4" t="s">
        <v>57</v>
      </c>
      <c r="AB237" s="4">
        <v>6622026</v>
      </c>
      <c r="AH237" s="4">
        <v>1</v>
      </c>
    </row>
    <row r="238" spans="1:34" x14ac:dyDescent="0.45">
      <c r="A238" s="4">
        <f t="shared" si="157"/>
        <v>12601030</v>
      </c>
      <c r="B238" s="22">
        <v>26</v>
      </c>
      <c r="C238" s="4">
        <v>1</v>
      </c>
      <c r="D238" s="4">
        <f t="shared" si="162"/>
        <v>3</v>
      </c>
      <c r="E238" s="4" t="s">
        <v>48</v>
      </c>
      <c r="F238" t="s">
        <v>454</v>
      </c>
      <c r="G238" s="22" t="s">
        <v>221</v>
      </c>
      <c r="H238" s="22">
        <v>26</v>
      </c>
      <c r="I238" s="22" t="s">
        <v>63</v>
      </c>
      <c r="J238" s="4" t="str">
        <f t="shared" si="158"/>
        <v>升级金矿场至26级</v>
      </c>
      <c r="K238" s="4">
        <f t="shared" si="159"/>
        <v>12601030</v>
      </c>
      <c r="L238" s="4" t="str">
        <f t="shared" si="148"/>
        <v>TID_BranchLineTaskConf_205_17_taskName_GL_Main</v>
      </c>
      <c r="M238" s="4">
        <f t="shared" si="149"/>
        <v>12601020</v>
      </c>
      <c r="N238" s="4" t="s">
        <v>51</v>
      </c>
      <c r="O238" s="4" t="s">
        <v>52</v>
      </c>
      <c r="P238" s="4" t="str">
        <f t="shared" si="145"/>
        <v>taskReward{taskId:12601020}</v>
      </c>
      <c r="Q238" s="4" t="s">
        <v>52</v>
      </c>
      <c r="R238" s="4" t="s">
        <v>222</v>
      </c>
      <c r="S238" s="4" t="str">
        <f t="shared" si="160"/>
        <v>buildingLevelUp{buildingType:234,buildingLevel:26}</v>
      </c>
      <c r="T238" s="4" t="s">
        <v>52</v>
      </c>
      <c r="U238" s="4" t="s">
        <v>223</v>
      </c>
      <c r="V238" s="4" t="s">
        <v>224</v>
      </c>
      <c r="W238" s="4">
        <f>VLOOKUP(V238,[1]界面跳转!$I:$J,2,FALSE)</f>
        <v>7067</v>
      </c>
      <c r="Y238" s="4" t="s">
        <v>56</v>
      </c>
      <c r="Z238" s="4" t="s">
        <v>57</v>
      </c>
      <c r="AB238" s="4">
        <v>6622026</v>
      </c>
      <c r="AH238" s="4">
        <v>1</v>
      </c>
    </row>
    <row r="239" spans="1:34" x14ac:dyDescent="0.45">
      <c r="A239" s="4">
        <f t="shared" si="157"/>
        <v>12601040</v>
      </c>
      <c r="B239" s="22">
        <v>26</v>
      </c>
      <c r="C239" s="4">
        <v>1</v>
      </c>
      <c r="D239" s="4">
        <f t="shared" si="162"/>
        <v>4</v>
      </c>
      <c r="E239" s="4" t="s">
        <v>48</v>
      </c>
      <c r="F239" t="s">
        <v>455</v>
      </c>
      <c r="G239" s="22" t="s">
        <v>71</v>
      </c>
      <c r="H239" s="22">
        <v>26</v>
      </c>
      <c r="I239" s="22" t="s">
        <v>63</v>
      </c>
      <c r="J239" s="4" t="str">
        <f t="shared" si="158"/>
        <v>升级磨坊至26级</v>
      </c>
      <c r="K239" s="4">
        <f t="shared" si="159"/>
        <v>12601040</v>
      </c>
      <c r="L239" s="4" t="str">
        <f t="shared" si="148"/>
        <v>TID_BranchLineTaskConf_234_17_taskName_GL_Main</v>
      </c>
      <c r="M239" s="4">
        <f t="shared" si="149"/>
        <v>12601030</v>
      </c>
      <c r="N239" s="4" t="s">
        <v>51</v>
      </c>
      <c r="O239" s="4" t="s">
        <v>52</v>
      </c>
      <c r="P239" s="4" t="str">
        <f t="shared" si="145"/>
        <v>taskReward{taskId:12601030}</v>
      </c>
      <c r="Q239" s="4" t="s">
        <v>52</v>
      </c>
      <c r="R239" s="4" t="s">
        <v>72</v>
      </c>
      <c r="S239" s="4" t="str">
        <f t="shared" si="160"/>
        <v>buildingLevelUp{buildingType:203,buildingLevel:26}</v>
      </c>
      <c r="T239" s="4" t="s">
        <v>52</v>
      </c>
      <c r="U239" s="4" t="s">
        <v>73</v>
      </c>
      <c r="V239" s="4" t="s">
        <v>181</v>
      </c>
      <c r="W239" s="4">
        <f>VLOOKUP(V239,[1]界面跳转!$I:$J,2,FALSE)</f>
        <v>7009</v>
      </c>
      <c r="Y239" s="4" t="s">
        <v>56</v>
      </c>
      <c r="Z239" s="4" t="s">
        <v>57</v>
      </c>
      <c r="AB239" s="4">
        <v>6622026</v>
      </c>
      <c r="AH239" s="4">
        <v>1</v>
      </c>
    </row>
    <row r="240" spans="1:34" x14ac:dyDescent="0.45">
      <c r="A240" s="4">
        <f t="shared" si="157"/>
        <v>12601050</v>
      </c>
      <c r="B240" s="22">
        <v>26</v>
      </c>
      <c r="C240" s="4">
        <v>1</v>
      </c>
      <c r="D240" s="4">
        <f t="shared" si="162"/>
        <v>5</v>
      </c>
      <c r="E240" s="4" t="s">
        <v>48</v>
      </c>
      <c r="F240" t="s">
        <v>456</v>
      </c>
      <c r="G240" s="22" t="s">
        <v>263</v>
      </c>
      <c r="H240" s="22">
        <v>26</v>
      </c>
      <c r="I240" s="22" t="s">
        <v>63</v>
      </c>
      <c r="J240" s="4" t="str">
        <f t="shared" si="158"/>
        <v>升级仓库至26级</v>
      </c>
      <c r="K240" s="4">
        <f t="shared" si="159"/>
        <v>12601050</v>
      </c>
      <c r="L240" s="4" t="str">
        <f t="shared" si="148"/>
        <v>TID_BranchLineTaskConf_203_17_taskName_GL_Main</v>
      </c>
      <c r="M240" s="4">
        <f t="shared" si="149"/>
        <v>12601040</v>
      </c>
      <c r="N240" s="4" t="s">
        <v>51</v>
      </c>
      <c r="O240" s="4" t="s">
        <v>52</v>
      </c>
      <c r="P240" s="4" t="str">
        <f t="shared" si="145"/>
        <v>taskReward{taskId:12601040}</v>
      </c>
      <c r="Q240" s="4" t="s">
        <v>52</v>
      </c>
      <c r="R240" s="4" t="s">
        <v>264</v>
      </c>
      <c r="S240" s="4" t="str">
        <f t="shared" si="160"/>
        <v>buildingLevelUp{buildingType:400,buildingLevel:26}</v>
      </c>
      <c r="T240" s="4" t="s">
        <v>52</v>
      </c>
      <c r="U240" s="4" t="s">
        <v>265</v>
      </c>
      <c r="V240" s="4" t="s">
        <v>266</v>
      </c>
      <c r="W240" s="4">
        <f>VLOOKUP(V240,[2]界面跳转!$I:$J,2,FALSE)</f>
        <v>100134</v>
      </c>
      <c r="Y240" s="4" t="s">
        <v>56</v>
      </c>
      <c r="Z240" s="4" t="s">
        <v>57</v>
      </c>
      <c r="AB240" s="4">
        <v>6622026</v>
      </c>
      <c r="AH240" s="4">
        <v>1</v>
      </c>
    </row>
    <row r="241" spans="1:34" x14ac:dyDescent="0.45">
      <c r="A241" s="4">
        <f t="shared" si="157"/>
        <v>12601060</v>
      </c>
      <c r="B241" s="22">
        <v>26</v>
      </c>
      <c r="C241" s="4">
        <v>1</v>
      </c>
      <c r="D241" s="4">
        <f t="shared" si="162"/>
        <v>6</v>
      </c>
      <c r="E241" s="4" t="s">
        <v>48</v>
      </c>
      <c r="F241" s="4" t="s">
        <v>457</v>
      </c>
      <c r="G241" s="22" t="s">
        <v>268</v>
      </c>
      <c r="H241" s="22">
        <v>26</v>
      </c>
      <c r="I241" s="22" t="s">
        <v>63</v>
      </c>
      <c r="J241" s="4" t="str">
        <f t="shared" si="158"/>
        <v>升级市集至26级</v>
      </c>
      <c r="K241" s="4">
        <f t="shared" si="159"/>
        <v>12601060</v>
      </c>
      <c r="L241" s="4" t="str">
        <f t="shared" si="148"/>
        <v>TID_BranchLineTaskConf_400_5_taskName_GL_Main</v>
      </c>
      <c r="M241" s="4">
        <f t="shared" si="149"/>
        <v>12601050</v>
      </c>
      <c r="N241" s="4" t="s">
        <v>51</v>
      </c>
      <c r="O241" s="4" t="s">
        <v>52</v>
      </c>
      <c r="P241" s="4" t="str">
        <f t="shared" si="145"/>
        <v>taskReward{taskId:12601050}</v>
      </c>
      <c r="Q241" s="4" t="s">
        <v>52</v>
      </c>
      <c r="R241" s="4" t="s">
        <v>269</v>
      </c>
      <c r="S241" s="4" t="str">
        <f t="shared" si="160"/>
        <v>buildingLevelUp{buildingType:231,buildingLevel:26}</v>
      </c>
      <c r="T241" s="4" t="s">
        <v>52</v>
      </c>
      <c r="U241" s="4" t="s">
        <v>270</v>
      </c>
      <c r="V241" s="4" t="s">
        <v>271</v>
      </c>
      <c r="W241" s="4">
        <f>VLOOKUP(V241,[1]界面跳转!$I:$J,2,FALSE)</f>
        <v>7058</v>
      </c>
      <c r="Y241" s="4" t="s">
        <v>56</v>
      </c>
      <c r="Z241" s="4" t="s">
        <v>57</v>
      </c>
      <c r="AB241" s="4">
        <v>6622026</v>
      </c>
      <c r="AH241" s="4">
        <v>1</v>
      </c>
    </row>
    <row r="242" spans="1:34" x14ac:dyDescent="0.45">
      <c r="A242" s="4">
        <f t="shared" si="157"/>
        <v>12601070</v>
      </c>
      <c r="B242" s="22">
        <v>26</v>
      </c>
      <c r="C242" s="4">
        <v>1</v>
      </c>
      <c r="D242" s="4">
        <f t="shared" si="162"/>
        <v>7</v>
      </c>
      <c r="E242" s="4" t="s">
        <v>48</v>
      </c>
      <c r="F242" t="s">
        <v>458</v>
      </c>
      <c r="G242" s="22" t="s">
        <v>150</v>
      </c>
      <c r="H242" s="22">
        <v>26</v>
      </c>
      <c r="I242" s="22" t="s">
        <v>63</v>
      </c>
      <c r="J242" s="4" t="str">
        <f t="shared" si="158"/>
        <v>升级居民房舍至26级</v>
      </c>
      <c r="K242" s="4">
        <f t="shared" si="159"/>
        <v>12601070</v>
      </c>
      <c r="L242" s="4" t="str">
        <f t="shared" si="148"/>
        <v>TID_BranchLineTaskConf_231_5_taskName_GL_Main</v>
      </c>
      <c r="M242" s="4">
        <f t="shared" si="149"/>
        <v>12601060</v>
      </c>
      <c r="N242" s="4" t="s">
        <v>51</v>
      </c>
      <c r="O242" s="4" t="s">
        <v>52</v>
      </c>
      <c r="P242" s="4" t="str">
        <f t="shared" si="145"/>
        <v>taskReward{taskId:12601060}</v>
      </c>
      <c r="Q242" s="4" t="s">
        <v>52</v>
      </c>
      <c r="R242" s="4" t="s">
        <v>151</v>
      </c>
      <c r="S242" s="4" t="str">
        <f t="shared" si="160"/>
        <v>buildingLevelUp{buildingType:202,buildingLevel:26}</v>
      </c>
      <c r="T242" s="4" t="s">
        <v>52</v>
      </c>
      <c r="U242" s="4" t="s">
        <v>234</v>
      </c>
      <c r="V242" s="4" t="s">
        <v>153</v>
      </c>
      <c r="W242" s="4">
        <f>VLOOKUP(V242,[1]界面跳转!$I:$J,2,FALSE)</f>
        <v>7006</v>
      </c>
      <c r="Y242" s="4" t="s">
        <v>56</v>
      </c>
      <c r="Z242" s="4" t="s">
        <v>57</v>
      </c>
      <c r="AB242" s="4">
        <v>6622026</v>
      </c>
      <c r="AH242" s="4">
        <v>1</v>
      </c>
    </row>
    <row r="243" spans="1:34" x14ac:dyDescent="0.45">
      <c r="A243" s="4">
        <f t="shared" si="157"/>
        <v>12601080</v>
      </c>
      <c r="B243" s="22">
        <v>26</v>
      </c>
      <c r="C243" s="4">
        <v>1</v>
      </c>
      <c r="D243" s="4">
        <f t="shared" si="162"/>
        <v>8</v>
      </c>
      <c r="E243" s="4" t="s">
        <v>48</v>
      </c>
      <c r="F243" t="s">
        <v>459</v>
      </c>
      <c r="G243" s="22" t="s">
        <v>101</v>
      </c>
      <c r="H243" s="22">
        <v>26</v>
      </c>
      <c r="I243" s="22" t="s">
        <v>63</v>
      </c>
      <c r="J243" s="4" t="str">
        <f t="shared" si="158"/>
        <v>升级治疗房舍至26级</v>
      </c>
      <c r="K243" s="4">
        <f t="shared" si="159"/>
        <v>12601080</v>
      </c>
      <c r="L243" s="4" t="str">
        <f t="shared" si="148"/>
        <v>TID_BranchLineTaskConf_202_16_taskName_GL_Main</v>
      </c>
      <c r="M243" s="4">
        <f t="shared" si="149"/>
        <v>12601070</v>
      </c>
      <c r="N243" s="4" t="s">
        <v>51</v>
      </c>
      <c r="O243" s="4" t="s">
        <v>52</v>
      </c>
      <c r="P243" s="4" t="str">
        <f t="shared" si="145"/>
        <v>taskReward{taskId:12601070}</v>
      </c>
      <c r="Q243" s="4" t="s">
        <v>52</v>
      </c>
      <c r="R243" s="4" t="s">
        <v>102</v>
      </c>
      <c r="S243" s="4" t="str">
        <f t="shared" si="160"/>
        <v>buildingLevelUp{buildingType:222,buildingLevel:26}</v>
      </c>
      <c r="T243" s="4" t="s">
        <v>52</v>
      </c>
      <c r="U243" s="4" t="s">
        <v>103</v>
      </c>
      <c r="V243" s="4" t="s">
        <v>236</v>
      </c>
      <c r="W243" s="4">
        <f>VLOOKUP(V243,[1]界面跳转!$I:$J,2,FALSE)</f>
        <v>7041</v>
      </c>
      <c r="Y243" s="4" t="s">
        <v>56</v>
      </c>
      <c r="Z243" s="4" t="s">
        <v>57</v>
      </c>
      <c r="AB243" s="4">
        <v>6622026</v>
      </c>
      <c r="AH243" s="4">
        <v>1</v>
      </c>
    </row>
    <row r="244" spans="1:34" x14ac:dyDescent="0.45">
      <c r="A244" s="4">
        <f t="shared" si="157"/>
        <v>12601090</v>
      </c>
      <c r="B244" s="22">
        <v>26</v>
      </c>
      <c r="C244" s="4">
        <v>1</v>
      </c>
      <c r="D244" s="4">
        <f t="shared" si="162"/>
        <v>9</v>
      </c>
      <c r="E244" s="4" t="s">
        <v>48</v>
      </c>
      <c r="F244" t="s">
        <v>460</v>
      </c>
      <c r="G244" s="22" t="s">
        <v>106</v>
      </c>
      <c r="H244" s="22">
        <v>26</v>
      </c>
      <c r="I244" s="22" t="s">
        <v>63</v>
      </c>
      <c r="J244" s="4" t="str">
        <f t="shared" si="158"/>
        <v>升级城墙至26级</v>
      </c>
      <c r="K244" s="4">
        <f t="shared" si="159"/>
        <v>12601090</v>
      </c>
      <c r="L244" s="4" t="str">
        <f t="shared" si="148"/>
        <v>TID_BranchLineTaskConf_222_20_taskName_GL_Main</v>
      </c>
      <c r="M244" s="4">
        <f t="shared" si="149"/>
        <v>12601080</v>
      </c>
      <c r="N244" s="4" t="s">
        <v>51</v>
      </c>
      <c r="O244" s="4" t="s">
        <v>52</v>
      </c>
      <c r="P244" s="4" t="str">
        <f t="shared" si="145"/>
        <v>taskReward{taskId:12601080}</v>
      </c>
      <c r="Q244" s="4" t="s">
        <v>52</v>
      </c>
      <c r="R244" s="4" t="s">
        <v>107</v>
      </c>
      <c r="S244" s="4" t="str">
        <f t="shared" si="160"/>
        <v>buildingLevelUp{buildingType:215,buildingLevel:26}</v>
      </c>
      <c r="T244" s="4" t="s">
        <v>52</v>
      </c>
      <c r="U244" s="4" t="s">
        <v>108</v>
      </c>
      <c r="V244" s="4" t="s">
        <v>249</v>
      </c>
      <c r="W244" s="4">
        <f>VLOOKUP(V244,[1]界面跳转!$I:$J,2,FALSE)</f>
        <v>7039</v>
      </c>
      <c r="Y244" s="4" t="s">
        <v>56</v>
      </c>
      <c r="Z244" s="4" t="s">
        <v>57</v>
      </c>
      <c r="AB244" s="4">
        <v>6622026</v>
      </c>
      <c r="AH244" s="4">
        <v>1</v>
      </c>
    </row>
    <row r="245" spans="1:34" ht="16.149999999999999" customHeight="1" x14ac:dyDescent="0.45">
      <c r="A245" s="4">
        <f t="shared" ref="A245:A262" si="163">10000000+B245*100000+C245*1000+D245*10</f>
        <v>12601100</v>
      </c>
      <c r="B245" s="22">
        <v>26</v>
      </c>
      <c r="C245" s="4">
        <v>1</v>
      </c>
      <c r="D245" s="4">
        <f t="shared" si="162"/>
        <v>10</v>
      </c>
      <c r="E245" s="4" t="s">
        <v>48</v>
      </c>
      <c r="F245" t="s">
        <v>461</v>
      </c>
      <c r="G245" s="45" t="s">
        <v>96</v>
      </c>
      <c r="H245" s="45">
        <v>27</v>
      </c>
      <c r="I245" s="45" t="s">
        <v>63</v>
      </c>
      <c r="J245" s="4" t="str">
        <f t="shared" ref="J245:J262" si="164">G245&amp;H245&amp;I245</f>
        <v>升级城镇中心至27级</v>
      </c>
      <c r="K245" s="4">
        <f t="shared" ref="K245:K262" si="165">A245</f>
        <v>12601100</v>
      </c>
      <c r="L245" s="4" t="str">
        <f t="shared" si="148"/>
        <v>TID_BranchLineTaskConf_215_23_taskName_GL_Main</v>
      </c>
      <c r="M245" s="4">
        <f t="shared" si="149"/>
        <v>12601090</v>
      </c>
      <c r="N245" s="4" t="s">
        <v>51</v>
      </c>
      <c r="O245" s="4" t="s">
        <v>52</v>
      </c>
      <c r="P245" s="4" t="str">
        <f t="shared" si="145"/>
        <v>taskReward{taskId:12601090}</v>
      </c>
      <c r="Q245" s="4" t="s">
        <v>52</v>
      </c>
      <c r="R245" s="4" t="s">
        <v>97</v>
      </c>
      <c r="S245" s="4" t="str">
        <f t="shared" ref="S245:S262" si="166">SUBSTITUTE(R245,"@@@",H245)</f>
        <v>buildingLevelUp{buildingType:201,buildingLevel:27}</v>
      </c>
      <c r="T245" s="4" t="s">
        <v>52</v>
      </c>
      <c r="U245" s="4" t="s">
        <v>98</v>
      </c>
      <c r="V245" s="4" t="s">
        <v>251</v>
      </c>
      <c r="W245" s="4">
        <f>VLOOKUP(V245,[1]界面跳转!$I:$J,2,FALSE)</f>
        <v>7001</v>
      </c>
      <c r="Y245" s="4" t="s">
        <v>56</v>
      </c>
      <c r="Z245" s="4" t="s">
        <v>57</v>
      </c>
      <c r="AB245" s="4">
        <v>6622027</v>
      </c>
      <c r="AG245" s="4">
        <v>1</v>
      </c>
      <c r="AH245" s="4">
        <v>1</v>
      </c>
    </row>
    <row r="246" spans="1:34" x14ac:dyDescent="0.45">
      <c r="A246" s="4">
        <f t="shared" si="163"/>
        <v>12701010</v>
      </c>
      <c r="B246" s="22">
        <v>27</v>
      </c>
      <c r="C246" s="4">
        <v>1</v>
      </c>
      <c r="D246" s="4">
        <f t="shared" ref="D246:D253" si="167">IF(B246=B245,D245+1,1)</f>
        <v>1</v>
      </c>
      <c r="E246" s="4" t="s">
        <v>48</v>
      </c>
      <c r="F246" t="s">
        <v>462</v>
      </c>
      <c r="G246" s="22" t="s">
        <v>67</v>
      </c>
      <c r="H246" s="22">
        <v>27</v>
      </c>
      <c r="I246" s="22" t="s">
        <v>63</v>
      </c>
      <c r="J246" s="4" t="str">
        <f t="shared" si="164"/>
        <v>升级伐木场至27级</v>
      </c>
      <c r="K246" s="4">
        <f t="shared" si="165"/>
        <v>12701010</v>
      </c>
      <c r="L246" s="4" t="str">
        <f t="shared" si="148"/>
        <v>TID_BranchLineTaskConf_201_7_taskName_GL_Main</v>
      </c>
      <c r="M246" s="4">
        <f t="shared" si="149"/>
        <v>12601100</v>
      </c>
      <c r="N246" s="4" t="s">
        <v>51</v>
      </c>
      <c r="O246" s="4" t="s">
        <v>52</v>
      </c>
      <c r="P246" s="4" t="str">
        <f t="shared" si="145"/>
        <v>taskReward{taskId:12601100}</v>
      </c>
      <c r="Q246" s="4" t="s">
        <v>52</v>
      </c>
      <c r="R246" s="4" t="s">
        <v>68</v>
      </c>
      <c r="S246" s="4" t="str">
        <f t="shared" si="166"/>
        <v>buildingLevelUp{buildingType:204,buildingLevel:27}</v>
      </c>
      <c r="T246" s="4" t="s">
        <v>52</v>
      </c>
      <c r="U246" s="4" t="s">
        <v>69</v>
      </c>
      <c r="V246" s="4" t="s">
        <v>226</v>
      </c>
      <c r="W246" s="4">
        <f>VLOOKUP(V246,[1]界面跳转!$I:$J,2,FALSE)</f>
        <v>7011</v>
      </c>
      <c r="Y246" s="4" t="s">
        <v>56</v>
      </c>
      <c r="Z246" s="4" t="s">
        <v>57</v>
      </c>
      <c r="AB246" s="4">
        <v>6622027</v>
      </c>
      <c r="AH246" s="4">
        <v>1</v>
      </c>
    </row>
    <row r="247" spans="1:34" x14ac:dyDescent="0.45">
      <c r="A247" s="4">
        <f t="shared" si="163"/>
        <v>12701020</v>
      </c>
      <c r="B247" s="22">
        <v>27</v>
      </c>
      <c r="C247" s="4">
        <v>1</v>
      </c>
      <c r="D247" s="4">
        <f t="shared" si="167"/>
        <v>2</v>
      </c>
      <c r="E247" s="4" t="s">
        <v>48</v>
      </c>
      <c r="F247" t="s">
        <v>463</v>
      </c>
      <c r="G247" s="22" t="s">
        <v>228</v>
      </c>
      <c r="H247" s="22">
        <v>27</v>
      </c>
      <c r="I247" s="22" t="s">
        <v>63</v>
      </c>
      <c r="J247" s="4" t="str">
        <f t="shared" si="164"/>
        <v>升级石矿场至27级</v>
      </c>
      <c r="K247" s="4">
        <f t="shared" si="165"/>
        <v>12701020</v>
      </c>
      <c r="L247" s="4" t="str">
        <f t="shared" si="148"/>
        <v>TID_BranchLineTaskConf_204_18_taskName_GL_Main</v>
      </c>
      <c r="M247" s="4">
        <f t="shared" si="149"/>
        <v>12701010</v>
      </c>
      <c r="N247" s="4" t="s">
        <v>51</v>
      </c>
      <c r="O247" s="4" t="s">
        <v>52</v>
      </c>
      <c r="P247" s="4" t="str">
        <f t="shared" si="145"/>
        <v>taskReward{taskId:12701010}</v>
      </c>
      <c r="Q247" s="4" t="s">
        <v>52</v>
      </c>
      <c r="R247" s="4" t="s">
        <v>229</v>
      </c>
      <c r="S247" s="4" t="str">
        <f t="shared" si="166"/>
        <v>buildingLevelUp{buildingType:205,buildingLevel:27}</v>
      </c>
      <c r="T247" s="4" t="s">
        <v>52</v>
      </c>
      <c r="U247" s="4" t="s">
        <v>66</v>
      </c>
      <c r="V247" s="4" t="s">
        <v>230</v>
      </c>
      <c r="W247" s="4">
        <f>VLOOKUP(V247,[1]界面跳转!$I:$J,2,FALSE)</f>
        <v>7013</v>
      </c>
      <c r="Y247" s="4" t="s">
        <v>56</v>
      </c>
      <c r="Z247" s="4" t="s">
        <v>57</v>
      </c>
      <c r="AB247" s="4">
        <v>6622027</v>
      </c>
      <c r="AH247" s="4">
        <v>1</v>
      </c>
    </row>
    <row r="248" spans="1:34" x14ac:dyDescent="0.45">
      <c r="A248" s="4">
        <f t="shared" si="163"/>
        <v>12701030</v>
      </c>
      <c r="B248" s="22">
        <v>27</v>
      </c>
      <c r="C248" s="4">
        <v>1</v>
      </c>
      <c r="D248" s="4">
        <f t="shared" si="167"/>
        <v>3</v>
      </c>
      <c r="E248" s="4" t="s">
        <v>48</v>
      </c>
      <c r="F248" t="s">
        <v>464</v>
      </c>
      <c r="G248" s="22" t="s">
        <v>221</v>
      </c>
      <c r="H248" s="22">
        <v>27</v>
      </c>
      <c r="I248" s="22" t="s">
        <v>63</v>
      </c>
      <c r="J248" s="4" t="str">
        <f t="shared" si="164"/>
        <v>升级金矿场至27级</v>
      </c>
      <c r="K248" s="4">
        <f t="shared" si="165"/>
        <v>12701030</v>
      </c>
      <c r="L248" s="4" t="str">
        <f t="shared" si="148"/>
        <v>TID_BranchLineTaskConf_205_18_taskName_GL_Main</v>
      </c>
      <c r="M248" s="4">
        <f t="shared" si="149"/>
        <v>12701020</v>
      </c>
      <c r="N248" s="4" t="s">
        <v>51</v>
      </c>
      <c r="O248" s="4" t="s">
        <v>52</v>
      </c>
      <c r="P248" s="4" t="str">
        <f t="shared" si="145"/>
        <v>taskReward{taskId:12701020}</v>
      </c>
      <c r="Q248" s="4" t="s">
        <v>52</v>
      </c>
      <c r="R248" s="4" t="s">
        <v>222</v>
      </c>
      <c r="S248" s="4" t="str">
        <f t="shared" si="166"/>
        <v>buildingLevelUp{buildingType:234,buildingLevel:27}</v>
      </c>
      <c r="T248" s="4" t="s">
        <v>52</v>
      </c>
      <c r="U248" s="4" t="s">
        <v>223</v>
      </c>
      <c r="V248" s="4" t="s">
        <v>224</v>
      </c>
      <c r="W248" s="4">
        <f>VLOOKUP(V248,[1]界面跳转!$I:$J,2,FALSE)</f>
        <v>7067</v>
      </c>
      <c r="Y248" s="4" t="s">
        <v>56</v>
      </c>
      <c r="Z248" s="4" t="s">
        <v>57</v>
      </c>
      <c r="AB248" s="4">
        <v>6622027</v>
      </c>
      <c r="AH248" s="4">
        <v>1</v>
      </c>
    </row>
    <row r="249" spans="1:34" x14ac:dyDescent="0.45">
      <c r="A249" s="4">
        <f t="shared" si="163"/>
        <v>12701040</v>
      </c>
      <c r="B249" s="22">
        <v>27</v>
      </c>
      <c r="C249" s="4">
        <v>1</v>
      </c>
      <c r="D249" s="4">
        <f t="shared" si="167"/>
        <v>4</v>
      </c>
      <c r="E249" s="4" t="s">
        <v>48</v>
      </c>
      <c r="F249" t="s">
        <v>465</v>
      </c>
      <c r="G249" s="22" t="s">
        <v>71</v>
      </c>
      <c r="H249" s="22">
        <v>27</v>
      </c>
      <c r="I249" s="22" t="s">
        <v>63</v>
      </c>
      <c r="J249" s="4" t="str">
        <f t="shared" si="164"/>
        <v>升级磨坊至27级</v>
      </c>
      <c r="K249" s="4">
        <f t="shared" si="165"/>
        <v>12701040</v>
      </c>
      <c r="L249" s="4" t="str">
        <f t="shared" si="148"/>
        <v>TID_BranchLineTaskConf_234_18_taskName_GL_Main</v>
      </c>
      <c r="M249" s="4">
        <f t="shared" si="149"/>
        <v>12701030</v>
      </c>
      <c r="N249" s="4" t="s">
        <v>51</v>
      </c>
      <c r="O249" s="4" t="s">
        <v>52</v>
      </c>
      <c r="P249" s="4" t="str">
        <f t="shared" si="145"/>
        <v>taskReward{taskId:12701030}</v>
      </c>
      <c r="Q249" s="4" t="s">
        <v>52</v>
      </c>
      <c r="R249" s="4" t="s">
        <v>72</v>
      </c>
      <c r="S249" s="4" t="str">
        <f t="shared" si="166"/>
        <v>buildingLevelUp{buildingType:203,buildingLevel:27}</v>
      </c>
      <c r="T249" s="4" t="s">
        <v>52</v>
      </c>
      <c r="U249" s="4" t="s">
        <v>73</v>
      </c>
      <c r="V249" s="4" t="s">
        <v>181</v>
      </c>
      <c r="W249" s="4">
        <f>VLOOKUP(V249,[1]界面跳转!$I:$J,2,FALSE)</f>
        <v>7009</v>
      </c>
      <c r="Y249" s="4" t="s">
        <v>56</v>
      </c>
      <c r="Z249" s="4" t="s">
        <v>57</v>
      </c>
      <c r="AB249" s="4">
        <v>6622027</v>
      </c>
      <c r="AH249" s="4">
        <v>1</v>
      </c>
    </row>
    <row r="250" spans="1:34" x14ac:dyDescent="0.45">
      <c r="A250" s="4">
        <f t="shared" si="163"/>
        <v>12701050</v>
      </c>
      <c r="B250" s="22">
        <v>27</v>
      </c>
      <c r="C250" s="4">
        <v>1</v>
      </c>
      <c r="D250" s="4">
        <f t="shared" si="167"/>
        <v>5</v>
      </c>
      <c r="E250" s="4" t="s">
        <v>48</v>
      </c>
      <c r="F250" t="s">
        <v>466</v>
      </c>
      <c r="G250" s="22" t="s">
        <v>150</v>
      </c>
      <c r="H250" s="22">
        <v>27</v>
      </c>
      <c r="I250" s="22" t="s">
        <v>63</v>
      </c>
      <c r="J250" s="4" t="str">
        <f t="shared" si="164"/>
        <v>升级居民房舍至27级</v>
      </c>
      <c r="K250" s="4">
        <f t="shared" si="165"/>
        <v>12701050</v>
      </c>
      <c r="L250" s="4" t="str">
        <f t="shared" si="148"/>
        <v>TID_BranchLineTaskConf_203_18_taskName_GL_Main</v>
      </c>
      <c r="M250" s="4">
        <f t="shared" si="149"/>
        <v>12701040</v>
      </c>
      <c r="N250" s="4" t="s">
        <v>51</v>
      </c>
      <c r="O250" s="4" t="s">
        <v>52</v>
      </c>
      <c r="P250" s="4" t="str">
        <f t="shared" si="145"/>
        <v>taskReward{taskId:12701040}</v>
      </c>
      <c r="Q250" s="4" t="s">
        <v>52</v>
      </c>
      <c r="R250" s="4" t="s">
        <v>151</v>
      </c>
      <c r="S250" s="4" t="str">
        <f t="shared" si="166"/>
        <v>buildingLevelUp{buildingType:202,buildingLevel:27}</v>
      </c>
      <c r="T250" s="4" t="s">
        <v>52</v>
      </c>
      <c r="U250" s="4" t="s">
        <v>234</v>
      </c>
      <c r="V250" s="4" t="s">
        <v>153</v>
      </c>
      <c r="W250" s="4">
        <f>VLOOKUP(V250,[1]界面跳转!$I:$J,2,FALSE)</f>
        <v>7006</v>
      </c>
      <c r="Y250" s="4" t="s">
        <v>56</v>
      </c>
      <c r="Z250" s="4" t="s">
        <v>57</v>
      </c>
      <c r="AB250" s="4">
        <v>6622027</v>
      </c>
      <c r="AH250" s="4">
        <v>1</v>
      </c>
    </row>
    <row r="251" spans="1:34" x14ac:dyDescent="0.45">
      <c r="A251" s="4">
        <f t="shared" si="163"/>
        <v>12701060</v>
      </c>
      <c r="B251" s="22">
        <v>27</v>
      </c>
      <c r="C251" s="4">
        <v>1</v>
      </c>
      <c r="D251" s="4">
        <f t="shared" si="167"/>
        <v>6</v>
      </c>
      <c r="E251" s="4" t="s">
        <v>48</v>
      </c>
      <c r="F251" t="s">
        <v>467</v>
      </c>
      <c r="G251" s="22" t="s">
        <v>101</v>
      </c>
      <c r="H251" s="22">
        <v>27</v>
      </c>
      <c r="I251" s="22" t="s">
        <v>63</v>
      </c>
      <c r="J251" s="4" t="str">
        <f t="shared" si="164"/>
        <v>升级治疗房舍至27级</v>
      </c>
      <c r="K251" s="4">
        <f t="shared" si="165"/>
        <v>12701060</v>
      </c>
      <c r="L251" s="4" t="str">
        <f t="shared" si="148"/>
        <v>TID_BranchLineTaskConf_202_17_taskName_GL_Main</v>
      </c>
      <c r="M251" s="4">
        <f t="shared" si="149"/>
        <v>12701050</v>
      </c>
      <c r="N251" s="4" t="s">
        <v>51</v>
      </c>
      <c r="O251" s="4" t="s">
        <v>52</v>
      </c>
      <c r="P251" s="4" t="str">
        <f t="shared" si="145"/>
        <v>taskReward{taskId:12701050}</v>
      </c>
      <c r="Q251" s="4" t="s">
        <v>52</v>
      </c>
      <c r="R251" s="4" t="s">
        <v>102</v>
      </c>
      <c r="S251" s="4" t="str">
        <f t="shared" si="166"/>
        <v>buildingLevelUp{buildingType:222,buildingLevel:27}</v>
      </c>
      <c r="T251" s="4" t="s">
        <v>52</v>
      </c>
      <c r="U251" s="4" t="s">
        <v>103</v>
      </c>
      <c r="V251" s="4" t="s">
        <v>236</v>
      </c>
      <c r="W251" s="4">
        <f>VLOOKUP(V251,[1]界面跳转!$I:$J,2,FALSE)</f>
        <v>7041</v>
      </c>
      <c r="Y251" s="4" t="s">
        <v>56</v>
      </c>
      <c r="Z251" s="4" t="s">
        <v>57</v>
      </c>
      <c r="AB251" s="4">
        <v>6622027</v>
      </c>
      <c r="AH251" s="4">
        <v>1</v>
      </c>
    </row>
    <row r="252" spans="1:34" x14ac:dyDescent="0.45">
      <c r="A252" s="4">
        <f t="shared" si="163"/>
        <v>12701070</v>
      </c>
      <c r="B252" s="22">
        <v>27</v>
      </c>
      <c r="C252" s="4">
        <v>1</v>
      </c>
      <c r="D252" s="4">
        <f t="shared" si="167"/>
        <v>7</v>
      </c>
      <c r="E252" s="4" t="s">
        <v>48</v>
      </c>
      <c r="F252" t="s">
        <v>468</v>
      </c>
      <c r="G252" s="22" t="s">
        <v>106</v>
      </c>
      <c r="H252" s="22">
        <v>27</v>
      </c>
      <c r="I252" s="22" t="s">
        <v>63</v>
      </c>
      <c r="J252" s="4" t="str">
        <f t="shared" si="164"/>
        <v>升级城墙至27级</v>
      </c>
      <c r="K252" s="4">
        <f t="shared" si="165"/>
        <v>12701070</v>
      </c>
      <c r="L252" s="4" t="str">
        <f t="shared" si="148"/>
        <v>TID_BranchLineTaskConf_222_21_taskName_GL_Main</v>
      </c>
      <c r="M252" s="4">
        <f t="shared" si="149"/>
        <v>12701060</v>
      </c>
      <c r="N252" s="4" t="s">
        <v>51</v>
      </c>
      <c r="O252" s="4" t="s">
        <v>52</v>
      </c>
      <c r="P252" s="4" t="str">
        <f t="shared" si="145"/>
        <v>taskReward{taskId:12701060}</v>
      </c>
      <c r="Q252" s="4" t="s">
        <v>52</v>
      </c>
      <c r="R252" s="4" t="s">
        <v>107</v>
      </c>
      <c r="S252" s="4" t="str">
        <f t="shared" si="166"/>
        <v>buildingLevelUp{buildingType:215,buildingLevel:27}</v>
      </c>
      <c r="T252" s="4" t="s">
        <v>52</v>
      </c>
      <c r="U252" s="4" t="s">
        <v>108</v>
      </c>
      <c r="V252" s="4" t="s">
        <v>249</v>
      </c>
      <c r="W252" s="4">
        <f>VLOOKUP(V252,[1]界面跳转!$I:$J,2,FALSE)</f>
        <v>7039</v>
      </c>
      <c r="Y252" s="4" t="s">
        <v>56</v>
      </c>
      <c r="Z252" s="4" t="s">
        <v>57</v>
      </c>
      <c r="AB252" s="4">
        <v>6622027</v>
      </c>
      <c r="AH252" s="4">
        <v>1</v>
      </c>
    </row>
    <row r="253" spans="1:34" ht="16.149999999999999" customHeight="1" x14ac:dyDescent="0.45">
      <c r="A253" s="4">
        <f t="shared" si="163"/>
        <v>12701080</v>
      </c>
      <c r="B253" s="22">
        <v>27</v>
      </c>
      <c r="C253" s="4">
        <v>1</v>
      </c>
      <c r="D253" s="4">
        <f t="shared" si="167"/>
        <v>8</v>
      </c>
      <c r="E253" s="4" t="s">
        <v>48</v>
      </c>
      <c r="F253" t="s">
        <v>469</v>
      </c>
      <c r="G253" s="45" t="s">
        <v>96</v>
      </c>
      <c r="H253" s="45">
        <v>28</v>
      </c>
      <c r="I253" s="45" t="s">
        <v>63</v>
      </c>
      <c r="J253" s="4" t="str">
        <f t="shared" si="164"/>
        <v>升级城镇中心至28级</v>
      </c>
      <c r="K253" s="4">
        <f t="shared" si="165"/>
        <v>12701080</v>
      </c>
      <c r="L253" s="4" t="str">
        <f t="shared" si="148"/>
        <v>TID_BranchLineTaskConf_215_24_taskName_GL_Main</v>
      </c>
      <c r="M253" s="4">
        <f t="shared" si="149"/>
        <v>12701070</v>
      </c>
      <c r="N253" s="4" t="s">
        <v>51</v>
      </c>
      <c r="O253" s="4" t="s">
        <v>52</v>
      </c>
      <c r="P253" s="4" t="str">
        <f t="shared" ref="P253:P285" si="168">SUBSTITUTE(N253,"@@@",M253)</f>
        <v>taskReward{taskId:12701070}</v>
      </c>
      <c r="Q253" s="4" t="s">
        <v>52</v>
      </c>
      <c r="R253" s="4" t="s">
        <v>97</v>
      </c>
      <c r="S253" s="4" t="str">
        <f t="shared" si="166"/>
        <v>buildingLevelUp{buildingType:201,buildingLevel:28}</v>
      </c>
      <c r="T253" s="4" t="s">
        <v>52</v>
      </c>
      <c r="U253" s="4" t="s">
        <v>98</v>
      </c>
      <c r="V253" s="4" t="s">
        <v>251</v>
      </c>
      <c r="W253" s="4">
        <f>VLOOKUP(V253,[1]界面跳转!$I:$J,2,FALSE)</f>
        <v>7001</v>
      </c>
      <c r="Y253" s="4" t="s">
        <v>56</v>
      </c>
      <c r="Z253" s="4" t="s">
        <v>57</v>
      </c>
      <c r="AB253" s="4">
        <v>6622028</v>
      </c>
      <c r="AG253" s="4">
        <v>1</v>
      </c>
      <c r="AH253" s="4">
        <v>1</v>
      </c>
    </row>
    <row r="254" spans="1:34" x14ac:dyDescent="0.45">
      <c r="A254" s="4">
        <f t="shared" si="163"/>
        <v>12801010</v>
      </c>
      <c r="B254" s="22">
        <v>28</v>
      </c>
      <c r="C254" s="4">
        <v>1</v>
      </c>
      <c r="D254" s="4">
        <f t="shared" ref="D254:D262" si="169">IF(B254=B253,D253+1,1)</f>
        <v>1</v>
      </c>
      <c r="E254" s="4" t="s">
        <v>48</v>
      </c>
      <c r="F254" t="s">
        <v>470</v>
      </c>
      <c r="G254" s="22" t="s">
        <v>67</v>
      </c>
      <c r="H254" s="22">
        <v>28</v>
      </c>
      <c r="I254" s="22" t="s">
        <v>63</v>
      </c>
      <c r="J254" s="4" t="str">
        <f t="shared" si="164"/>
        <v>升级伐木场至28级</v>
      </c>
      <c r="K254" s="4">
        <f t="shared" si="165"/>
        <v>12801010</v>
      </c>
      <c r="L254" s="4" t="str">
        <f t="shared" ref="L254:L275" si="170">F253</f>
        <v>TID_BranchLineTaskConf_201_8_taskName_GL_Main</v>
      </c>
      <c r="M254" s="4">
        <f t="shared" ref="M254:M275" si="171">A253</f>
        <v>12701080</v>
      </c>
      <c r="N254" s="4" t="s">
        <v>51</v>
      </c>
      <c r="O254" s="4" t="s">
        <v>52</v>
      </c>
      <c r="P254" s="4" t="str">
        <f t="shared" si="168"/>
        <v>taskReward{taskId:12701080}</v>
      </c>
      <c r="Q254" s="4" t="s">
        <v>52</v>
      </c>
      <c r="R254" s="4" t="s">
        <v>68</v>
      </c>
      <c r="S254" s="4" t="str">
        <f t="shared" si="166"/>
        <v>buildingLevelUp{buildingType:204,buildingLevel:28}</v>
      </c>
      <c r="T254" s="4" t="s">
        <v>52</v>
      </c>
      <c r="U254" s="4" t="s">
        <v>69</v>
      </c>
      <c r="V254" s="4" t="s">
        <v>226</v>
      </c>
      <c r="W254" s="4">
        <f>VLOOKUP(V254,[1]界面跳转!$I:$J,2,FALSE)</f>
        <v>7011</v>
      </c>
      <c r="Y254" s="4" t="s">
        <v>56</v>
      </c>
      <c r="Z254" s="4" t="s">
        <v>57</v>
      </c>
      <c r="AB254" s="4">
        <v>6622028</v>
      </c>
      <c r="AH254" s="4">
        <v>1</v>
      </c>
    </row>
    <row r="255" spans="1:34" x14ac:dyDescent="0.45">
      <c r="A255" s="4">
        <f t="shared" si="163"/>
        <v>12801020</v>
      </c>
      <c r="B255" s="22">
        <v>28</v>
      </c>
      <c r="C255" s="4">
        <v>1</v>
      </c>
      <c r="D255" s="4">
        <f t="shared" si="169"/>
        <v>2</v>
      </c>
      <c r="E255" s="4" t="s">
        <v>48</v>
      </c>
      <c r="F255" t="s">
        <v>471</v>
      </c>
      <c r="G255" s="22" t="s">
        <v>228</v>
      </c>
      <c r="H255" s="22">
        <v>28</v>
      </c>
      <c r="I255" s="22" t="s">
        <v>63</v>
      </c>
      <c r="J255" s="4" t="str">
        <f t="shared" si="164"/>
        <v>升级石矿场至28级</v>
      </c>
      <c r="K255" s="4">
        <f t="shared" si="165"/>
        <v>12801020</v>
      </c>
      <c r="L255" s="4" t="str">
        <f t="shared" si="170"/>
        <v>TID_BranchLineTaskConf_204_19_taskName_GL_Main</v>
      </c>
      <c r="M255" s="4">
        <f t="shared" si="171"/>
        <v>12801010</v>
      </c>
      <c r="N255" s="4" t="s">
        <v>51</v>
      </c>
      <c r="O255" s="4" t="s">
        <v>52</v>
      </c>
      <c r="P255" s="4" t="str">
        <f t="shared" si="168"/>
        <v>taskReward{taskId:12801010}</v>
      </c>
      <c r="Q255" s="4" t="s">
        <v>52</v>
      </c>
      <c r="R255" s="4" t="s">
        <v>229</v>
      </c>
      <c r="S255" s="4" t="str">
        <f t="shared" si="166"/>
        <v>buildingLevelUp{buildingType:205,buildingLevel:28}</v>
      </c>
      <c r="T255" s="4" t="s">
        <v>52</v>
      </c>
      <c r="U255" s="4" t="s">
        <v>66</v>
      </c>
      <c r="V255" s="4" t="s">
        <v>230</v>
      </c>
      <c r="W255" s="4">
        <f>VLOOKUP(V255,[1]界面跳转!$I:$J,2,FALSE)</f>
        <v>7013</v>
      </c>
      <c r="Y255" s="4" t="s">
        <v>56</v>
      </c>
      <c r="Z255" s="4" t="s">
        <v>57</v>
      </c>
      <c r="AB255" s="4">
        <v>6622028</v>
      </c>
      <c r="AH255" s="4">
        <v>1</v>
      </c>
    </row>
    <row r="256" spans="1:34" x14ac:dyDescent="0.45">
      <c r="A256" s="4">
        <f t="shared" si="163"/>
        <v>12801030</v>
      </c>
      <c r="B256" s="22">
        <v>28</v>
      </c>
      <c r="C256" s="4">
        <v>1</v>
      </c>
      <c r="D256" s="4">
        <f t="shared" si="169"/>
        <v>3</v>
      </c>
      <c r="E256" s="4" t="s">
        <v>48</v>
      </c>
      <c r="F256" t="s">
        <v>472</v>
      </c>
      <c r="G256" s="22" t="s">
        <v>221</v>
      </c>
      <c r="H256" s="22">
        <v>28</v>
      </c>
      <c r="I256" s="22" t="s">
        <v>63</v>
      </c>
      <c r="J256" s="4" t="str">
        <f t="shared" si="164"/>
        <v>升级金矿场至28级</v>
      </c>
      <c r="K256" s="4">
        <f t="shared" si="165"/>
        <v>12801030</v>
      </c>
      <c r="L256" s="4" t="str">
        <f t="shared" si="170"/>
        <v>TID_BranchLineTaskConf_205_19_taskName_GL_Main</v>
      </c>
      <c r="M256" s="4">
        <f t="shared" si="171"/>
        <v>12801020</v>
      </c>
      <c r="N256" s="4" t="s">
        <v>51</v>
      </c>
      <c r="O256" s="4" t="s">
        <v>52</v>
      </c>
      <c r="P256" s="4" t="str">
        <f t="shared" si="168"/>
        <v>taskReward{taskId:12801020}</v>
      </c>
      <c r="Q256" s="4" t="s">
        <v>52</v>
      </c>
      <c r="R256" s="4" t="s">
        <v>222</v>
      </c>
      <c r="S256" s="4" t="str">
        <f t="shared" si="166"/>
        <v>buildingLevelUp{buildingType:234,buildingLevel:28}</v>
      </c>
      <c r="T256" s="4" t="s">
        <v>52</v>
      </c>
      <c r="U256" s="4" t="s">
        <v>223</v>
      </c>
      <c r="V256" s="4" t="s">
        <v>224</v>
      </c>
      <c r="W256" s="4">
        <f>VLOOKUP(V256,[1]界面跳转!$I:$J,2,FALSE)</f>
        <v>7067</v>
      </c>
      <c r="Y256" s="4" t="s">
        <v>56</v>
      </c>
      <c r="Z256" s="4" t="s">
        <v>57</v>
      </c>
      <c r="AB256" s="4">
        <v>6622028</v>
      </c>
      <c r="AH256" s="4">
        <v>1</v>
      </c>
    </row>
    <row r="257" spans="1:34" x14ac:dyDescent="0.45">
      <c r="A257" s="4">
        <f t="shared" si="163"/>
        <v>12801040</v>
      </c>
      <c r="B257" s="22">
        <v>28</v>
      </c>
      <c r="C257" s="4">
        <v>1</v>
      </c>
      <c r="D257" s="4">
        <f t="shared" si="169"/>
        <v>4</v>
      </c>
      <c r="E257" s="4" t="s">
        <v>48</v>
      </c>
      <c r="F257" t="s">
        <v>473</v>
      </c>
      <c r="G257" s="22" t="s">
        <v>71</v>
      </c>
      <c r="H257" s="22">
        <v>28</v>
      </c>
      <c r="I257" s="22" t="s">
        <v>63</v>
      </c>
      <c r="J257" s="4" t="str">
        <f t="shared" si="164"/>
        <v>升级磨坊至28级</v>
      </c>
      <c r="K257" s="4">
        <f t="shared" si="165"/>
        <v>12801040</v>
      </c>
      <c r="L257" s="4" t="str">
        <f t="shared" si="170"/>
        <v>TID_BranchLineTaskConf_234_19_taskName_GL_Main</v>
      </c>
      <c r="M257" s="4">
        <f t="shared" si="171"/>
        <v>12801030</v>
      </c>
      <c r="N257" s="4" t="s">
        <v>51</v>
      </c>
      <c r="O257" s="4" t="s">
        <v>52</v>
      </c>
      <c r="P257" s="4" t="str">
        <f t="shared" si="168"/>
        <v>taskReward{taskId:12801030}</v>
      </c>
      <c r="Q257" s="4" t="s">
        <v>52</v>
      </c>
      <c r="R257" s="4" t="s">
        <v>72</v>
      </c>
      <c r="S257" s="4" t="str">
        <f t="shared" si="166"/>
        <v>buildingLevelUp{buildingType:203,buildingLevel:28}</v>
      </c>
      <c r="T257" s="4" t="s">
        <v>52</v>
      </c>
      <c r="U257" s="4" t="s">
        <v>73</v>
      </c>
      <c r="V257" s="4" t="s">
        <v>181</v>
      </c>
      <c r="W257" s="4">
        <f>VLOOKUP(V257,[1]界面跳转!$I:$J,2,FALSE)</f>
        <v>7009</v>
      </c>
      <c r="Y257" s="4" t="s">
        <v>56</v>
      </c>
      <c r="Z257" s="4" t="s">
        <v>57</v>
      </c>
      <c r="AB257" s="4">
        <v>6622028</v>
      </c>
      <c r="AH257" s="4">
        <v>1</v>
      </c>
    </row>
    <row r="258" spans="1:34" x14ac:dyDescent="0.45">
      <c r="A258" s="4">
        <f t="shared" si="163"/>
        <v>12801050</v>
      </c>
      <c r="B258" s="22">
        <v>28</v>
      </c>
      <c r="C258" s="4">
        <v>1</v>
      </c>
      <c r="D258" s="4">
        <f t="shared" si="169"/>
        <v>5</v>
      </c>
      <c r="E258" s="4" t="s">
        <v>48</v>
      </c>
      <c r="F258" t="s">
        <v>474</v>
      </c>
      <c r="G258" s="22" t="s">
        <v>150</v>
      </c>
      <c r="H258" s="22">
        <v>28</v>
      </c>
      <c r="I258" s="22" t="s">
        <v>63</v>
      </c>
      <c r="J258" s="4" t="str">
        <f t="shared" si="164"/>
        <v>升级居民房舍至28级</v>
      </c>
      <c r="K258" s="4">
        <f t="shared" si="165"/>
        <v>12801050</v>
      </c>
      <c r="L258" s="4" t="str">
        <f t="shared" si="170"/>
        <v>TID_BranchLineTaskConf_203_19_taskName_GL_Main</v>
      </c>
      <c r="M258" s="4">
        <f t="shared" si="171"/>
        <v>12801040</v>
      </c>
      <c r="N258" s="4" t="s">
        <v>51</v>
      </c>
      <c r="O258" s="4" t="s">
        <v>52</v>
      </c>
      <c r="P258" s="4" t="str">
        <f t="shared" si="168"/>
        <v>taskReward{taskId:12801040}</v>
      </c>
      <c r="Q258" s="4" t="s">
        <v>52</v>
      </c>
      <c r="R258" s="4" t="s">
        <v>151</v>
      </c>
      <c r="S258" s="4" t="str">
        <f t="shared" si="166"/>
        <v>buildingLevelUp{buildingType:202,buildingLevel:28}</v>
      </c>
      <c r="T258" s="4" t="s">
        <v>52</v>
      </c>
      <c r="U258" s="4" t="s">
        <v>234</v>
      </c>
      <c r="V258" s="4" t="s">
        <v>153</v>
      </c>
      <c r="W258" s="4">
        <f>VLOOKUP(V258,[1]界面跳转!$I:$J,2,FALSE)</f>
        <v>7006</v>
      </c>
      <c r="Y258" s="4" t="s">
        <v>56</v>
      </c>
      <c r="Z258" s="4" t="s">
        <v>57</v>
      </c>
      <c r="AB258" s="4">
        <v>6622028</v>
      </c>
      <c r="AH258" s="4">
        <v>1</v>
      </c>
    </row>
    <row r="259" spans="1:34" x14ac:dyDescent="0.45">
      <c r="A259" s="4">
        <f t="shared" si="163"/>
        <v>12801060</v>
      </c>
      <c r="B259" s="22">
        <v>28</v>
      </c>
      <c r="C259" s="4">
        <v>1</v>
      </c>
      <c r="D259" s="4">
        <f t="shared" si="169"/>
        <v>6</v>
      </c>
      <c r="E259" s="4" t="s">
        <v>48</v>
      </c>
      <c r="F259" t="s">
        <v>475</v>
      </c>
      <c r="G259" s="22" t="s">
        <v>101</v>
      </c>
      <c r="H259" s="22">
        <v>28</v>
      </c>
      <c r="I259" s="22" t="s">
        <v>63</v>
      </c>
      <c r="J259" s="4" t="str">
        <f t="shared" si="164"/>
        <v>升级治疗房舍至28级</v>
      </c>
      <c r="K259" s="4">
        <f t="shared" si="165"/>
        <v>12801060</v>
      </c>
      <c r="L259" s="4" t="str">
        <f t="shared" si="170"/>
        <v>TID_BranchLineTaskConf_202_18_taskName_GL_Main</v>
      </c>
      <c r="M259" s="4">
        <f t="shared" si="171"/>
        <v>12801050</v>
      </c>
      <c r="N259" s="4" t="s">
        <v>51</v>
      </c>
      <c r="O259" s="4" t="s">
        <v>52</v>
      </c>
      <c r="P259" s="4" t="str">
        <f t="shared" si="168"/>
        <v>taskReward{taskId:12801050}</v>
      </c>
      <c r="Q259" s="4" t="s">
        <v>52</v>
      </c>
      <c r="R259" s="4" t="s">
        <v>102</v>
      </c>
      <c r="S259" s="4" t="str">
        <f t="shared" si="166"/>
        <v>buildingLevelUp{buildingType:222,buildingLevel:28}</v>
      </c>
      <c r="T259" s="4" t="s">
        <v>52</v>
      </c>
      <c r="U259" s="4" t="s">
        <v>103</v>
      </c>
      <c r="V259" s="4" t="s">
        <v>236</v>
      </c>
      <c r="W259" s="4">
        <f>VLOOKUP(V259,[1]界面跳转!$I:$J,2,FALSE)</f>
        <v>7041</v>
      </c>
      <c r="Y259" s="4" t="s">
        <v>56</v>
      </c>
      <c r="Z259" s="4" t="s">
        <v>57</v>
      </c>
      <c r="AB259" s="4">
        <v>6622028</v>
      </c>
      <c r="AH259" s="4">
        <v>1</v>
      </c>
    </row>
    <row r="260" spans="1:34" x14ac:dyDescent="0.45">
      <c r="A260" s="4">
        <f t="shared" si="163"/>
        <v>12801070</v>
      </c>
      <c r="B260" s="22">
        <v>28</v>
      </c>
      <c r="C260" s="4">
        <v>1</v>
      </c>
      <c r="D260" s="4">
        <f t="shared" si="169"/>
        <v>7</v>
      </c>
      <c r="E260" s="4" t="s">
        <v>48</v>
      </c>
      <c r="F260" t="s">
        <v>476</v>
      </c>
      <c r="G260" s="22" t="s">
        <v>319</v>
      </c>
      <c r="H260" s="22">
        <v>28</v>
      </c>
      <c r="I260" s="22" t="s">
        <v>63</v>
      </c>
      <c r="J260" s="4" t="str">
        <f t="shared" si="164"/>
        <v>升级大使馆至28级</v>
      </c>
      <c r="K260" s="4">
        <f t="shared" si="165"/>
        <v>12801070</v>
      </c>
      <c r="L260" s="4" t="str">
        <f t="shared" si="170"/>
        <v>TID_BranchLineTaskConf_222_22_taskName_GL_Main</v>
      </c>
      <c r="M260" s="4">
        <f t="shared" si="171"/>
        <v>12801060</v>
      </c>
      <c r="N260" s="4" t="s">
        <v>51</v>
      </c>
      <c r="O260" s="4" t="s">
        <v>52</v>
      </c>
      <c r="P260" s="4" t="str">
        <f t="shared" si="168"/>
        <v>taskReward{taskId:12801060}</v>
      </c>
      <c r="Q260" s="4" t="s">
        <v>52</v>
      </c>
      <c r="R260" s="4" t="s">
        <v>320</v>
      </c>
      <c r="S260" s="4" t="str">
        <f t="shared" si="166"/>
        <v>buildingLevelUp{buildingType:230,buildingLevel:28}</v>
      </c>
      <c r="T260" s="4" t="s">
        <v>52</v>
      </c>
      <c r="U260" s="4" t="s">
        <v>321</v>
      </c>
      <c r="V260" s="4" t="s">
        <v>322</v>
      </c>
      <c r="W260" s="4">
        <f>VLOOKUP(V260,[1]界面跳转!$I:$J,2,FALSE)</f>
        <v>7055</v>
      </c>
      <c r="Y260" s="4" t="s">
        <v>56</v>
      </c>
      <c r="Z260" s="4" t="s">
        <v>57</v>
      </c>
      <c r="AB260" s="4">
        <v>6622028</v>
      </c>
      <c r="AH260" s="4">
        <v>1</v>
      </c>
    </row>
    <row r="261" spans="1:34" x14ac:dyDescent="0.45">
      <c r="A261" s="4">
        <f t="shared" si="163"/>
        <v>12801080</v>
      </c>
      <c r="B261" s="22">
        <v>28</v>
      </c>
      <c r="C261" s="4">
        <v>1</v>
      </c>
      <c r="D261" s="4">
        <f t="shared" si="169"/>
        <v>8</v>
      </c>
      <c r="E261" s="4" t="s">
        <v>48</v>
      </c>
      <c r="F261" t="s">
        <v>477</v>
      </c>
      <c r="G261" s="22" t="s">
        <v>106</v>
      </c>
      <c r="H261" s="22">
        <v>28</v>
      </c>
      <c r="I261" s="22" t="s">
        <v>63</v>
      </c>
      <c r="J261" s="4" t="str">
        <f t="shared" si="164"/>
        <v>升级城墙至28级</v>
      </c>
      <c r="K261" s="4">
        <f t="shared" si="165"/>
        <v>12801080</v>
      </c>
      <c r="L261" s="4" t="str">
        <f t="shared" si="170"/>
        <v>TID_BranchLineTaskConf_230_24_taskName_GL_Main</v>
      </c>
      <c r="M261" s="4">
        <f t="shared" si="171"/>
        <v>12801070</v>
      </c>
      <c r="N261" s="4" t="s">
        <v>51</v>
      </c>
      <c r="O261" s="4" t="s">
        <v>52</v>
      </c>
      <c r="P261" s="4" t="str">
        <f t="shared" si="168"/>
        <v>taskReward{taskId:12801070}</v>
      </c>
      <c r="Q261" s="4" t="s">
        <v>52</v>
      </c>
      <c r="R261" s="4" t="s">
        <v>107</v>
      </c>
      <c r="S261" s="4" t="str">
        <f t="shared" si="166"/>
        <v>buildingLevelUp{buildingType:215,buildingLevel:28}</v>
      </c>
      <c r="T261" s="4" t="s">
        <v>52</v>
      </c>
      <c r="U261" s="4" t="s">
        <v>108</v>
      </c>
      <c r="V261" s="4" t="s">
        <v>249</v>
      </c>
      <c r="W261" s="4">
        <f>VLOOKUP(V261,[1]界面跳转!$I:$J,2,FALSE)</f>
        <v>7039</v>
      </c>
      <c r="Y261" s="4" t="s">
        <v>56</v>
      </c>
      <c r="Z261" s="4" t="s">
        <v>57</v>
      </c>
      <c r="AB261" s="4">
        <v>6622028</v>
      </c>
      <c r="AH261" s="4">
        <v>1</v>
      </c>
    </row>
    <row r="262" spans="1:34" ht="16.149999999999999" customHeight="1" x14ac:dyDescent="0.45">
      <c r="A262" s="4">
        <f t="shared" si="163"/>
        <v>12801090</v>
      </c>
      <c r="B262" s="22">
        <v>28</v>
      </c>
      <c r="C262" s="4">
        <v>1</v>
      </c>
      <c r="D262" s="4">
        <f t="shared" si="169"/>
        <v>9</v>
      </c>
      <c r="E262" s="4" t="s">
        <v>48</v>
      </c>
      <c r="F262" t="s">
        <v>478</v>
      </c>
      <c r="G262" s="45" t="s">
        <v>96</v>
      </c>
      <c r="H262" s="45">
        <v>29</v>
      </c>
      <c r="I262" s="45" t="s">
        <v>63</v>
      </c>
      <c r="J262" s="4" t="str">
        <f t="shared" si="164"/>
        <v>升级城镇中心至29级</v>
      </c>
      <c r="K262" s="4">
        <f t="shared" si="165"/>
        <v>12801090</v>
      </c>
      <c r="L262" s="4" t="str">
        <f t="shared" si="170"/>
        <v>TID_BranchLineTaskConf_215_25_taskName_GL_Main</v>
      </c>
      <c r="M262" s="4">
        <f t="shared" si="171"/>
        <v>12801080</v>
      </c>
      <c r="N262" s="4" t="s">
        <v>51</v>
      </c>
      <c r="O262" s="4" t="s">
        <v>52</v>
      </c>
      <c r="P262" s="4" t="str">
        <f t="shared" si="168"/>
        <v>taskReward{taskId:12801080}</v>
      </c>
      <c r="Q262" s="4" t="s">
        <v>52</v>
      </c>
      <c r="R262" s="4" t="s">
        <v>97</v>
      </c>
      <c r="S262" s="4" t="str">
        <f t="shared" si="166"/>
        <v>buildingLevelUp{buildingType:201,buildingLevel:29}</v>
      </c>
      <c r="T262" s="4" t="s">
        <v>52</v>
      </c>
      <c r="U262" s="4" t="s">
        <v>98</v>
      </c>
      <c r="V262" s="4" t="s">
        <v>251</v>
      </c>
      <c r="W262" s="4">
        <f>VLOOKUP(V262,[1]界面跳转!$I:$J,2,FALSE)</f>
        <v>7001</v>
      </c>
      <c r="Y262" s="4" t="s">
        <v>56</v>
      </c>
      <c r="Z262" s="4" t="s">
        <v>57</v>
      </c>
      <c r="AB262" s="4">
        <v>6622029</v>
      </c>
      <c r="AG262" s="4">
        <v>1</v>
      </c>
      <c r="AH262" s="4">
        <v>1</v>
      </c>
    </row>
    <row r="263" spans="1:34" x14ac:dyDescent="0.45">
      <c r="A263" s="4">
        <f t="shared" ref="A263:A270" si="172">10000000+B263*100000+C263*1000+D263*10</f>
        <v>12901010</v>
      </c>
      <c r="B263" s="22">
        <v>29</v>
      </c>
      <c r="C263" s="4">
        <v>1</v>
      </c>
      <c r="D263" s="4">
        <f t="shared" ref="D263:D271" si="173">IF(B263=B262,D262+1,1)</f>
        <v>1</v>
      </c>
      <c r="E263" s="4" t="s">
        <v>48</v>
      </c>
      <c r="F263" t="s">
        <v>479</v>
      </c>
      <c r="G263" s="22" t="s">
        <v>67</v>
      </c>
      <c r="H263" s="22">
        <v>29</v>
      </c>
      <c r="I263" s="22" t="s">
        <v>63</v>
      </c>
      <c r="J263" s="4" t="str">
        <f t="shared" ref="J263:J270" si="174">G263&amp;H263&amp;I263</f>
        <v>升级伐木场至29级</v>
      </c>
      <c r="K263" s="4">
        <f t="shared" ref="K263:K270" si="175">A263</f>
        <v>12901010</v>
      </c>
      <c r="L263" s="4" t="str">
        <f t="shared" si="170"/>
        <v>TID_BranchLineTaskConf_201_9_taskName_GL_Main</v>
      </c>
      <c r="M263" s="4">
        <f t="shared" si="171"/>
        <v>12801090</v>
      </c>
      <c r="N263" s="4" t="s">
        <v>51</v>
      </c>
      <c r="O263" s="4" t="s">
        <v>52</v>
      </c>
      <c r="P263" s="4" t="str">
        <f t="shared" si="168"/>
        <v>taskReward{taskId:12801090}</v>
      </c>
      <c r="Q263" s="4" t="s">
        <v>52</v>
      </c>
      <c r="R263" s="4" t="s">
        <v>68</v>
      </c>
      <c r="S263" s="4" t="str">
        <f t="shared" ref="S263:S270" si="176">SUBSTITUTE(R263,"@@@",H263)</f>
        <v>buildingLevelUp{buildingType:204,buildingLevel:29}</v>
      </c>
      <c r="T263" s="4" t="s">
        <v>52</v>
      </c>
      <c r="U263" s="4" t="s">
        <v>69</v>
      </c>
      <c r="V263" s="4" t="s">
        <v>226</v>
      </c>
      <c r="W263" s="4">
        <f>VLOOKUP(V263,[1]界面跳转!$I:$J,2,FALSE)</f>
        <v>7011</v>
      </c>
      <c r="Y263" s="4" t="s">
        <v>56</v>
      </c>
      <c r="Z263" s="4" t="s">
        <v>57</v>
      </c>
      <c r="AB263" s="4">
        <v>6622029</v>
      </c>
      <c r="AH263" s="4">
        <v>1</v>
      </c>
    </row>
    <row r="264" spans="1:34" x14ac:dyDescent="0.45">
      <c r="A264" s="4">
        <f t="shared" si="172"/>
        <v>12901020</v>
      </c>
      <c r="B264" s="22">
        <v>29</v>
      </c>
      <c r="C264" s="4">
        <v>1</v>
      </c>
      <c r="D264" s="4">
        <f t="shared" si="173"/>
        <v>2</v>
      </c>
      <c r="E264" s="4" t="s">
        <v>48</v>
      </c>
      <c r="F264" t="s">
        <v>480</v>
      </c>
      <c r="G264" s="22" t="s">
        <v>228</v>
      </c>
      <c r="H264" s="22">
        <v>29</v>
      </c>
      <c r="I264" s="22" t="s">
        <v>63</v>
      </c>
      <c r="J264" s="4" t="str">
        <f t="shared" si="174"/>
        <v>升级石矿场至29级</v>
      </c>
      <c r="K264" s="4">
        <f t="shared" si="175"/>
        <v>12901020</v>
      </c>
      <c r="L264" s="4" t="str">
        <f t="shared" si="170"/>
        <v>TID_BranchLineTaskConf_204_20_taskName_GL_Main</v>
      </c>
      <c r="M264" s="4">
        <f t="shared" si="171"/>
        <v>12901010</v>
      </c>
      <c r="N264" s="4" t="s">
        <v>51</v>
      </c>
      <c r="O264" s="4" t="s">
        <v>52</v>
      </c>
      <c r="P264" s="4" t="str">
        <f t="shared" si="168"/>
        <v>taskReward{taskId:12901010}</v>
      </c>
      <c r="Q264" s="4" t="s">
        <v>52</v>
      </c>
      <c r="R264" s="4" t="s">
        <v>229</v>
      </c>
      <c r="S264" s="4" t="str">
        <f t="shared" si="176"/>
        <v>buildingLevelUp{buildingType:205,buildingLevel:29}</v>
      </c>
      <c r="T264" s="4" t="s">
        <v>52</v>
      </c>
      <c r="U264" s="4" t="s">
        <v>66</v>
      </c>
      <c r="V264" s="4" t="s">
        <v>230</v>
      </c>
      <c r="W264" s="4">
        <f>VLOOKUP(V264,[1]界面跳转!$I:$J,2,FALSE)</f>
        <v>7013</v>
      </c>
      <c r="Y264" s="4" t="s">
        <v>56</v>
      </c>
      <c r="Z264" s="4" t="s">
        <v>57</v>
      </c>
      <c r="AB264" s="4">
        <v>6622029</v>
      </c>
      <c r="AH264" s="4">
        <v>1</v>
      </c>
    </row>
    <row r="265" spans="1:34" x14ac:dyDescent="0.45">
      <c r="A265" s="4">
        <f t="shared" si="172"/>
        <v>12901030</v>
      </c>
      <c r="B265" s="22">
        <v>29</v>
      </c>
      <c r="C265" s="4">
        <v>1</v>
      </c>
      <c r="D265" s="4">
        <f t="shared" si="173"/>
        <v>3</v>
      </c>
      <c r="E265" s="4" t="s">
        <v>48</v>
      </c>
      <c r="F265" t="s">
        <v>481</v>
      </c>
      <c r="G265" s="22" t="s">
        <v>221</v>
      </c>
      <c r="H265" s="22">
        <v>29</v>
      </c>
      <c r="I265" s="22" t="s">
        <v>63</v>
      </c>
      <c r="J265" s="4" t="str">
        <f t="shared" si="174"/>
        <v>升级金矿场至29级</v>
      </c>
      <c r="K265" s="4">
        <f t="shared" si="175"/>
        <v>12901030</v>
      </c>
      <c r="L265" s="4" t="str">
        <f t="shared" si="170"/>
        <v>TID_BranchLineTaskConf_205_20_taskName_GL_Main</v>
      </c>
      <c r="M265" s="4">
        <f t="shared" si="171"/>
        <v>12901020</v>
      </c>
      <c r="N265" s="4" t="s">
        <v>51</v>
      </c>
      <c r="O265" s="4" t="s">
        <v>52</v>
      </c>
      <c r="P265" s="4" t="str">
        <f t="shared" si="168"/>
        <v>taskReward{taskId:12901020}</v>
      </c>
      <c r="Q265" s="4" t="s">
        <v>52</v>
      </c>
      <c r="R265" s="4" t="s">
        <v>222</v>
      </c>
      <c r="S265" s="4" t="str">
        <f t="shared" si="176"/>
        <v>buildingLevelUp{buildingType:234,buildingLevel:29}</v>
      </c>
      <c r="T265" s="4" t="s">
        <v>52</v>
      </c>
      <c r="U265" s="4" t="s">
        <v>223</v>
      </c>
      <c r="V265" s="4" t="s">
        <v>224</v>
      </c>
      <c r="W265" s="4">
        <f>VLOOKUP(V265,[1]界面跳转!$I:$J,2,FALSE)</f>
        <v>7067</v>
      </c>
      <c r="Y265" s="4" t="s">
        <v>56</v>
      </c>
      <c r="Z265" s="4" t="s">
        <v>57</v>
      </c>
      <c r="AB265" s="4">
        <v>6622029</v>
      </c>
      <c r="AH265" s="4">
        <v>1</v>
      </c>
    </row>
    <row r="266" spans="1:34" x14ac:dyDescent="0.45">
      <c r="A266" s="4">
        <f t="shared" si="172"/>
        <v>12901040</v>
      </c>
      <c r="B266" s="22">
        <v>29</v>
      </c>
      <c r="C266" s="4">
        <v>1</v>
      </c>
      <c r="D266" s="4">
        <f t="shared" si="173"/>
        <v>4</v>
      </c>
      <c r="E266" s="4" t="s">
        <v>48</v>
      </c>
      <c r="F266" t="s">
        <v>482</v>
      </c>
      <c r="G266" s="22" t="s">
        <v>71</v>
      </c>
      <c r="H266" s="22">
        <v>29</v>
      </c>
      <c r="I266" s="22" t="s">
        <v>63</v>
      </c>
      <c r="J266" s="4" t="str">
        <f t="shared" si="174"/>
        <v>升级磨坊至29级</v>
      </c>
      <c r="K266" s="4">
        <f t="shared" si="175"/>
        <v>12901040</v>
      </c>
      <c r="L266" s="4" t="str">
        <f t="shared" si="170"/>
        <v>TID_BranchLineTaskConf_234_20_taskName_GL_Main</v>
      </c>
      <c r="M266" s="4">
        <f t="shared" si="171"/>
        <v>12901030</v>
      </c>
      <c r="N266" s="4" t="s">
        <v>51</v>
      </c>
      <c r="O266" s="4" t="s">
        <v>52</v>
      </c>
      <c r="P266" s="4" t="str">
        <f t="shared" si="168"/>
        <v>taskReward{taskId:12901030}</v>
      </c>
      <c r="Q266" s="4" t="s">
        <v>52</v>
      </c>
      <c r="R266" s="4" t="s">
        <v>72</v>
      </c>
      <c r="S266" s="4" t="str">
        <f t="shared" si="176"/>
        <v>buildingLevelUp{buildingType:203,buildingLevel:29}</v>
      </c>
      <c r="T266" s="4" t="s">
        <v>52</v>
      </c>
      <c r="U266" s="4" t="s">
        <v>73</v>
      </c>
      <c r="V266" s="4" t="s">
        <v>181</v>
      </c>
      <c r="W266" s="4">
        <f>VLOOKUP(V266,[1]界面跳转!$I:$J,2,FALSE)</f>
        <v>7009</v>
      </c>
      <c r="Y266" s="4" t="s">
        <v>56</v>
      </c>
      <c r="Z266" s="4" t="s">
        <v>57</v>
      </c>
      <c r="AB266" s="4">
        <v>6622029</v>
      </c>
      <c r="AH266" s="4">
        <v>1</v>
      </c>
    </row>
    <row r="267" spans="1:34" x14ac:dyDescent="0.45">
      <c r="A267" s="4">
        <f t="shared" si="172"/>
        <v>12901050</v>
      </c>
      <c r="B267" s="22">
        <v>29</v>
      </c>
      <c r="C267" s="4">
        <v>1</v>
      </c>
      <c r="D267" s="4">
        <f t="shared" si="173"/>
        <v>5</v>
      </c>
      <c r="E267" s="4" t="s">
        <v>48</v>
      </c>
      <c r="F267" t="s">
        <v>483</v>
      </c>
      <c r="G267" s="22" t="s">
        <v>150</v>
      </c>
      <c r="H267" s="22">
        <v>29</v>
      </c>
      <c r="I267" s="22" t="s">
        <v>63</v>
      </c>
      <c r="J267" s="4" t="str">
        <f t="shared" si="174"/>
        <v>升级居民房舍至29级</v>
      </c>
      <c r="K267" s="4">
        <f t="shared" si="175"/>
        <v>12901050</v>
      </c>
      <c r="L267" s="4" t="str">
        <f t="shared" si="170"/>
        <v>TID_BranchLineTaskConf_203_20_taskName_GL_Main</v>
      </c>
      <c r="M267" s="4">
        <f t="shared" si="171"/>
        <v>12901040</v>
      </c>
      <c r="N267" s="4" t="s">
        <v>51</v>
      </c>
      <c r="O267" s="4" t="s">
        <v>52</v>
      </c>
      <c r="P267" s="4" t="str">
        <f t="shared" si="168"/>
        <v>taskReward{taskId:12901040}</v>
      </c>
      <c r="Q267" s="4" t="s">
        <v>52</v>
      </c>
      <c r="R267" s="4" t="s">
        <v>151</v>
      </c>
      <c r="S267" s="4" t="str">
        <f t="shared" si="176"/>
        <v>buildingLevelUp{buildingType:202,buildingLevel:29}</v>
      </c>
      <c r="T267" s="4" t="s">
        <v>52</v>
      </c>
      <c r="U267" s="4" t="s">
        <v>234</v>
      </c>
      <c r="V267" s="4" t="s">
        <v>153</v>
      </c>
      <c r="W267" s="4">
        <f>VLOOKUP(V267,[1]界面跳转!$I:$J,2,FALSE)</f>
        <v>7006</v>
      </c>
      <c r="Y267" s="4" t="s">
        <v>56</v>
      </c>
      <c r="Z267" s="4" t="s">
        <v>57</v>
      </c>
      <c r="AB267" s="4">
        <v>6622029</v>
      </c>
      <c r="AH267" s="4">
        <v>1</v>
      </c>
    </row>
    <row r="268" spans="1:34" x14ac:dyDescent="0.45">
      <c r="A268" s="4">
        <f t="shared" si="172"/>
        <v>12901060</v>
      </c>
      <c r="B268" s="22">
        <v>29</v>
      </c>
      <c r="C268" s="4">
        <v>1</v>
      </c>
      <c r="D268" s="4">
        <f t="shared" si="173"/>
        <v>6</v>
      </c>
      <c r="E268" s="4" t="s">
        <v>48</v>
      </c>
      <c r="F268" s="34" t="s">
        <v>484</v>
      </c>
      <c r="G268" s="22" t="s">
        <v>124</v>
      </c>
      <c r="H268" s="22">
        <v>29</v>
      </c>
      <c r="I268" s="22" t="s">
        <v>63</v>
      </c>
      <c r="J268" s="4" t="str">
        <f t="shared" si="174"/>
        <v>升级学院至29级</v>
      </c>
      <c r="K268" s="4">
        <f t="shared" si="175"/>
        <v>12901060</v>
      </c>
      <c r="L268" s="4" t="str">
        <f t="shared" si="170"/>
        <v>TID_BranchLineTaskConf_202_19_taskName_GL_Main</v>
      </c>
      <c r="M268" s="4">
        <f t="shared" si="171"/>
        <v>12901050</v>
      </c>
      <c r="N268" s="4" t="s">
        <v>51</v>
      </c>
      <c r="O268" s="4" t="s">
        <v>52</v>
      </c>
      <c r="P268" s="4" t="str">
        <f t="shared" si="168"/>
        <v>taskReward{taskId:12901050}</v>
      </c>
      <c r="Q268" s="4" t="s">
        <v>52</v>
      </c>
      <c r="R268" s="4" t="s">
        <v>125</v>
      </c>
      <c r="S268" s="4" t="str">
        <f t="shared" si="176"/>
        <v>buildingLevelUp{buildingType:211,buildingLevel:29}</v>
      </c>
      <c r="T268" s="4" t="s">
        <v>52</v>
      </c>
      <c r="U268" s="4" t="s">
        <v>126</v>
      </c>
      <c r="V268" s="4" t="s">
        <v>127</v>
      </c>
      <c r="W268" s="4">
        <f>VLOOKUP(V268,[2]界面跳转!$I:$J,2,FALSE)</f>
        <v>7029</v>
      </c>
      <c r="Y268" s="4" t="s">
        <v>56</v>
      </c>
      <c r="Z268" s="4" t="s">
        <v>57</v>
      </c>
      <c r="AB268" s="4">
        <v>6622029</v>
      </c>
      <c r="AH268" s="4">
        <v>1</v>
      </c>
    </row>
    <row r="269" spans="1:34" x14ac:dyDescent="0.45">
      <c r="A269" s="4">
        <f t="shared" si="172"/>
        <v>12901070</v>
      </c>
      <c r="B269" s="22">
        <v>29</v>
      </c>
      <c r="C269" s="4">
        <v>1</v>
      </c>
      <c r="D269" s="4">
        <f t="shared" si="173"/>
        <v>7</v>
      </c>
      <c r="E269" s="4" t="s">
        <v>48</v>
      </c>
      <c r="F269" t="s">
        <v>485</v>
      </c>
      <c r="G269" s="22" t="s">
        <v>101</v>
      </c>
      <c r="H269" s="22">
        <v>29</v>
      </c>
      <c r="I269" s="22" t="s">
        <v>63</v>
      </c>
      <c r="J269" s="4" t="str">
        <f t="shared" si="174"/>
        <v>升级治疗房舍至29级</v>
      </c>
      <c r="K269" s="4">
        <f t="shared" si="175"/>
        <v>12901070</v>
      </c>
      <c r="L269" s="4" t="str">
        <f t="shared" si="170"/>
        <v>TID_BranchLineTaskConf_211_28_taskName_GL_Main</v>
      </c>
      <c r="M269" s="4">
        <f t="shared" si="171"/>
        <v>12901060</v>
      </c>
      <c r="N269" s="4" t="s">
        <v>51</v>
      </c>
      <c r="O269" s="4" t="s">
        <v>52</v>
      </c>
      <c r="P269" s="4" t="str">
        <f t="shared" si="168"/>
        <v>taskReward{taskId:12901060}</v>
      </c>
      <c r="Q269" s="4" t="s">
        <v>52</v>
      </c>
      <c r="R269" s="4" t="s">
        <v>102</v>
      </c>
      <c r="S269" s="4" t="str">
        <f t="shared" si="176"/>
        <v>buildingLevelUp{buildingType:222,buildingLevel:29}</v>
      </c>
      <c r="T269" s="4" t="s">
        <v>52</v>
      </c>
      <c r="U269" s="4" t="s">
        <v>103</v>
      </c>
      <c r="V269" s="4" t="s">
        <v>236</v>
      </c>
      <c r="W269" s="4">
        <f>VLOOKUP(V269,[1]界面跳转!$I:$J,2,FALSE)</f>
        <v>7041</v>
      </c>
      <c r="Y269" s="4" t="s">
        <v>56</v>
      </c>
      <c r="Z269" s="4" t="s">
        <v>57</v>
      </c>
      <c r="AB269" s="4">
        <v>6622029</v>
      </c>
      <c r="AH269" s="4">
        <v>1</v>
      </c>
    </row>
    <row r="270" spans="1:34" x14ac:dyDescent="0.45">
      <c r="A270" s="4">
        <f t="shared" si="172"/>
        <v>12901080</v>
      </c>
      <c r="B270" s="22">
        <v>29</v>
      </c>
      <c r="C270" s="4">
        <v>1</v>
      </c>
      <c r="D270" s="4">
        <f t="shared" si="173"/>
        <v>8</v>
      </c>
      <c r="E270" s="4" t="s">
        <v>48</v>
      </c>
      <c r="F270" t="s">
        <v>486</v>
      </c>
      <c r="G270" s="22" t="s">
        <v>106</v>
      </c>
      <c r="H270" s="22">
        <v>29</v>
      </c>
      <c r="I270" s="22" t="s">
        <v>63</v>
      </c>
      <c r="J270" s="4" t="str">
        <f t="shared" si="174"/>
        <v>升级城墙至29级</v>
      </c>
      <c r="K270" s="4">
        <f t="shared" si="175"/>
        <v>12901080</v>
      </c>
      <c r="L270" s="4" t="str">
        <f t="shared" si="170"/>
        <v>TID_BranchLineTaskConf_222_23_taskName_GL_Main</v>
      </c>
      <c r="M270" s="4">
        <f t="shared" si="171"/>
        <v>12901070</v>
      </c>
      <c r="N270" s="4" t="s">
        <v>51</v>
      </c>
      <c r="O270" s="4" t="s">
        <v>52</v>
      </c>
      <c r="P270" s="4" t="str">
        <f t="shared" si="168"/>
        <v>taskReward{taskId:12901070}</v>
      </c>
      <c r="Q270" s="4" t="s">
        <v>52</v>
      </c>
      <c r="R270" s="4" t="s">
        <v>107</v>
      </c>
      <c r="S270" s="4" t="str">
        <f t="shared" si="176"/>
        <v>buildingLevelUp{buildingType:215,buildingLevel:29}</v>
      </c>
      <c r="T270" s="4" t="s">
        <v>52</v>
      </c>
      <c r="U270" s="4" t="s">
        <v>108</v>
      </c>
      <c r="V270" s="4" t="s">
        <v>249</v>
      </c>
      <c r="W270" s="4">
        <f>VLOOKUP(V270,[1]界面跳转!$I:$J,2,FALSE)</f>
        <v>7039</v>
      </c>
      <c r="Y270" s="4" t="s">
        <v>56</v>
      </c>
      <c r="Z270" s="4" t="s">
        <v>57</v>
      </c>
      <c r="AB270" s="4">
        <v>6622029</v>
      </c>
      <c r="AH270" s="4">
        <v>1</v>
      </c>
    </row>
    <row r="271" spans="1:34" ht="16.149999999999999" customHeight="1" x14ac:dyDescent="0.45">
      <c r="A271" s="4">
        <f t="shared" ref="A271" si="177">10000000+B271*100000+C271*1000+D271*10</f>
        <v>12901090</v>
      </c>
      <c r="B271" s="22">
        <v>29</v>
      </c>
      <c r="C271" s="4">
        <v>1</v>
      </c>
      <c r="D271" s="4">
        <f t="shared" si="173"/>
        <v>9</v>
      </c>
      <c r="E271" s="4" t="s">
        <v>48</v>
      </c>
      <c r="F271" t="s">
        <v>487</v>
      </c>
      <c r="G271" s="45" t="s">
        <v>96</v>
      </c>
      <c r="H271" s="45">
        <v>30</v>
      </c>
      <c r="I271" s="45" t="s">
        <v>63</v>
      </c>
      <c r="J271" s="4" t="str">
        <f t="shared" ref="J271" si="178">G271&amp;H271&amp;I271</f>
        <v>升级城镇中心至30级</v>
      </c>
      <c r="K271" s="4">
        <f t="shared" ref="K271" si="179">A271</f>
        <v>12901090</v>
      </c>
      <c r="L271" s="4" t="str">
        <f t="shared" si="170"/>
        <v>TID_BranchLineTaskConf_215_26_taskName_GL_Main</v>
      </c>
      <c r="M271" s="4">
        <f t="shared" si="171"/>
        <v>12901080</v>
      </c>
      <c r="N271" s="4" t="s">
        <v>51</v>
      </c>
      <c r="O271" s="4" t="s">
        <v>52</v>
      </c>
      <c r="P271" s="4" t="str">
        <f t="shared" si="168"/>
        <v>taskReward{taskId:12901080}</v>
      </c>
      <c r="Q271" s="4" t="s">
        <v>52</v>
      </c>
      <c r="R271" s="4" t="s">
        <v>97</v>
      </c>
      <c r="S271" s="4" t="str">
        <f t="shared" ref="S271" si="180">SUBSTITUTE(R271,"@@@",H271)</f>
        <v>buildingLevelUp{buildingType:201,buildingLevel:30}</v>
      </c>
      <c r="T271" s="4" t="s">
        <v>52</v>
      </c>
      <c r="U271" s="4" t="s">
        <v>98</v>
      </c>
      <c r="V271" s="4" t="s">
        <v>251</v>
      </c>
      <c r="W271" s="4">
        <f>VLOOKUP(V271,[1]界面跳转!$I:$J,2,FALSE)</f>
        <v>7001</v>
      </c>
      <c r="Y271" s="4" t="s">
        <v>56</v>
      </c>
      <c r="Z271" s="4" t="s">
        <v>57</v>
      </c>
      <c r="AB271" s="4">
        <v>6622030</v>
      </c>
      <c r="AG271" s="4">
        <v>1</v>
      </c>
      <c r="AH271" s="4">
        <v>1</v>
      </c>
    </row>
    <row r="272" spans="1:34" s="23" customFormat="1" x14ac:dyDescent="0.45">
      <c r="A272" s="23">
        <f t="shared" si="136"/>
        <v>10001010</v>
      </c>
      <c r="B272" s="23">
        <v>0</v>
      </c>
      <c r="C272" s="23">
        <v>1</v>
      </c>
      <c r="D272" s="23">
        <v>1</v>
      </c>
      <c r="E272" s="23" t="s">
        <v>488</v>
      </c>
      <c r="F272" s="24" t="s">
        <v>489</v>
      </c>
      <c r="G272" s="24" t="s">
        <v>490</v>
      </c>
      <c r="H272" s="24">
        <v>1</v>
      </c>
      <c r="I272" s="24" t="s">
        <v>59</v>
      </c>
      <c r="J272" s="24" t="str">
        <f t="shared" si="125"/>
        <v>在联盟频道发言1次</v>
      </c>
      <c r="K272" s="24">
        <f t="shared" si="126"/>
        <v>10001010</v>
      </c>
      <c r="L272" s="4" t="str">
        <f t="shared" si="170"/>
        <v>TID_BranchLineTaskConf_201_10_taskName_GL_Main</v>
      </c>
      <c r="M272" s="4">
        <f t="shared" si="171"/>
        <v>12901090</v>
      </c>
      <c r="N272" s="50" t="s">
        <v>51</v>
      </c>
      <c r="O272" s="50" t="s">
        <v>52</v>
      </c>
      <c r="P272" s="4" t="s">
        <v>491</v>
      </c>
      <c r="Q272" s="50" t="s">
        <v>52</v>
      </c>
      <c r="R272" s="50" t="s">
        <v>492</v>
      </c>
      <c r="S272" s="24" t="str">
        <f t="shared" si="127"/>
        <v>chatCount{chatType:4,count:1}</v>
      </c>
      <c r="T272" s="24" t="s">
        <v>52</v>
      </c>
      <c r="U272" s="24"/>
      <c r="V272" s="24" t="s">
        <v>493</v>
      </c>
      <c r="W272" s="24">
        <f>VLOOKUP(V272,[1]界面跳转!$I:$J,2,FALSE)</f>
        <v>7403</v>
      </c>
      <c r="Y272" s="23" t="s">
        <v>56</v>
      </c>
      <c r="Z272" s="23" t="s">
        <v>494</v>
      </c>
      <c r="AA272" s="24">
        <f>AD272*1000+AE272</f>
        <v>1002</v>
      </c>
      <c r="AB272" s="24">
        <v>6622200</v>
      </c>
      <c r="AC272" s="24"/>
      <c r="AD272" s="23">
        <v>1</v>
      </c>
      <c r="AE272" s="23">
        <v>2</v>
      </c>
    </row>
    <row r="273" spans="1:31" s="23" customFormat="1" x14ac:dyDescent="0.45">
      <c r="A273" s="23">
        <f t="shared" si="136"/>
        <v>10001020</v>
      </c>
      <c r="B273" s="23">
        <v>0</v>
      </c>
      <c r="C273" s="23">
        <v>1</v>
      </c>
      <c r="D273" s="23">
        <f>IF(C273=C272,D272+1,1)</f>
        <v>2</v>
      </c>
      <c r="E273" s="23" t="s">
        <v>495</v>
      </c>
      <c r="F273" s="24" t="s">
        <v>496</v>
      </c>
      <c r="G273" s="24" t="s">
        <v>497</v>
      </c>
      <c r="H273" s="24">
        <v>5</v>
      </c>
      <c r="I273" s="24" t="s">
        <v>59</v>
      </c>
      <c r="J273" s="24" t="str">
        <f t="shared" si="125"/>
        <v>领取联盟礼物5次</v>
      </c>
      <c r="K273" s="24">
        <f t="shared" si="126"/>
        <v>10001020</v>
      </c>
      <c r="L273" s="4" t="str">
        <f t="shared" si="170"/>
        <v>TID_BranchLineTaskConf_10101_taskName_CN_Main</v>
      </c>
      <c r="M273" s="4">
        <f t="shared" si="171"/>
        <v>10001010</v>
      </c>
      <c r="N273" s="50" t="s">
        <v>51</v>
      </c>
      <c r="O273" s="50" t="s">
        <v>52</v>
      </c>
      <c r="P273" s="4" t="s">
        <v>491</v>
      </c>
      <c r="Q273" s="50" t="s">
        <v>52</v>
      </c>
      <c r="R273" s="50" t="s">
        <v>498</v>
      </c>
      <c r="S273" s="24" t="str">
        <f t="shared" si="127"/>
        <v>statisticReach{type:"AllianceReceiveGift",value:5}</v>
      </c>
      <c r="T273" s="24" t="s">
        <v>52</v>
      </c>
      <c r="U273" s="24"/>
      <c r="V273" s="24" t="s">
        <v>499</v>
      </c>
      <c r="W273" s="24">
        <f>VLOOKUP(V273,[1]界面跳转!$I:$J,2,FALSE)</f>
        <v>7675</v>
      </c>
      <c r="Y273" s="23" t="s">
        <v>56</v>
      </c>
      <c r="Z273" s="23" t="s">
        <v>494</v>
      </c>
      <c r="AA273" s="24">
        <f>AD273*1000+AE273</f>
        <v>1003</v>
      </c>
      <c r="AB273" s="24">
        <v>6622200</v>
      </c>
      <c r="AC273" s="59"/>
      <c r="AD273" s="23">
        <v>1</v>
      </c>
      <c r="AE273" s="23">
        <v>3</v>
      </c>
    </row>
    <row r="274" spans="1:31" s="23" customFormat="1" x14ac:dyDescent="0.45">
      <c r="A274" s="23">
        <f t="shared" si="136"/>
        <v>10001030</v>
      </c>
      <c r="B274" s="23">
        <v>0</v>
      </c>
      <c r="C274" s="23">
        <v>1</v>
      </c>
      <c r="D274" s="23">
        <f>IF(C274=C273,D273+1,1)</f>
        <v>3</v>
      </c>
      <c r="E274" s="23" t="s">
        <v>500</v>
      </c>
      <c r="F274" s="24" t="s">
        <v>501</v>
      </c>
      <c r="G274" s="24" t="s">
        <v>502</v>
      </c>
      <c r="H274" s="24">
        <v>10</v>
      </c>
      <c r="I274" s="24" t="s">
        <v>59</v>
      </c>
      <c r="J274" s="24" t="str">
        <f t="shared" si="125"/>
        <v>联盟帮助盟友建筑加速10次</v>
      </c>
      <c r="K274" s="24">
        <f t="shared" si="126"/>
        <v>10001030</v>
      </c>
      <c r="L274" s="4" t="str">
        <f t="shared" si="170"/>
        <v>TID_BranchLineTaskConf_10001020_taskName_GL_Main</v>
      </c>
      <c r="M274" s="4">
        <f t="shared" si="171"/>
        <v>10001020</v>
      </c>
      <c r="N274" s="50" t="s">
        <v>51</v>
      </c>
      <c r="O274" s="50" t="s">
        <v>52</v>
      </c>
      <c r="P274" s="4" t="s">
        <v>491</v>
      </c>
      <c r="Q274" s="50" t="s">
        <v>52</v>
      </c>
      <c r="R274" s="50" t="s">
        <v>503</v>
      </c>
      <c r="S274" s="24" t="str">
        <f t="shared" si="127"/>
        <v>statisticReach{type:"AllianceHelp",value:10}</v>
      </c>
      <c r="T274" s="24" t="s">
        <v>52</v>
      </c>
      <c r="U274" s="24"/>
      <c r="V274" s="24" t="s">
        <v>504</v>
      </c>
      <c r="W274" s="24">
        <f>VLOOKUP(V274,[1]界面跳转!$I:$J,2,FALSE)</f>
        <v>7676</v>
      </c>
      <c r="Y274" s="23" t="s">
        <v>56</v>
      </c>
      <c r="Z274" s="23" t="s">
        <v>494</v>
      </c>
      <c r="AA274" s="24">
        <f>AD274*1000+AE274</f>
        <v>1004</v>
      </c>
      <c r="AB274" s="24">
        <v>6622200</v>
      </c>
      <c r="AC274" s="24"/>
      <c r="AD274" s="23">
        <v>1</v>
      </c>
      <c r="AE274" s="23">
        <v>4</v>
      </c>
    </row>
    <row r="275" spans="1:31" s="23" customFormat="1" x14ac:dyDescent="0.45">
      <c r="A275" s="23">
        <f t="shared" si="136"/>
        <v>10001040</v>
      </c>
      <c r="B275" s="23">
        <v>0</v>
      </c>
      <c r="C275" s="23">
        <v>1</v>
      </c>
      <c r="D275" s="23">
        <f>IF(C275=C274,D274+1,1)</f>
        <v>4</v>
      </c>
      <c r="E275" s="23" t="s">
        <v>505</v>
      </c>
      <c r="F275" s="24" t="s">
        <v>506</v>
      </c>
      <c r="G275" s="24" t="s">
        <v>507</v>
      </c>
      <c r="H275" s="24">
        <v>1</v>
      </c>
      <c r="I275" s="24" t="s">
        <v>59</v>
      </c>
      <c r="J275" s="24" t="str">
        <f t="shared" si="125"/>
        <v>联盟内领取领地奖励1次</v>
      </c>
      <c r="K275" s="24">
        <f t="shared" si="126"/>
        <v>10001040</v>
      </c>
      <c r="L275" s="4" t="str">
        <f t="shared" si="170"/>
        <v>TID_BranchLineTaskConf_10001030_taskName_GL_Main</v>
      </c>
      <c r="M275" s="4">
        <f t="shared" si="171"/>
        <v>10001030</v>
      </c>
      <c r="N275" s="50" t="s">
        <v>51</v>
      </c>
      <c r="O275" s="50" t="s">
        <v>52</v>
      </c>
      <c r="P275" s="4" t="s">
        <v>491</v>
      </c>
      <c r="Q275" s="50" t="s">
        <v>52</v>
      </c>
      <c r="R275" s="50" t="s">
        <v>508</v>
      </c>
      <c r="S275" s="24" t="str">
        <f t="shared" si="127"/>
        <v>statisticReach{type:"GetDailyTerritoryPowerReward",value:1}</v>
      </c>
      <c r="T275" s="24" t="s">
        <v>52</v>
      </c>
      <c r="U275" s="24"/>
      <c r="V275" s="24" t="s">
        <v>509</v>
      </c>
      <c r="W275" s="24">
        <f>VLOOKUP(V275,[2]界面跳转!$I:$J,2,FALSE)</f>
        <v>100135</v>
      </c>
      <c r="Y275" s="23" t="s">
        <v>56</v>
      </c>
      <c r="Z275" s="23" t="s">
        <v>494</v>
      </c>
      <c r="AA275" s="24">
        <f>AD275*1000+AE275</f>
        <v>99001</v>
      </c>
      <c r="AB275" s="24">
        <v>6622200</v>
      </c>
      <c r="AC275" s="24"/>
      <c r="AD275" s="23">
        <v>99</v>
      </c>
      <c r="AE275" s="23">
        <v>1</v>
      </c>
    </row>
    <row r="276" spans="1:31" s="23" customFormat="1" x14ac:dyDescent="0.45">
      <c r="F276" s="24"/>
      <c r="G276" s="24"/>
      <c r="H276" s="24"/>
      <c r="I276" s="24"/>
      <c r="J276" s="24"/>
      <c r="K276" s="24"/>
      <c r="L276" s="24"/>
      <c r="M276" s="24"/>
      <c r="N276" s="51" t="s">
        <v>510</v>
      </c>
      <c r="O276" s="50" t="s">
        <v>52</v>
      </c>
      <c r="P276" s="4" t="str">
        <f t="shared" si="168"/>
        <v>milestoneOpen{milestoneId:2}</v>
      </c>
      <c r="Q276" s="50"/>
      <c r="R276" s="50"/>
      <c r="S276" s="24"/>
      <c r="T276" s="24"/>
      <c r="U276" s="24"/>
      <c r="V276" s="24"/>
      <c r="W276" s="24"/>
      <c r="AA276" s="24"/>
      <c r="AB276" s="24" t="s">
        <v>511</v>
      </c>
      <c r="AC276" s="24"/>
    </row>
    <row r="277" spans="1:31" s="23" customFormat="1" x14ac:dyDescent="0.45">
      <c r="A277" s="23">
        <f>10000000+B277*100000+C277*1000+D277*10</f>
        <v>10001050</v>
      </c>
      <c r="B277" s="23">
        <v>0</v>
      </c>
      <c r="C277" s="23">
        <v>1</v>
      </c>
      <c r="D277" s="23">
        <f>IF(C277=C275,D275+1,1)</f>
        <v>5</v>
      </c>
      <c r="E277" s="23" t="s">
        <v>512</v>
      </c>
      <c r="F277" s="24" t="s">
        <v>513</v>
      </c>
      <c r="G277" s="24" t="s">
        <v>514</v>
      </c>
      <c r="H277" s="24">
        <v>1</v>
      </c>
      <c r="I277" s="24" t="s">
        <v>59</v>
      </c>
      <c r="J277" s="24" t="str">
        <f>G277&amp;H277&amp;I277</f>
        <v>联盟宝库内兑换奖励1次</v>
      </c>
      <c r="K277" s="24">
        <f>A277</f>
        <v>10001050</v>
      </c>
      <c r="L277" s="24" t="s">
        <v>515</v>
      </c>
      <c r="M277" s="24">
        <f>VLOOKUP(L277,J:K,2,FALSE)</f>
        <v>10601030</v>
      </c>
      <c r="N277" s="50" t="s">
        <v>51</v>
      </c>
      <c r="O277" s="50" t="s">
        <v>52</v>
      </c>
      <c r="P277" s="4" t="s">
        <v>491</v>
      </c>
      <c r="Q277" s="50" t="s">
        <v>52</v>
      </c>
      <c r="R277" s="50" t="s">
        <v>516</v>
      </c>
      <c r="S277" s="24" t="str">
        <f>SUBSTITUTE(R277,"@@@",H277)</f>
        <v>statisticReach{type:"AllianceTreasureHouseBuy",value:1}</v>
      </c>
      <c r="T277" s="24" t="s">
        <v>52</v>
      </c>
      <c r="U277" s="24"/>
      <c r="V277" s="24" t="s">
        <v>517</v>
      </c>
      <c r="W277" s="24">
        <f>VLOOKUP(V277,[1]界面跳转!$I:$J,2,FALSE)</f>
        <v>5045</v>
      </c>
      <c r="Y277" s="23" t="s">
        <v>56</v>
      </c>
      <c r="Z277" s="23" t="s">
        <v>494</v>
      </c>
      <c r="AA277" s="24">
        <f>AD277*1000+AE277</f>
        <v>99002</v>
      </c>
      <c r="AB277" s="24">
        <v>6622200</v>
      </c>
      <c r="AC277" s="24"/>
      <c r="AD277" s="23">
        <v>99</v>
      </c>
      <c r="AE277" s="23">
        <v>2</v>
      </c>
    </row>
    <row r="278" spans="1:31" s="23" customFormat="1" x14ac:dyDescent="0.45">
      <c r="F278" s="24"/>
      <c r="G278" s="24"/>
      <c r="H278" s="24"/>
      <c r="I278" s="24"/>
      <c r="J278" s="24"/>
      <c r="K278" s="24"/>
      <c r="L278" s="24"/>
      <c r="M278" s="24"/>
      <c r="N278" s="51" t="s">
        <v>510</v>
      </c>
      <c r="O278" s="50" t="s">
        <v>52</v>
      </c>
      <c r="P278" s="4" t="str">
        <f t="shared" si="168"/>
        <v>milestoneOpen{milestoneId:2}</v>
      </c>
      <c r="Q278" s="50"/>
      <c r="R278" s="50"/>
      <c r="S278" s="24"/>
      <c r="T278" s="24"/>
      <c r="U278" s="24"/>
      <c r="V278" s="24"/>
      <c r="W278" s="24"/>
      <c r="AA278" s="24"/>
      <c r="AB278" s="24" t="s">
        <v>511</v>
      </c>
      <c r="AC278" s="24"/>
    </row>
    <row r="279" spans="1:31" s="23" customFormat="1" x14ac:dyDescent="0.45">
      <c r="A279" s="23">
        <f>10000000+B279*100000+C279*1000+D279*10</f>
        <v>10001060</v>
      </c>
      <c r="B279" s="23">
        <v>0</v>
      </c>
      <c r="C279" s="23">
        <v>1</v>
      </c>
      <c r="D279" s="23">
        <f>IF(C279=C277,D277+1,1)</f>
        <v>6</v>
      </c>
      <c r="E279" s="23" t="s">
        <v>518</v>
      </c>
      <c r="F279" s="24" t="s">
        <v>519</v>
      </c>
      <c r="G279" s="24" t="s">
        <v>520</v>
      </c>
      <c r="H279" s="24">
        <v>1</v>
      </c>
      <c r="I279" s="24" t="s">
        <v>59</v>
      </c>
      <c r="J279" s="24" t="str">
        <f>G279&amp;H279&amp;I279</f>
        <v>使用任意迁城方式迁至联盟领地1次</v>
      </c>
      <c r="K279" s="24">
        <f>A279</f>
        <v>10001060</v>
      </c>
      <c r="L279" s="24" t="s">
        <v>515</v>
      </c>
      <c r="M279" s="24">
        <f>VLOOKUP(L279,J:K,2,FALSE)</f>
        <v>10601030</v>
      </c>
      <c r="N279" s="50" t="s">
        <v>51</v>
      </c>
      <c r="O279" s="50" t="s">
        <v>52</v>
      </c>
      <c r="P279" s="62" t="s">
        <v>3335</v>
      </c>
      <c r="Q279" s="50" t="s">
        <v>521</v>
      </c>
      <c r="R279" s="50" t="s">
        <v>522</v>
      </c>
      <c r="S279" s="24" t="str">
        <f>SUBSTITUTE(R279,"@@@",H279)</f>
        <v>statisticReach{type:"CityMove",value:1}</v>
      </c>
      <c r="T279" s="24" t="s">
        <v>52</v>
      </c>
      <c r="U279" s="24"/>
      <c r="V279" s="24" t="s">
        <v>55</v>
      </c>
      <c r="W279" s="24">
        <f>VLOOKUP(V279,[1]界面跳转!$I:$J,2,FALSE)</f>
        <v>1</v>
      </c>
      <c r="Y279" s="23" t="s">
        <v>56</v>
      </c>
      <c r="Z279" s="23" t="s">
        <v>494</v>
      </c>
      <c r="AA279" s="24">
        <f>AD279*1000+AE279</f>
        <v>1005</v>
      </c>
      <c r="AB279" s="24">
        <v>6622200</v>
      </c>
      <c r="AC279" s="24"/>
      <c r="AD279" s="23">
        <v>1</v>
      </c>
      <c r="AE279" s="23">
        <v>5</v>
      </c>
    </row>
    <row r="280" spans="1:31" s="23" customFormat="1" x14ac:dyDescent="0.45">
      <c r="A280" s="23">
        <f>10000000+B280*100000+C280*1000+D280*10</f>
        <v>10001070</v>
      </c>
      <c r="B280" s="23">
        <v>0</v>
      </c>
      <c r="C280" s="23">
        <v>1</v>
      </c>
      <c r="D280" s="23">
        <v>7</v>
      </c>
      <c r="E280" s="23" t="s">
        <v>523</v>
      </c>
      <c r="F280" s="24" t="s">
        <v>524</v>
      </c>
      <c r="G280" s="24" t="s">
        <v>525</v>
      </c>
      <c r="H280" s="24">
        <v>1</v>
      </c>
      <c r="I280" s="24" t="s">
        <v>526</v>
      </c>
      <c r="J280" s="24" t="str">
        <f>G280&amp;H280&amp;I280</f>
        <v>添加任意好友1个</v>
      </c>
      <c r="K280" s="24">
        <f>A280</f>
        <v>10001070</v>
      </c>
      <c r="L280" s="24" t="s">
        <v>515</v>
      </c>
      <c r="M280" s="24">
        <f>VLOOKUP(L280,J:K,2,FALSE)</f>
        <v>10601030</v>
      </c>
      <c r="N280" s="50" t="s">
        <v>254</v>
      </c>
      <c r="O280" s="50" t="s">
        <v>52</v>
      </c>
      <c r="P280" s="4" t="s">
        <v>491</v>
      </c>
      <c r="Q280" s="50" t="s">
        <v>52</v>
      </c>
      <c r="R280" s="50" t="s">
        <v>527</v>
      </c>
      <c r="S280" s="24" t="str">
        <f>SUBSTITUTE(R280,"@@@",H280)</f>
        <v>statisticReach{type:"AddFriend",value:1}</v>
      </c>
      <c r="T280" s="24" t="s">
        <v>52</v>
      </c>
      <c r="U280" s="24"/>
      <c r="V280" s="24" t="s">
        <v>528</v>
      </c>
      <c r="W280" s="24">
        <f>VLOOKUP(V280,[1]界面跳转!$I:$J,2,FALSE)</f>
        <v>7118</v>
      </c>
      <c r="X280" s="24"/>
      <c r="Y280" s="24" t="s">
        <v>56</v>
      </c>
      <c r="Z280" s="24" t="s">
        <v>57</v>
      </c>
      <c r="AA280" s="24">
        <f>AD280*1000+AE280</f>
        <v>1009</v>
      </c>
      <c r="AB280" s="24">
        <v>6622200</v>
      </c>
      <c r="AC280" s="24"/>
      <c r="AD280" s="23">
        <v>1</v>
      </c>
      <c r="AE280" s="23">
        <v>9</v>
      </c>
    </row>
    <row r="281" spans="1:31" s="23" customFormat="1" x14ac:dyDescent="0.45">
      <c r="A281" s="23">
        <f>10000000+B281*100000+C281*1000+D281*10</f>
        <v>10001080</v>
      </c>
      <c r="B281" s="23">
        <v>0</v>
      </c>
      <c r="C281" s="23">
        <v>1</v>
      </c>
      <c r="D281" s="23">
        <v>8</v>
      </c>
      <c r="E281" s="23" t="s">
        <v>529</v>
      </c>
      <c r="F281" s="24" t="s">
        <v>530</v>
      </c>
      <c r="G281" s="24" t="s">
        <v>531</v>
      </c>
      <c r="H281" s="24">
        <v>1</v>
      </c>
      <c r="I281" s="24" t="s">
        <v>59</v>
      </c>
      <c r="J281" s="24" t="str">
        <f>G281&amp;H281&amp;I281</f>
        <v>通过城池增益开启免战声明1次</v>
      </c>
      <c r="K281" s="24">
        <f>A281</f>
        <v>10001080</v>
      </c>
      <c r="L281" s="24" t="s">
        <v>532</v>
      </c>
      <c r="M281" s="24">
        <f>VLOOKUP(L281,J:K,2,FALSE)</f>
        <v>10901080</v>
      </c>
      <c r="N281" s="50" t="s">
        <v>254</v>
      </c>
      <c r="O281" s="50" t="s">
        <v>52</v>
      </c>
      <c r="P281" s="4" t="s">
        <v>491</v>
      </c>
      <c r="Q281" s="50" t="s">
        <v>52</v>
      </c>
      <c r="R281" s="50" t="s">
        <v>533</v>
      </c>
      <c r="S281" s="24" t="str">
        <f>SUBSTITUTE(R281,"@@@",H281)</f>
        <v>openShieldNoHistory{count:1}</v>
      </c>
      <c r="T281" s="24" t="s">
        <v>52</v>
      </c>
      <c r="U281" s="24"/>
      <c r="V281" s="24" t="s">
        <v>534</v>
      </c>
      <c r="W281" s="24">
        <f>VLOOKUP(V281,[1]界面跳转!$I:$J,2,FALSE)</f>
        <v>7004</v>
      </c>
      <c r="Y281" s="23" t="s">
        <v>56</v>
      </c>
      <c r="Z281" s="23" t="s">
        <v>57</v>
      </c>
      <c r="AA281" s="24">
        <f>AD281*1000+AE281</f>
        <v>1010</v>
      </c>
      <c r="AB281" s="24">
        <v>6622200</v>
      </c>
      <c r="AC281" s="24"/>
      <c r="AD281" s="23">
        <v>1</v>
      </c>
      <c r="AE281" s="23">
        <v>10</v>
      </c>
    </row>
    <row r="282" spans="1:31" s="23" customFormat="1" x14ac:dyDescent="0.45">
      <c r="A282" s="23">
        <f>10000000+B282*100000+C282*1000+D282*10</f>
        <v>10001090</v>
      </c>
      <c r="B282" s="23">
        <v>0</v>
      </c>
      <c r="C282" s="23">
        <v>1</v>
      </c>
      <c r="D282" s="23">
        <f>IF(C282=C281,D281+1,1)</f>
        <v>9</v>
      </c>
      <c r="E282" s="23" t="s">
        <v>535</v>
      </c>
      <c r="F282" s="24" t="s">
        <v>536</v>
      </c>
      <c r="G282" s="24" t="s">
        <v>537</v>
      </c>
      <c r="H282" s="24">
        <v>1</v>
      </c>
      <c r="I282" s="24" t="s">
        <v>59</v>
      </c>
      <c r="J282" s="24" t="str">
        <f>G282&amp;H282&amp;I282</f>
        <v>参与集结进攻1次</v>
      </c>
      <c r="K282" s="24">
        <f>A282</f>
        <v>10001090</v>
      </c>
      <c r="L282" s="24" t="s">
        <v>515</v>
      </c>
      <c r="M282" s="24">
        <f>VLOOKUP(L282,J:K,2,FALSE)</f>
        <v>10601030</v>
      </c>
      <c r="N282" s="50" t="s">
        <v>254</v>
      </c>
      <c r="O282" s="50" t="s">
        <v>52</v>
      </c>
      <c r="P282" s="4" t="s">
        <v>491</v>
      </c>
      <c r="Q282" s="50" t="s">
        <v>52</v>
      </c>
      <c r="R282" s="50" t="s">
        <v>538</v>
      </c>
      <c r="S282" s="24" t="str">
        <f>SUBSTITUTE(R282,"@@@",H282)</f>
        <v>statisticReach{type:"PlayerJoinGrpForAttack",value:1}</v>
      </c>
      <c r="T282" s="24" t="s">
        <v>52</v>
      </c>
      <c r="U282" s="24"/>
      <c r="V282" s="24" t="s">
        <v>55</v>
      </c>
      <c r="W282" s="24">
        <f>VLOOKUP(V282,[1]界面跳转!$I:$J,2,FALSE)</f>
        <v>1</v>
      </c>
      <c r="Y282" s="23" t="s">
        <v>56</v>
      </c>
      <c r="Z282" s="23" t="s">
        <v>494</v>
      </c>
      <c r="AA282" s="24">
        <f>AD282*1000+AE282</f>
        <v>99003</v>
      </c>
      <c r="AB282" s="24">
        <v>6622200</v>
      </c>
      <c r="AC282" s="24"/>
      <c r="AD282" s="23">
        <v>99</v>
      </c>
      <c r="AE282" s="23">
        <v>3</v>
      </c>
    </row>
    <row r="283" spans="1:31" s="23" customFormat="1" x14ac:dyDescent="0.45">
      <c r="F283" s="24"/>
      <c r="G283" s="24"/>
      <c r="H283" s="24"/>
      <c r="I283" s="24"/>
      <c r="J283" s="24"/>
      <c r="K283" s="24"/>
      <c r="L283" s="24"/>
      <c r="M283" s="24"/>
      <c r="N283" s="51" t="s">
        <v>510</v>
      </c>
      <c r="O283" s="50" t="s">
        <v>52</v>
      </c>
      <c r="P283" s="4" t="str">
        <f t="shared" si="168"/>
        <v>milestoneOpen{milestoneId:2}</v>
      </c>
      <c r="Q283" s="50"/>
      <c r="R283" s="50"/>
      <c r="S283" s="24"/>
      <c r="T283" s="24"/>
      <c r="U283" s="24"/>
      <c r="V283" s="24"/>
      <c r="W283" s="24"/>
      <c r="AA283" s="24"/>
      <c r="AB283" s="24" t="s">
        <v>511</v>
      </c>
      <c r="AC283" s="24"/>
    </row>
    <row r="284" spans="1:31" s="23" customFormat="1" x14ac:dyDescent="0.45">
      <c r="A284" s="23">
        <f>10000000+B284*100000+C284*1000+D284*10</f>
        <v>10001100</v>
      </c>
      <c r="B284" s="23">
        <v>0</v>
      </c>
      <c r="C284" s="23">
        <v>1</v>
      </c>
      <c r="D284" s="23">
        <f>IF(C284=C282,D282+1,1)</f>
        <v>10</v>
      </c>
      <c r="E284" s="23" t="s">
        <v>539</v>
      </c>
      <c r="F284" s="24" t="s">
        <v>540</v>
      </c>
      <c r="G284" s="24" t="s">
        <v>541</v>
      </c>
      <c r="H284" s="24">
        <v>1</v>
      </c>
      <c r="I284" s="24" t="s">
        <v>59</v>
      </c>
      <c r="J284" s="24" t="str">
        <f>G284&amp;H284&amp;I284</f>
        <v>参与蛮族集结活动1次</v>
      </c>
      <c r="K284" s="24">
        <f>A284</f>
        <v>10001100</v>
      </c>
      <c r="L284" s="24" t="s">
        <v>515</v>
      </c>
      <c r="M284" s="24">
        <f>VLOOKUP(L284,J:K,2,FALSE)</f>
        <v>10601030</v>
      </c>
      <c r="N284" s="50" t="s">
        <v>254</v>
      </c>
      <c r="O284" s="50" t="s">
        <v>52</v>
      </c>
      <c r="P284" s="4" t="s">
        <v>491</v>
      </c>
      <c r="Q284" s="50" t="s">
        <v>52</v>
      </c>
      <c r="R284" s="50" t="s">
        <v>542</v>
      </c>
      <c r="S284" s="24" t="str">
        <f>SUBSTITUTE(R284,"@@@",H284)</f>
        <v>statisticReach{type:"JoinManzuGroup",value:1}</v>
      </c>
      <c r="T284" s="24" t="s">
        <v>52</v>
      </c>
      <c r="U284" s="24"/>
      <c r="V284" s="24" t="s">
        <v>256</v>
      </c>
      <c r="W284" s="24">
        <f>VLOOKUP(V284,[1]界面跳转!$I:$J,2,FALSE)</f>
        <v>7487</v>
      </c>
      <c r="Y284" s="23" t="s">
        <v>56</v>
      </c>
      <c r="Z284" s="23" t="s">
        <v>543</v>
      </c>
      <c r="AA284" s="24">
        <f>AD284*1000+AE284</f>
        <v>99004</v>
      </c>
      <c r="AB284" s="24">
        <v>6622200</v>
      </c>
      <c r="AC284" s="24"/>
      <c r="AD284" s="23">
        <v>99</v>
      </c>
      <c r="AE284" s="23">
        <v>4</v>
      </c>
    </row>
    <row r="285" spans="1:31" s="23" customFormat="1" x14ac:dyDescent="0.45">
      <c r="F285" s="24"/>
      <c r="G285" s="24"/>
      <c r="H285" s="24"/>
      <c r="I285" s="24"/>
      <c r="J285" s="24"/>
      <c r="K285" s="24"/>
      <c r="L285" s="24"/>
      <c r="M285" s="24"/>
      <c r="N285" s="51" t="s">
        <v>510</v>
      </c>
      <c r="O285" s="50" t="s">
        <v>52</v>
      </c>
      <c r="P285" s="4" t="str">
        <f t="shared" si="168"/>
        <v>milestoneOpen{milestoneId:2}</v>
      </c>
      <c r="Q285" s="50"/>
      <c r="R285" s="50"/>
      <c r="S285" s="24"/>
      <c r="T285" s="24"/>
      <c r="U285" s="24"/>
      <c r="V285" s="24"/>
      <c r="W285" s="24"/>
      <c r="AA285" s="24"/>
      <c r="AB285" s="24" t="s">
        <v>511</v>
      </c>
      <c r="AC285" s="24"/>
    </row>
    <row r="286" spans="1:31" s="23" customFormat="1" x14ac:dyDescent="0.45">
      <c r="A286" s="23">
        <f t="shared" ref="A286:A382" si="181">10000000+B286*100000+C286*1000+D286*10</f>
        <v>10001110</v>
      </c>
      <c r="B286" s="23">
        <v>0</v>
      </c>
      <c r="C286" s="23">
        <v>1</v>
      </c>
      <c r="D286" s="23">
        <f>IF(C286=C284,D284+1,1)</f>
        <v>11</v>
      </c>
      <c r="E286" s="23" t="s">
        <v>544</v>
      </c>
      <c r="F286" s="24" t="s">
        <v>545</v>
      </c>
      <c r="G286" s="24" t="s">
        <v>546</v>
      </c>
      <c r="H286" s="24">
        <v>1</v>
      </c>
      <c r="I286" s="24" t="s">
        <v>59</v>
      </c>
      <c r="J286" s="24" t="str">
        <f t="shared" ref="J286:J382" si="182">G286&amp;H286&amp;I286</f>
        <v>进入草丛1次</v>
      </c>
      <c r="K286" s="24">
        <f t="shared" ref="K286:K382" si="183">A286</f>
        <v>10001110</v>
      </c>
      <c r="L286" s="24" t="s">
        <v>515</v>
      </c>
      <c r="M286" s="24">
        <f>VLOOKUP(L286,J:K,2,FALSE)</f>
        <v>10601030</v>
      </c>
      <c r="N286" s="50" t="s">
        <v>254</v>
      </c>
      <c r="O286" s="50" t="s">
        <v>52</v>
      </c>
      <c r="P286" s="4" t="s">
        <v>491</v>
      </c>
      <c r="Q286" s="50" t="s">
        <v>52</v>
      </c>
      <c r="R286" s="50" t="s">
        <v>547</v>
      </c>
      <c r="S286" s="24" t="str">
        <f t="shared" ref="S286:S382" si="184">SUBSTITUTE(R286,"@@@",H286)</f>
        <v>generalProcess{event:PET_PlayerInGrass,count:1}</v>
      </c>
      <c r="T286" s="24" t="s">
        <v>52</v>
      </c>
      <c r="U286" s="24"/>
      <c r="V286" s="24" t="s">
        <v>55</v>
      </c>
      <c r="W286" s="24">
        <f>VLOOKUP(V286,[1]界面跳转!$I:$J,2,FALSE)</f>
        <v>1</v>
      </c>
      <c r="Y286" s="23" t="s">
        <v>56</v>
      </c>
      <c r="Z286" s="23" t="s">
        <v>57</v>
      </c>
      <c r="AA286" s="24">
        <f t="shared" ref="AA286:AA382" si="185">AD286*1000+AE286</f>
        <v>1007</v>
      </c>
      <c r="AB286" s="24">
        <v>6622200</v>
      </c>
      <c r="AC286" s="24"/>
      <c r="AD286" s="23">
        <v>1</v>
      </c>
      <c r="AE286" s="23">
        <v>7</v>
      </c>
    </row>
    <row r="287" spans="1:31" s="23" customFormat="1" x14ac:dyDescent="0.45">
      <c r="A287" s="23">
        <f t="shared" si="181"/>
        <v>10001120</v>
      </c>
      <c r="B287" s="23">
        <v>0</v>
      </c>
      <c r="C287" s="23">
        <v>1</v>
      </c>
      <c r="D287" s="23">
        <v>12</v>
      </c>
      <c r="E287" s="23" t="s">
        <v>548</v>
      </c>
      <c r="F287" s="24" t="s">
        <v>549</v>
      </c>
      <c r="G287" s="24" t="s">
        <v>550</v>
      </c>
      <c r="H287" s="24">
        <v>1</v>
      </c>
      <c r="I287" s="24" t="s">
        <v>59</v>
      </c>
      <c r="J287" s="24" t="s">
        <v>550</v>
      </c>
      <c r="K287" s="24">
        <f t="shared" si="183"/>
        <v>10001120</v>
      </c>
      <c r="L287" s="24" t="s">
        <v>551</v>
      </c>
      <c r="M287" s="24">
        <f>VLOOKUP(L287,J:K,2,FALSE)</f>
        <v>10601060</v>
      </c>
      <c r="N287" s="50" t="s">
        <v>254</v>
      </c>
      <c r="O287" s="50" t="s">
        <v>52</v>
      </c>
      <c r="P287" s="62" t="s">
        <v>3335</v>
      </c>
      <c r="Q287" s="50" t="s">
        <v>52</v>
      </c>
      <c r="R287" s="59" t="s">
        <v>3207</v>
      </c>
      <c r="S287" s="59" t="s">
        <v>3207</v>
      </c>
      <c r="T287" s="24" t="s">
        <v>52</v>
      </c>
      <c r="U287" s="24"/>
      <c r="V287" s="24"/>
      <c r="W287" s="24">
        <v>100356</v>
      </c>
      <c r="Y287" s="23" t="s">
        <v>56</v>
      </c>
      <c r="Z287" s="23" t="s">
        <v>57</v>
      </c>
      <c r="AA287" s="24">
        <v>1001</v>
      </c>
      <c r="AB287" s="24">
        <v>6622200</v>
      </c>
      <c r="AC287" s="24"/>
      <c r="AD287" s="23">
        <v>1</v>
      </c>
      <c r="AE287" s="23">
        <v>1</v>
      </c>
    </row>
    <row r="288" spans="1:31" s="23" customFormat="1" x14ac:dyDescent="0.45">
      <c r="A288" s="23">
        <f t="shared" ref="A288" si="186">10000000+B288*100000+C288*1000+D288*10</f>
        <v>10001130</v>
      </c>
      <c r="B288" s="23">
        <v>0</v>
      </c>
      <c r="C288" s="23">
        <v>1</v>
      </c>
      <c r="D288" s="23">
        <v>13</v>
      </c>
      <c r="E288" s="23" t="s">
        <v>548</v>
      </c>
      <c r="F288" s="24" t="s">
        <v>552</v>
      </c>
      <c r="G288" s="24" t="s">
        <v>553</v>
      </c>
      <c r="H288" s="24">
        <v>1</v>
      </c>
      <c r="I288" s="59" t="s">
        <v>3355</v>
      </c>
      <c r="J288" s="24" t="str">
        <f t="shared" ref="J288" si="187">G288&amp;H288&amp;I288</f>
        <v>完成1次至高竞技场</v>
      </c>
      <c r="K288" s="24">
        <f t="shared" ref="K288" si="188">A288</f>
        <v>10001130</v>
      </c>
      <c r="L288" s="24" t="str">
        <f>F56</f>
        <v>TID_BranchLineTaskConf_10710112_taskName_GL_Main</v>
      </c>
      <c r="M288" s="24">
        <f>A53</f>
        <v>10801060</v>
      </c>
      <c r="N288" s="50" t="s">
        <v>3144</v>
      </c>
      <c r="O288" s="50" t="s">
        <v>52</v>
      </c>
      <c r="P288" s="62" t="s">
        <v>3335</v>
      </c>
      <c r="Q288" s="50" t="s">
        <v>52</v>
      </c>
      <c r="R288" s="50" t="s">
        <v>554</v>
      </c>
      <c r="S288" s="24" t="str">
        <f t="shared" ref="S288" si="189">SUBSTITUTE(R288,"@@@",H288)</f>
        <v>asyncArenaBattleCnt{count:1}</v>
      </c>
      <c r="T288" s="24" t="s">
        <v>52</v>
      </c>
      <c r="U288" s="24"/>
      <c r="V288" s="24"/>
      <c r="W288" s="24">
        <v>100172</v>
      </c>
      <c r="Y288" s="23" t="s">
        <v>56</v>
      </c>
      <c r="Z288" s="23" t="s">
        <v>57</v>
      </c>
      <c r="AA288" s="24"/>
      <c r="AB288" s="24">
        <v>6622008</v>
      </c>
      <c r="AC288" s="24"/>
    </row>
    <row r="289" spans="1:31" s="23" customFormat="1" x14ac:dyDescent="0.45">
      <c r="F289" s="24"/>
      <c r="G289" s="24"/>
      <c r="H289" s="24"/>
      <c r="I289" s="24"/>
      <c r="J289" s="24"/>
      <c r="K289" s="24"/>
      <c r="L289" s="24"/>
      <c r="M289" s="24"/>
      <c r="N289" s="51" t="s">
        <v>3353</v>
      </c>
      <c r="O289" s="50"/>
      <c r="P289" s="4" t="str">
        <f t="shared" ref="P289" si="190">SUBSTITUTE(N289,"@@@",M289)</f>
        <v>milestoneOpen{milestoneId:7}</v>
      </c>
      <c r="Q289" s="50"/>
      <c r="R289" s="50"/>
      <c r="S289" s="24"/>
      <c r="T289" s="24"/>
      <c r="U289" s="24"/>
      <c r="V289" s="24"/>
      <c r="W289" s="24"/>
      <c r="AA289" s="24"/>
      <c r="AB289" s="24" t="s">
        <v>511</v>
      </c>
      <c r="AC289" s="24"/>
    </row>
    <row r="290" spans="1:31" s="23" customFormat="1" x14ac:dyDescent="0.45">
      <c r="F290" s="24"/>
      <c r="G290" s="24"/>
      <c r="H290" s="24"/>
      <c r="I290" s="24"/>
      <c r="J290" s="24"/>
      <c r="K290" s="24"/>
      <c r="L290" s="24"/>
      <c r="M290" s="24"/>
      <c r="N290" s="51" t="s">
        <v>3354</v>
      </c>
      <c r="O290" s="50"/>
      <c r="P290" s="62" t="s">
        <v>3354</v>
      </c>
      <c r="Q290" s="50"/>
      <c r="R290" s="50"/>
      <c r="S290" s="24"/>
      <c r="T290" s="24"/>
      <c r="U290" s="24"/>
      <c r="V290" s="24"/>
      <c r="W290" s="24"/>
      <c r="AA290" s="24"/>
      <c r="AB290" s="24"/>
      <c r="AC290" s="24"/>
    </row>
    <row r="291" spans="1:31" s="23" customFormat="1" x14ac:dyDescent="0.45">
      <c r="A291" s="70">
        <v>10001140</v>
      </c>
      <c r="B291" s="70">
        <v>0</v>
      </c>
      <c r="C291" s="70">
        <v>1</v>
      </c>
      <c r="D291" s="70">
        <v>14</v>
      </c>
      <c r="E291" s="70" t="s">
        <v>548</v>
      </c>
      <c r="F291" s="71" t="s">
        <v>3266</v>
      </c>
      <c r="G291" s="71" t="s">
        <v>3267</v>
      </c>
      <c r="H291" s="71">
        <v>1</v>
      </c>
      <c r="I291" s="71" t="s">
        <v>59</v>
      </c>
      <c r="J291" s="71" t="s">
        <v>3268</v>
      </c>
      <c r="K291" s="71">
        <v>10001140</v>
      </c>
      <c r="L291" s="71" t="s">
        <v>78</v>
      </c>
      <c r="M291" s="71">
        <v>10401100</v>
      </c>
      <c r="N291" s="72"/>
      <c r="O291" s="72" t="s">
        <v>52</v>
      </c>
      <c r="P291" s="69" t="s">
        <v>3335</v>
      </c>
      <c r="Q291" s="72" t="s">
        <v>52</v>
      </c>
      <c r="R291" s="72" t="s">
        <v>3269</v>
      </c>
      <c r="S291" s="71" t="s">
        <v>3269</v>
      </c>
      <c r="T291" s="71" t="s">
        <v>52</v>
      </c>
      <c r="U291" s="71"/>
      <c r="V291" s="71" t="s">
        <v>3270</v>
      </c>
      <c r="W291" s="71">
        <v>100335</v>
      </c>
      <c r="X291" s="70"/>
      <c r="Y291" s="70" t="s">
        <v>56</v>
      </c>
      <c r="Z291" s="70" t="s">
        <v>57</v>
      </c>
      <c r="AA291" s="71"/>
      <c r="AB291" s="71">
        <v>6622200</v>
      </c>
      <c r="AC291" s="71"/>
      <c r="AD291" s="70"/>
      <c r="AE291" s="70"/>
    </row>
    <row r="292" spans="1:31" s="23" customFormat="1" x14ac:dyDescent="0.45">
      <c r="A292" s="23">
        <f>10000000+B292*100000+C292*1000+D292*10</f>
        <v>10001160</v>
      </c>
      <c r="B292" s="23">
        <v>0</v>
      </c>
      <c r="C292" s="23">
        <v>1</v>
      </c>
      <c r="D292" s="23">
        <v>16</v>
      </c>
      <c r="E292" s="23" t="s">
        <v>548</v>
      </c>
      <c r="F292" s="59" t="s">
        <v>3099</v>
      </c>
      <c r="G292" s="59" t="s">
        <v>3098</v>
      </c>
      <c r="H292" s="24">
        <v>1</v>
      </c>
      <c r="I292" s="59" t="s">
        <v>3100</v>
      </c>
      <c r="J292" s="24" t="str">
        <f>G292&amp;H292&amp;I292</f>
        <v>完成1次未知探索事件</v>
      </c>
      <c r="K292" s="24">
        <f>A292</f>
        <v>10001160</v>
      </c>
      <c r="L292" s="24" t="str">
        <f>F16</f>
        <v>TID_BranchLineTaskConf_10401020_taskName_GL_Main</v>
      </c>
      <c r="M292" s="24">
        <v>10001150</v>
      </c>
      <c r="N292" s="50" t="s">
        <v>51</v>
      </c>
      <c r="O292" s="50" t="s">
        <v>52</v>
      </c>
      <c r="P292" s="62" t="s">
        <v>3335</v>
      </c>
      <c r="Q292" s="50" t="s">
        <v>52</v>
      </c>
      <c r="R292" s="50" t="s">
        <v>3101</v>
      </c>
      <c r="S292" s="24" t="str">
        <f>SUBSTITUTE(R292,"@@@",H292)</f>
        <v>explorationFinishCount { recordHistory:true, count: 1 }</v>
      </c>
      <c r="T292" s="24" t="s">
        <v>52</v>
      </c>
      <c r="U292" s="24"/>
      <c r="V292" s="24"/>
      <c r="W292" s="24">
        <v>100316</v>
      </c>
      <c r="Y292" s="23" t="s">
        <v>56</v>
      </c>
      <c r="Z292" s="23" t="s">
        <v>57</v>
      </c>
      <c r="AA292" s="24"/>
      <c r="AB292" s="24">
        <v>6622200</v>
      </c>
      <c r="AC292" s="24"/>
    </row>
    <row r="293" spans="1:31" s="23" customFormat="1" x14ac:dyDescent="0.45">
      <c r="A293" s="23">
        <f>10000000+B293*100000+C293*1000+D293*10</f>
        <v>10001170</v>
      </c>
      <c r="B293" s="23">
        <v>0</v>
      </c>
      <c r="C293" s="23">
        <v>1</v>
      </c>
      <c r="D293" s="23">
        <v>17</v>
      </c>
      <c r="E293" s="23" t="s">
        <v>548</v>
      </c>
      <c r="F293" s="59" t="s">
        <v>3208</v>
      </c>
      <c r="G293" s="59" t="s">
        <v>3102</v>
      </c>
      <c r="H293" s="24">
        <v>2</v>
      </c>
      <c r="I293" s="59" t="s">
        <v>3103</v>
      </c>
      <c r="J293" s="24" t="str">
        <f>G293&amp;H293&amp;I293</f>
        <v>探照灯等级到达2级</v>
      </c>
      <c r="K293" s="24">
        <f>A293</f>
        <v>10001170</v>
      </c>
      <c r="L293" s="24" t="str">
        <f>F17</f>
        <v>TID_BranchLineTaskConf_20000001_03_taskName_GL_Main</v>
      </c>
      <c r="M293" s="24">
        <v>10001160</v>
      </c>
      <c r="N293" s="50" t="s">
        <v>51</v>
      </c>
      <c r="O293" s="50" t="s">
        <v>52</v>
      </c>
      <c r="P293" s="4" t="str">
        <f t="shared" ref="P293" si="191">SUBSTITUTE(N293,"@@@",M293)</f>
        <v>taskReward{taskId:10001160}</v>
      </c>
      <c r="Q293" s="50" t="s">
        <v>52</v>
      </c>
      <c r="R293" s="50" t="s">
        <v>3143</v>
      </c>
      <c r="S293" s="24" t="str">
        <f>SUBSTITUTE(R293,"@@@",H293)</f>
        <v xml:space="preserve">explorationLevel { level: 2 } </v>
      </c>
      <c r="T293" s="24" t="s">
        <v>52</v>
      </c>
      <c r="U293" s="24"/>
      <c r="V293" s="24"/>
      <c r="W293" s="24">
        <v>100316</v>
      </c>
      <c r="Y293" s="23" t="s">
        <v>56</v>
      </c>
      <c r="Z293" s="23" t="s">
        <v>57</v>
      </c>
      <c r="AA293" s="24"/>
      <c r="AB293" s="24">
        <v>6622200</v>
      </c>
      <c r="AC293" s="24"/>
    </row>
    <row r="294" spans="1:31" s="23" customFormat="1" x14ac:dyDescent="0.45">
      <c r="A294" s="23">
        <f t="shared" ref="A294" si="192">10000000+B294*100000+C294*1000+D294*10</f>
        <v>10001180</v>
      </c>
      <c r="B294" s="23">
        <v>0</v>
      </c>
      <c r="C294" s="23">
        <v>1</v>
      </c>
      <c r="D294" s="23">
        <v>18</v>
      </c>
      <c r="E294" s="23" t="s">
        <v>548</v>
      </c>
      <c r="F294" s="59" t="s">
        <v>3213</v>
      </c>
      <c r="G294" s="59" t="s">
        <v>3212</v>
      </c>
      <c r="H294" s="24"/>
      <c r="I294" s="59"/>
      <c r="J294" s="24" t="str">
        <f t="shared" ref="J294" si="193">G294&amp;H294&amp;I294</f>
        <v>查看玺戒装备界面</v>
      </c>
      <c r="K294" s="24">
        <f t="shared" ref="K294" si="194">A294</f>
        <v>10001180</v>
      </c>
      <c r="L294" s="24" t="str">
        <f>F161</f>
        <v>TID_UpgradeBuildings_014</v>
      </c>
      <c r="M294" s="24">
        <f>A163</f>
        <v>11701100</v>
      </c>
      <c r="N294" s="51" t="s">
        <v>3239</v>
      </c>
      <c r="O294" s="50" t="s">
        <v>52</v>
      </c>
      <c r="P294" s="4" t="str">
        <f>SUBSTITUTE(N294,"@@@",M294)</f>
        <v>milestoneOpen{milestoneId:15}</v>
      </c>
      <c r="Q294" s="50" t="s">
        <v>52</v>
      </c>
      <c r="R294" s="50" t="s">
        <v>3241</v>
      </c>
      <c r="S294" s="24" t="str">
        <f t="shared" ref="S294" si="195">SUBSTITUTE(R294,"@@@",H294)</f>
        <v>clientClick{taskId:10001180}</v>
      </c>
      <c r="T294" s="24" t="s">
        <v>52</v>
      </c>
      <c r="U294" s="24"/>
      <c r="V294" s="24"/>
      <c r="W294" s="24">
        <v>7109</v>
      </c>
      <c r="Y294" s="23" t="s">
        <v>56</v>
      </c>
      <c r="Z294" s="23" t="s">
        <v>57</v>
      </c>
      <c r="AA294" s="24"/>
      <c r="AB294" s="24">
        <v>6622351</v>
      </c>
      <c r="AC294" s="59"/>
    </row>
    <row r="295" spans="1:31" s="23" customFormat="1" x14ac:dyDescent="0.45">
      <c r="F295" s="59"/>
      <c r="G295" s="59"/>
      <c r="H295" s="24"/>
      <c r="J295" s="24" t="str">
        <f>G295&amp;H295&amp;I298</f>
        <v>次宝石合成</v>
      </c>
      <c r="K295" s="24"/>
      <c r="L295" s="24"/>
      <c r="M295" s="24"/>
      <c r="N295" s="50"/>
      <c r="O295" s="50"/>
      <c r="P295" s="4" t="s">
        <v>3240</v>
      </c>
      <c r="Q295" s="50"/>
      <c r="S295" s="24"/>
      <c r="T295" s="24"/>
      <c r="U295" s="24"/>
      <c r="V295" s="24"/>
      <c r="W295" s="24"/>
      <c r="AA295" s="24"/>
      <c r="AB295" s="24"/>
      <c r="AC295" s="24"/>
    </row>
    <row r="296" spans="1:31" s="23" customFormat="1" x14ac:dyDescent="0.45">
      <c r="A296" s="23">
        <f>10000000+B296*100000+C296*1000+D296*10</f>
        <v>10001190</v>
      </c>
      <c r="B296" s="23">
        <v>0</v>
      </c>
      <c r="C296" s="23">
        <v>1</v>
      </c>
      <c r="D296" s="23">
        <v>19</v>
      </c>
      <c r="E296" s="23" t="s">
        <v>548</v>
      </c>
      <c r="F296" s="59" t="s">
        <v>3215</v>
      </c>
      <c r="G296" s="59" t="s">
        <v>3237</v>
      </c>
      <c r="H296" s="24">
        <v>1</v>
      </c>
      <c r="I296" s="59" t="s">
        <v>3210</v>
      </c>
      <c r="J296" s="24" t="str">
        <f>G296&amp;H296&amp;I296</f>
        <v>装备1个玺戒</v>
      </c>
      <c r="K296" s="24">
        <f>A296</f>
        <v>10001190</v>
      </c>
      <c r="L296" s="24" t="str">
        <f>F162</f>
        <v>TID_BranchLineTaskConf_215_14_taskName_GL_Main</v>
      </c>
      <c r="M296" s="24">
        <f>A294</f>
        <v>10001180</v>
      </c>
      <c r="N296" s="50" t="s">
        <v>51</v>
      </c>
      <c r="O296" s="50" t="s">
        <v>52</v>
      </c>
      <c r="P296" s="4" t="str">
        <f>SUBSTITUTE(N296,"@@@",M296)</f>
        <v>taskReward{taskId:10001180}</v>
      </c>
      <c r="Q296" s="50" t="s">
        <v>52</v>
      </c>
      <c r="R296" s="50" t="s">
        <v>3238</v>
      </c>
      <c r="S296" s="24" t="str">
        <f>SUBSTITUTE(R296,"@@@",H296)</f>
        <v>heroEquipEquipment{heroId:0,equipmentId:0}</v>
      </c>
      <c r="T296" s="24" t="s">
        <v>52</v>
      </c>
      <c r="U296" s="24"/>
      <c r="V296" s="24"/>
      <c r="W296" s="24">
        <v>7109</v>
      </c>
      <c r="Y296" s="23" t="s">
        <v>56</v>
      </c>
      <c r="Z296" s="23" t="s">
        <v>57</v>
      </c>
      <c r="AA296" s="24"/>
      <c r="AB296" s="24">
        <v>6622018</v>
      </c>
      <c r="AC296" s="24"/>
    </row>
    <row r="297" spans="1:31" s="23" customFormat="1" x14ac:dyDescent="0.45">
      <c r="A297" s="23">
        <f>10000000+B297*100000+C297*1000+D297*10</f>
        <v>10001200</v>
      </c>
      <c r="B297" s="23">
        <v>0</v>
      </c>
      <c r="C297" s="23">
        <v>1</v>
      </c>
      <c r="D297" s="23">
        <v>20</v>
      </c>
      <c r="E297" s="23" t="s">
        <v>548</v>
      </c>
      <c r="F297" s="59" t="s">
        <v>3247</v>
      </c>
      <c r="G297" s="59" t="s">
        <v>3098</v>
      </c>
      <c r="H297" s="24">
        <v>1</v>
      </c>
      <c r="I297" s="59" t="s">
        <v>3248</v>
      </c>
      <c r="J297" s="24" t="str">
        <f>G297&amp;H297&amp;I297</f>
        <v>完成1次“海岛战弈“玩法</v>
      </c>
      <c r="K297" s="24">
        <f>A297</f>
        <v>10001200</v>
      </c>
      <c r="L297" s="24"/>
      <c r="M297" s="24">
        <f>A295</f>
        <v>0</v>
      </c>
      <c r="N297" s="50" t="s">
        <v>3350</v>
      </c>
      <c r="O297" s="50" t="s">
        <v>52</v>
      </c>
      <c r="P297" s="4" t="str">
        <f>SUBSTITUTE(N297,"@@@",M297)</f>
        <v>buildingLevelUp{buildingType:201,buildingLevel:15}</v>
      </c>
      <c r="Q297" s="50" t="s">
        <v>52</v>
      </c>
      <c r="R297" s="64" t="s">
        <v>3340</v>
      </c>
      <c r="S297" s="24" t="str">
        <f>SUBSTITUTE(R297,"@@@",H297)</f>
        <v>autoChessFinish { level: 1}</v>
      </c>
      <c r="T297" s="24" t="s">
        <v>52</v>
      </c>
      <c r="U297" s="24"/>
      <c r="V297" s="24"/>
      <c r="W297" s="77">
        <v>100342</v>
      </c>
      <c r="Y297" s="23" t="s">
        <v>56</v>
      </c>
      <c r="Z297" s="23" t="s">
        <v>57</v>
      </c>
      <c r="AA297" s="24"/>
      <c r="AB297" s="24">
        <v>6622018</v>
      </c>
      <c r="AC297" s="24"/>
    </row>
    <row r="298" spans="1:31" s="23" customFormat="1" x14ac:dyDescent="0.45">
      <c r="A298" s="23">
        <f>10000000+B298*100000+C298*1000+D298*10</f>
        <v>10001210</v>
      </c>
      <c r="B298" s="23">
        <v>0</v>
      </c>
      <c r="C298" s="23">
        <v>1</v>
      </c>
      <c r="D298" s="23">
        <v>21</v>
      </c>
      <c r="E298" s="23" t="s">
        <v>548</v>
      </c>
      <c r="F298" s="59" t="s">
        <v>3327</v>
      </c>
      <c r="G298" s="59" t="s">
        <v>3098</v>
      </c>
      <c r="H298" s="24">
        <v>1</v>
      </c>
      <c r="I298" s="59" t="s">
        <v>3328</v>
      </c>
      <c r="J298" s="24" t="str">
        <f>G298&amp;H298&amp;I298</f>
        <v>完成1次宝石合成</v>
      </c>
      <c r="K298" s="24">
        <f>A298</f>
        <v>10001210</v>
      </c>
      <c r="L298" s="24"/>
      <c r="M298" s="24">
        <f>A296</f>
        <v>10001190</v>
      </c>
      <c r="N298" s="50"/>
      <c r="O298" s="50" t="s">
        <v>52</v>
      </c>
      <c r="P298" s="62" t="s">
        <v>3346</v>
      </c>
      <c r="Q298" s="50" t="s">
        <v>52</v>
      </c>
      <c r="R298" s="64" t="s">
        <v>3339</v>
      </c>
      <c r="S298" s="24" t="str">
        <f>SUBSTITUTE(R298,"@@@",H298)</f>
        <v>itemAdd{itemType:IT_GearGem,reason:ICR_GearGemCombine,num:1}</v>
      </c>
      <c r="T298" s="24" t="s">
        <v>52</v>
      </c>
      <c r="U298" s="24"/>
      <c r="V298" s="24"/>
      <c r="W298" s="24">
        <v>100345</v>
      </c>
      <c r="Y298" s="23" t="s">
        <v>56</v>
      </c>
      <c r="Z298" s="23" t="s">
        <v>57</v>
      </c>
      <c r="AA298" s="24"/>
      <c r="AB298" s="24">
        <v>6622018</v>
      </c>
      <c r="AC298" s="24"/>
    </row>
    <row r="299" spans="1:31" s="23" customFormat="1" x14ac:dyDescent="0.45">
      <c r="A299" s="23">
        <f>10000000+B299*100000+C299*1000+D299*10</f>
        <v>10001220</v>
      </c>
      <c r="B299" s="23">
        <v>0</v>
      </c>
      <c r="C299" s="23">
        <v>1</v>
      </c>
      <c r="D299" s="23">
        <v>22</v>
      </c>
      <c r="E299" s="23" t="s">
        <v>548</v>
      </c>
      <c r="F299" s="59" t="s">
        <v>3325</v>
      </c>
      <c r="G299" s="59" t="s">
        <v>3098</v>
      </c>
      <c r="H299" s="24">
        <v>1</v>
      </c>
      <c r="I299" s="59" t="s">
        <v>3326</v>
      </c>
      <c r="J299" s="24" t="str">
        <f>G299&amp;H299&amp;I299</f>
        <v>完成1次宝石镶嵌</v>
      </c>
      <c r="K299" s="24">
        <f>A299</f>
        <v>10001220</v>
      </c>
      <c r="L299" s="24"/>
      <c r="M299" s="24">
        <f>A297</f>
        <v>10001200</v>
      </c>
      <c r="N299" s="50"/>
      <c r="O299" s="50" t="s">
        <v>52</v>
      </c>
      <c r="P299" s="62" t="s">
        <v>3332</v>
      </c>
      <c r="Q299" s="50" t="s">
        <v>52</v>
      </c>
      <c r="R299" s="50" t="s">
        <v>3329</v>
      </c>
      <c r="S299" s="24" t="str">
        <f>SUBSTITUTE(R299,"@@@",H299)</f>
        <v>heroGearGemOn{num:1}</v>
      </c>
      <c r="T299" s="24" t="s">
        <v>52</v>
      </c>
      <c r="U299" s="24"/>
      <c r="V299" s="24"/>
      <c r="W299" s="24">
        <v>100343</v>
      </c>
      <c r="Y299" s="23" t="s">
        <v>56</v>
      </c>
      <c r="Z299" s="23" t="s">
        <v>57</v>
      </c>
      <c r="AA299" s="24"/>
      <c r="AB299" s="24">
        <v>6622018</v>
      </c>
      <c r="AC299" s="24"/>
    </row>
    <row r="300" spans="1:31" s="23" customFormat="1" x14ac:dyDescent="0.45">
      <c r="A300" s="23">
        <f>10000000+B300*100000+C300*1000+D300*10</f>
        <v>10001230</v>
      </c>
      <c r="B300" s="23">
        <v>0</v>
      </c>
      <c r="C300" s="23">
        <v>1</v>
      </c>
      <c r="D300" s="23">
        <v>23</v>
      </c>
      <c r="E300" s="23" t="s">
        <v>548</v>
      </c>
      <c r="F300" s="59" t="s">
        <v>3347</v>
      </c>
      <c r="G300" s="59" t="s">
        <v>3293</v>
      </c>
      <c r="H300" s="24">
        <v>1</v>
      </c>
      <c r="I300" s="59" t="s">
        <v>3348</v>
      </c>
      <c r="J300" s="24" t="str">
        <f>G300&amp;H300&amp;I300</f>
        <v>建造1个铁匠铺</v>
      </c>
      <c r="K300" s="24">
        <f>A300</f>
        <v>10001230</v>
      </c>
      <c r="L300" s="24"/>
      <c r="M300" s="24">
        <f>A298</f>
        <v>10001210</v>
      </c>
      <c r="N300" s="50"/>
      <c r="O300" s="50" t="s">
        <v>52</v>
      </c>
      <c r="P300" s="62" t="s">
        <v>3349</v>
      </c>
      <c r="Q300" s="50" t="s">
        <v>52</v>
      </c>
      <c r="R300" s="50"/>
      <c r="S300" s="24" t="s">
        <v>3351</v>
      </c>
      <c r="T300" s="24" t="s">
        <v>52</v>
      </c>
      <c r="U300" s="24"/>
      <c r="V300" s="24"/>
      <c r="W300" s="24">
        <v>100352</v>
      </c>
      <c r="Y300" s="23" t="s">
        <v>56</v>
      </c>
      <c r="Z300" s="23" t="s">
        <v>57</v>
      </c>
      <c r="AA300" s="24"/>
      <c r="AB300" s="24">
        <v>6622018</v>
      </c>
      <c r="AC300" s="24"/>
    </row>
    <row r="301" spans="1:31" s="23" customFormat="1" x14ac:dyDescent="0.45">
      <c r="F301" s="59"/>
      <c r="G301" s="59"/>
      <c r="H301" s="24"/>
      <c r="I301" s="59"/>
      <c r="J301" s="24"/>
      <c r="K301" s="24"/>
      <c r="L301" s="24"/>
      <c r="M301" s="24"/>
      <c r="N301" s="50"/>
      <c r="O301" s="50"/>
      <c r="P301" s="62" t="s">
        <v>3350</v>
      </c>
      <c r="Q301" s="50"/>
      <c r="R301" s="50"/>
      <c r="S301" s="24"/>
      <c r="T301" s="24"/>
      <c r="U301" s="24"/>
      <c r="V301" s="24"/>
      <c r="W301" s="24"/>
      <c r="AA301" s="24"/>
      <c r="AB301" s="24"/>
      <c r="AC301" s="24"/>
    </row>
    <row r="302" spans="1:31" s="82" customFormat="1" x14ac:dyDescent="0.45">
      <c r="A302" s="82">
        <f>10000000+B302*100000+C302*1000+D302*10</f>
        <v>10001240</v>
      </c>
      <c r="B302" s="82">
        <v>0</v>
      </c>
      <c r="C302" s="82">
        <v>1</v>
      </c>
      <c r="D302" s="82">
        <v>24</v>
      </c>
      <c r="E302" s="82" t="s">
        <v>548</v>
      </c>
      <c r="F302" s="83" t="s">
        <v>3417</v>
      </c>
      <c r="G302" s="83" t="s">
        <v>3418</v>
      </c>
      <c r="H302" s="84"/>
      <c r="I302" s="83"/>
      <c r="J302" s="84" t="str">
        <f>G302&amp;H302&amp;I302</f>
        <v>查看城堡设施-佣兵营地</v>
      </c>
      <c r="K302" s="84">
        <f>A302</f>
        <v>10001240</v>
      </c>
      <c r="L302" s="84"/>
      <c r="M302" s="84">
        <f>A300</f>
        <v>10001230</v>
      </c>
      <c r="N302" s="85"/>
      <c r="O302" s="85" t="s">
        <v>52</v>
      </c>
      <c r="P302" s="86" t="s">
        <v>3396</v>
      </c>
      <c r="Q302" s="85" t="s">
        <v>52</v>
      </c>
      <c r="R302" s="85" t="s">
        <v>3419</v>
      </c>
      <c r="S302" s="85" t="str">
        <f t="shared" ref="S302" si="196">SUBSTITUTE(R302,"@@@",H302)</f>
        <v>clientClick{taskId:10001240}</v>
      </c>
      <c r="T302" s="84" t="s">
        <v>52</v>
      </c>
      <c r="U302" s="84"/>
      <c r="V302" s="84"/>
      <c r="W302" s="84">
        <v>100380</v>
      </c>
      <c r="Y302" s="82" t="s">
        <v>56</v>
      </c>
      <c r="Z302" s="82" t="s">
        <v>57</v>
      </c>
      <c r="AA302" s="84"/>
      <c r="AB302" s="84">
        <v>6622501</v>
      </c>
      <c r="AC302" s="84"/>
    </row>
    <row r="303" spans="1:31" s="23" customFormat="1" x14ac:dyDescent="0.45">
      <c r="A303" s="23">
        <f>10000000+B303*100000+C303*1000+D303*10</f>
        <v>10001250</v>
      </c>
      <c r="B303" s="23">
        <v>0</v>
      </c>
      <c r="C303" s="23">
        <v>1</v>
      </c>
      <c r="D303" s="23">
        <v>25</v>
      </c>
      <c r="E303" s="23" t="s">
        <v>548</v>
      </c>
      <c r="F303" s="59" t="s">
        <v>3371</v>
      </c>
      <c r="G303" s="59" t="s">
        <v>3293</v>
      </c>
      <c r="H303" s="24">
        <v>1</v>
      </c>
      <c r="I303" s="59" t="s">
        <v>3372</v>
      </c>
      <c r="J303" s="24" t="str">
        <f>G303&amp;H303&amp;I303</f>
        <v>建造1个佣兵营地</v>
      </c>
      <c r="K303" s="24">
        <f>A303</f>
        <v>10001250</v>
      </c>
      <c r="L303" s="24"/>
      <c r="M303" s="24">
        <f>A301</f>
        <v>0</v>
      </c>
      <c r="N303" s="50"/>
      <c r="O303" s="50" t="s">
        <v>52</v>
      </c>
      <c r="P303" s="62" t="s">
        <v>3397</v>
      </c>
      <c r="Q303" s="50" t="s">
        <v>52</v>
      </c>
      <c r="R303" s="50"/>
      <c r="S303" s="59" t="s">
        <v>3376</v>
      </c>
      <c r="T303" s="24" t="s">
        <v>52</v>
      </c>
      <c r="U303" s="24"/>
      <c r="V303" s="24"/>
      <c r="W303" s="24">
        <v>100381</v>
      </c>
      <c r="Y303" s="23" t="s">
        <v>56</v>
      </c>
      <c r="Z303" s="23" t="s">
        <v>57</v>
      </c>
      <c r="AA303" s="24"/>
      <c r="AB303" s="24">
        <v>6622502</v>
      </c>
      <c r="AC303" s="24"/>
    </row>
    <row r="304" spans="1:31" s="23" customFormat="1" x14ac:dyDescent="0.45">
      <c r="A304" s="23">
        <f>10000000+B304*100000+C304*1000+D304*10</f>
        <v>10001260</v>
      </c>
      <c r="B304" s="23">
        <v>0</v>
      </c>
      <c r="C304" s="23">
        <v>1</v>
      </c>
      <c r="D304" s="23">
        <v>26</v>
      </c>
      <c r="E304" s="23" t="s">
        <v>548</v>
      </c>
      <c r="F304" s="59" t="s">
        <v>3373</v>
      </c>
      <c r="G304" s="59" t="s">
        <v>3374</v>
      </c>
      <c r="H304" s="24"/>
      <c r="I304" s="59"/>
      <c r="J304" s="24" t="str">
        <f>G304&amp;H304&amp;I304</f>
        <v>部队使用任意佣兵</v>
      </c>
      <c r="K304" s="24">
        <f>A304</f>
        <v>10001260</v>
      </c>
      <c r="L304" s="24"/>
      <c r="M304" s="24">
        <f>A302</f>
        <v>10001240</v>
      </c>
      <c r="N304" s="50"/>
      <c r="O304" s="50" t="s">
        <v>52</v>
      </c>
      <c r="P304" s="62" t="s">
        <v>3375</v>
      </c>
      <c r="Q304" s="50" t="s">
        <v>52</v>
      </c>
      <c r="R304" s="50"/>
      <c r="S304" s="59" t="s">
        <v>3395</v>
      </c>
      <c r="T304" s="24" t="s">
        <v>52</v>
      </c>
      <c r="U304" s="24"/>
      <c r="V304" s="24"/>
      <c r="W304" s="24">
        <v>100481</v>
      </c>
      <c r="Y304" s="23" t="s">
        <v>56</v>
      </c>
      <c r="Z304" s="23" t="s">
        <v>57</v>
      </c>
      <c r="AA304" s="24"/>
      <c r="AB304" s="24">
        <v>6622503</v>
      </c>
      <c r="AC304" s="24"/>
    </row>
    <row r="305" spans="1:31" s="23" customFormat="1" x14ac:dyDescent="0.45">
      <c r="A305" s="23">
        <f>10000000+B305*100000+C305*1000+D305*10</f>
        <v>10001270</v>
      </c>
      <c r="B305" s="23">
        <v>0</v>
      </c>
      <c r="C305" s="23">
        <v>1</v>
      </c>
      <c r="D305" s="23">
        <v>27</v>
      </c>
      <c r="E305" s="23" t="s">
        <v>548</v>
      </c>
      <c r="F305" s="59" t="s">
        <v>3414</v>
      </c>
      <c r="G305" s="59" t="s">
        <v>3413</v>
      </c>
      <c r="H305" s="24"/>
      <c r="I305" s="59"/>
      <c r="J305" s="24" t="str">
        <f>G305&amp;H305&amp;I305</f>
        <v>查看装扮图鉴</v>
      </c>
      <c r="K305" s="24">
        <f>A305</f>
        <v>10001270</v>
      </c>
      <c r="L305" s="24"/>
      <c r="M305" s="24">
        <f>A303</f>
        <v>10001250</v>
      </c>
      <c r="N305" s="50"/>
      <c r="O305" s="50" t="s">
        <v>52</v>
      </c>
      <c r="P305" s="62" t="s">
        <v>3415</v>
      </c>
      <c r="Q305" s="50" t="s">
        <v>52</v>
      </c>
      <c r="R305" s="72" t="s">
        <v>3416</v>
      </c>
      <c r="S305" s="24" t="str">
        <f>SUBSTITUTE(R305,"@@@",H305)</f>
        <v>taskComplete{taskId:20009001}</v>
      </c>
      <c r="T305" s="24" t="s">
        <v>52</v>
      </c>
      <c r="U305" s="24"/>
      <c r="V305" s="24"/>
      <c r="W305" s="24">
        <v>100482</v>
      </c>
      <c r="Y305" s="23" t="s">
        <v>56</v>
      </c>
      <c r="Z305" s="23" t="s">
        <v>57</v>
      </c>
      <c r="AA305" s="24"/>
      <c r="AB305" s="24">
        <v>6622504</v>
      </c>
      <c r="AC305" s="24"/>
    </row>
    <row r="306" spans="1:31" s="82" customFormat="1" x14ac:dyDescent="0.45">
      <c r="A306" s="82">
        <f>10000000+B306*100000+C306*1000+D306*10</f>
        <v>10001280</v>
      </c>
      <c r="B306" s="82">
        <v>0</v>
      </c>
      <c r="C306" s="82">
        <v>1</v>
      </c>
      <c r="D306" s="82">
        <v>28</v>
      </c>
      <c r="E306" s="82" t="s">
        <v>548</v>
      </c>
      <c r="F306" s="83" t="s">
        <v>3420</v>
      </c>
      <c r="G306" s="83" t="s">
        <v>3421</v>
      </c>
      <c r="H306" s="84"/>
      <c r="I306" s="83"/>
      <c r="J306" s="84" t="str">
        <f>G306&amp;H306&amp;I306</f>
        <v>查看佣兵技术</v>
      </c>
      <c r="K306" s="84">
        <f>A306</f>
        <v>10001280</v>
      </c>
      <c r="L306" s="84"/>
      <c r="M306" s="84">
        <f>A304</f>
        <v>10001260</v>
      </c>
      <c r="N306" s="85"/>
      <c r="O306" s="85" t="s">
        <v>52</v>
      </c>
      <c r="P306" s="86" t="s">
        <v>3376</v>
      </c>
      <c r="Q306" s="85" t="s">
        <v>52</v>
      </c>
      <c r="R306" s="85" t="s">
        <v>3422</v>
      </c>
      <c r="S306" s="85" t="str">
        <f t="shared" ref="S306" si="197">SUBSTITUTE(R306,"@@@",H306)</f>
        <v>clientClick{taskId:10001280}</v>
      </c>
      <c r="T306" s="84" t="s">
        <v>52</v>
      </c>
      <c r="U306" s="84"/>
      <c r="V306" s="84"/>
      <c r="W306" s="84">
        <v>100402</v>
      </c>
      <c r="Y306" s="82" t="s">
        <v>56</v>
      </c>
      <c r="Z306" s="82" t="s">
        <v>57</v>
      </c>
      <c r="AA306" s="84"/>
      <c r="AB306" s="84">
        <v>6622501</v>
      </c>
      <c r="AC306" s="84"/>
    </row>
    <row r="307" spans="1:31" s="25" customFormat="1" x14ac:dyDescent="0.45">
      <c r="A307" s="25">
        <f t="shared" si="181"/>
        <v>10010010</v>
      </c>
      <c r="B307" s="25">
        <v>0</v>
      </c>
      <c r="C307" s="25">
        <v>10</v>
      </c>
      <c r="D307" s="25">
        <f>IF(C307=C84,D84+1,1)</f>
        <v>1</v>
      </c>
      <c r="E307" s="25" t="s">
        <v>555</v>
      </c>
      <c r="F307" s="25" t="s">
        <v>556</v>
      </c>
      <c r="G307" s="25" t="s">
        <v>557</v>
      </c>
      <c r="H307" s="25">
        <v>1000</v>
      </c>
      <c r="I307" s="25" t="s">
        <v>80</v>
      </c>
      <c r="J307" s="25" t="str">
        <f t="shared" si="182"/>
        <v>累计训练任意士兵1000名</v>
      </c>
      <c r="K307" s="25">
        <f t="shared" si="183"/>
        <v>10010010</v>
      </c>
      <c r="L307" s="25" t="s">
        <v>515</v>
      </c>
      <c r="M307" s="25">
        <f t="shared" ref="M307:M338" si="198">VLOOKUP(L307,J:K,2,FALSE)</f>
        <v>10601030</v>
      </c>
      <c r="N307" s="25" t="s">
        <v>254</v>
      </c>
      <c r="O307" s="25" t="s">
        <v>52</v>
      </c>
      <c r="P307" s="62" t="s">
        <v>3335</v>
      </c>
      <c r="Q307" s="25" t="s">
        <v>52</v>
      </c>
      <c r="R307" s="60" t="s">
        <v>3216</v>
      </c>
      <c r="S307" s="52" t="str">
        <f t="shared" si="184"/>
        <v xml:space="preserve"> soldierTrain{soldierLevel:1,value:1000}</v>
      </c>
      <c r="T307" s="52" t="s">
        <v>52</v>
      </c>
      <c r="U307" s="52" t="s">
        <v>558</v>
      </c>
      <c r="V307" s="52" t="s">
        <v>559</v>
      </c>
      <c r="W307" s="25">
        <f>VLOOKUP(V307,[1]界面跳转!$I:$J,2,FALSE)</f>
        <v>7328</v>
      </c>
      <c r="Y307" s="25" t="s">
        <v>56</v>
      </c>
      <c r="Z307" s="25" t="s">
        <v>57</v>
      </c>
      <c r="AA307" s="25">
        <f t="shared" si="185"/>
        <v>21001</v>
      </c>
      <c r="AB307" s="25">
        <v>6622301</v>
      </c>
      <c r="AD307" s="25">
        <v>21</v>
      </c>
      <c r="AE307" s="25">
        <f>IF(AD307=AD286,AE286+1,1)</f>
        <v>1</v>
      </c>
    </row>
    <row r="308" spans="1:31" s="25" customFormat="1" x14ac:dyDescent="0.45">
      <c r="A308" s="25">
        <f t="shared" si="181"/>
        <v>10010020</v>
      </c>
      <c r="B308" s="25">
        <v>0</v>
      </c>
      <c r="C308" s="25">
        <v>10</v>
      </c>
      <c r="D308" s="25">
        <f t="shared" ref="D308:D383" si="199">IF(C308=C307,D307+1,1)</f>
        <v>2</v>
      </c>
      <c r="E308" s="25" t="s">
        <v>555</v>
      </c>
      <c r="F308" s="25" t="s">
        <v>560</v>
      </c>
      <c r="G308" s="25" t="s">
        <v>557</v>
      </c>
      <c r="H308" s="25">
        <v>2000</v>
      </c>
      <c r="I308" s="25" t="s">
        <v>80</v>
      </c>
      <c r="J308" s="25" t="str">
        <f t="shared" si="182"/>
        <v>累计训练任意士兵2000名</v>
      </c>
      <c r="K308" s="25">
        <f t="shared" si="183"/>
        <v>10010020</v>
      </c>
      <c r="L308" s="25" t="s">
        <v>515</v>
      </c>
      <c r="M308" s="25">
        <f t="shared" si="198"/>
        <v>10601030</v>
      </c>
      <c r="N308" s="25" t="s">
        <v>254</v>
      </c>
      <c r="O308" s="25" t="s">
        <v>52</v>
      </c>
      <c r="P308" s="4" t="s">
        <v>491</v>
      </c>
      <c r="Q308" s="25" t="s">
        <v>52</v>
      </c>
      <c r="R308" s="60" t="s">
        <v>3216</v>
      </c>
      <c r="S308" s="52" t="str">
        <f t="shared" si="184"/>
        <v xml:space="preserve"> soldierTrain{soldierLevel:1,value:2000}</v>
      </c>
      <c r="T308" s="52" t="s">
        <v>52</v>
      </c>
      <c r="U308" s="52" t="s">
        <v>558</v>
      </c>
      <c r="V308" s="52" t="s">
        <v>559</v>
      </c>
      <c r="W308" s="25">
        <f>VLOOKUP(V308,[1]界面跳转!$I:$J,2,FALSE)</f>
        <v>7328</v>
      </c>
      <c r="Y308" s="25" t="s">
        <v>56</v>
      </c>
      <c r="Z308" s="25" t="s">
        <v>57</v>
      </c>
      <c r="AA308" s="25">
        <f t="shared" si="185"/>
        <v>21002</v>
      </c>
      <c r="AB308" s="25">
        <v>6622302</v>
      </c>
      <c r="AD308" s="25">
        <v>21</v>
      </c>
      <c r="AE308" s="25">
        <f t="shared" ref="AE308:AE386" si="200">IF(AD308=AD307,AE307+1,1)</f>
        <v>2</v>
      </c>
    </row>
    <row r="309" spans="1:31" s="25" customFormat="1" x14ac:dyDescent="0.45">
      <c r="A309" s="25">
        <f t="shared" si="181"/>
        <v>10010030</v>
      </c>
      <c r="B309" s="25">
        <v>0</v>
      </c>
      <c r="C309" s="25">
        <v>10</v>
      </c>
      <c r="D309" s="25">
        <f t="shared" si="199"/>
        <v>3</v>
      </c>
      <c r="E309" s="25" t="s">
        <v>555</v>
      </c>
      <c r="F309" s="25" t="s">
        <v>561</v>
      </c>
      <c r="G309" s="25" t="s">
        <v>557</v>
      </c>
      <c r="H309" s="25">
        <v>3000</v>
      </c>
      <c r="I309" s="25" t="s">
        <v>80</v>
      </c>
      <c r="J309" s="25" t="str">
        <f t="shared" si="182"/>
        <v>累计训练任意士兵3000名</v>
      </c>
      <c r="K309" s="25">
        <f t="shared" si="183"/>
        <v>10010030</v>
      </c>
      <c r="L309" s="25" t="s">
        <v>515</v>
      </c>
      <c r="M309" s="25">
        <f t="shared" si="198"/>
        <v>10601030</v>
      </c>
      <c r="N309" s="25" t="s">
        <v>254</v>
      </c>
      <c r="O309" s="25" t="s">
        <v>52</v>
      </c>
      <c r="P309" s="4" t="s">
        <v>491</v>
      </c>
      <c r="Q309" s="25" t="s">
        <v>52</v>
      </c>
      <c r="R309" s="60" t="s">
        <v>3216</v>
      </c>
      <c r="S309" s="52" t="str">
        <f t="shared" si="184"/>
        <v xml:space="preserve"> soldierTrain{soldierLevel:1,value:3000}</v>
      </c>
      <c r="T309" s="52" t="s">
        <v>52</v>
      </c>
      <c r="U309" s="52" t="s">
        <v>558</v>
      </c>
      <c r="V309" s="52" t="s">
        <v>559</v>
      </c>
      <c r="W309" s="25">
        <f>VLOOKUP(V309,[1]界面跳转!$I:$J,2,FALSE)</f>
        <v>7328</v>
      </c>
      <c r="Y309" s="25" t="s">
        <v>56</v>
      </c>
      <c r="Z309" s="25" t="s">
        <v>57</v>
      </c>
      <c r="AA309" s="25">
        <f t="shared" si="185"/>
        <v>21003</v>
      </c>
      <c r="AB309" s="25">
        <v>6622303</v>
      </c>
      <c r="AD309" s="25">
        <v>21</v>
      </c>
      <c r="AE309" s="25">
        <f t="shared" si="200"/>
        <v>3</v>
      </c>
    </row>
    <row r="310" spans="1:31" s="25" customFormat="1" x14ac:dyDescent="0.45">
      <c r="A310" s="25">
        <f t="shared" si="181"/>
        <v>10010040</v>
      </c>
      <c r="B310" s="25">
        <v>0</v>
      </c>
      <c r="C310" s="25">
        <v>10</v>
      </c>
      <c r="D310" s="25">
        <f t="shared" si="199"/>
        <v>4</v>
      </c>
      <c r="E310" s="25" t="s">
        <v>555</v>
      </c>
      <c r="F310" s="25" t="s">
        <v>562</v>
      </c>
      <c r="G310" s="25" t="s">
        <v>557</v>
      </c>
      <c r="H310" s="25">
        <v>4500</v>
      </c>
      <c r="I310" s="25" t="s">
        <v>80</v>
      </c>
      <c r="J310" s="25" t="str">
        <f t="shared" si="182"/>
        <v>累计训练任意士兵4500名</v>
      </c>
      <c r="K310" s="25">
        <f t="shared" si="183"/>
        <v>10010040</v>
      </c>
      <c r="L310" s="25" t="s">
        <v>515</v>
      </c>
      <c r="M310" s="25">
        <f t="shared" si="198"/>
        <v>10601030</v>
      </c>
      <c r="N310" s="25" t="s">
        <v>254</v>
      </c>
      <c r="O310" s="25" t="s">
        <v>52</v>
      </c>
      <c r="P310" s="4" t="s">
        <v>491</v>
      </c>
      <c r="Q310" s="25" t="s">
        <v>52</v>
      </c>
      <c r="R310" s="60" t="s">
        <v>3216</v>
      </c>
      <c r="S310" s="52" t="str">
        <f t="shared" si="184"/>
        <v xml:space="preserve"> soldierTrain{soldierLevel:1,value:4500}</v>
      </c>
      <c r="T310" s="52" t="s">
        <v>52</v>
      </c>
      <c r="U310" s="52" t="s">
        <v>558</v>
      </c>
      <c r="V310" s="52" t="s">
        <v>559</v>
      </c>
      <c r="W310" s="25">
        <f>VLOOKUP(V310,[1]界面跳转!$I:$J,2,FALSE)</f>
        <v>7328</v>
      </c>
      <c r="Y310" s="25" t="s">
        <v>56</v>
      </c>
      <c r="Z310" s="25" t="s">
        <v>57</v>
      </c>
      <c r="AA310" s="25">
        <f t="shared" si="185"/>
        <v>21004</v>
      </c>
      <c r="AB310" s="25">
        <v>6622304</v>
      </c>
      <c r="AD310" s="25">
        <v>21</v>
      </c>
      <c r="AE310" s="25">
        <f t="shared" si="200"/>
        <v>4</v>
      </c>
    </row>
    <row r="311" spans="1:31" s="25" customFormat="1" x14ac:dyDescent="0.45">
      <c r="A311" s="25">
        <f t="shared" si="181"/>
        <v>10010050</v>
      </c>
      <c r="B311" s="25">
        <v>0</v>
      </c>
      <c r="C311" s="25">
        <v>10</v>
      </c>
      <c r="D311" s="25">
        <f t="shared" si="199"/>
        <v>5</v>
      </c>
      <c r="E311" s="25" t="s">
        <v>555</v>
      </c>
      <c r="F311" s="25" t="s">
        <v>563</v>
      </c>
      <c r="G311" s="25" t="s">
        <v>557</v>
      </c>
      <c r="H311" s="25">
        <v>6000</v>
      </c>
      <c r="I311" s="25" t="s">
        <v>80</v>
      </c>
      <c r="J311" s="25" t="str">
        <f t="shared" si="182"/>
        <v>累计训练任意士兵6000名</v>
      </c>
      <c r="K311" s="25">
        <f t="shared" si="183"/>
        <v>10010050</v>
      </c>
      <c r="L311" s="25" t="s">
        <v>515</v>
      </c>
      <c r="M311" s="25">
        <f t="shared" si="198"/>
        <v>10601030</v>
      </c>
      <c r="N311" s="25" t="s">
        <v>254</v>
      </c>
      <c r="O311" s="25" t="s">
        <v>52</v>
      </c>
      <c r="P311" s="4" t="s">
        <v>491</v>
      </c>
      <c r="Q311" s="25" t="s">
        <v>52</v>
      </c>
      <c r="R311" s="60" t="s">
        <v>3216</v>
      </c>
      <c r="S311" s="52" t="str">
        <f t="shared" si="184"/>
        <v xml:space="preserve"> soldierTrain{soldierLevel:1,value:6000}</v>
      </c>
      <c r="T311" s="52" t="s">
        <v>52</v>
      </c>
      <c r="U311" s="52" t="s">
        <v>558</v>
      </c>
      <c r="V311" s="52" t="s">
        <v>559</v>
      </c>
      <c r="W311" s="25">
        <f>VLOOKUP(V311,[1]界面跳转!$I:$J,2,FALSE)</f>
        <v>7328</v>
      </c>
      <c r="Y311" s="25" t="s">
        <v>56</v>
      </c>
      <c r="Z311" s="25" t="s">
        <v>57</v>
      </c>
      <c r="AA311" s="25">
        <f t="shared" si="185"/>
        <v>21005</v>
      </c>
      <c r="AB311" s="25">
        <v>6622305</v>
      </c>
      <c r="AD311" s="25">
        <v>21</v>
      </c>
      <c r="AE311" s="25">
        <f t="shared" si="200"/>
        <v>5</v>
      </c>
    </row>
    <row r="312" spans="1:31" s="25" customFormat="1" x14ac:dyDescent="0.45">
      <c r="A312" s="25">
        <f t="shared" si="181"/>
        <v>10010060</v>
      </c>
      <c r="B312" s="25">
        <v>0</v>
      </c>
      <c r="C312" s="25">
        <v>10</v>
      </c>
      <c r="D312" s="25">
        <f t="shared" si="199"/>
        <v>6</v>
      </c>
      <c r="E312" s="25" t="s">
        <v>555</v>
      </c>
      <c r="F312" s="25" t="s">
        <v>564</v>
      </c>
      <c r="G312" s="25" t="s">
        <v>557</v>
      </c>
      <c r="H312" s="25">
        <v>8000</v>
      </c>
      <c r="I312" s="25" t="s">
        <v>80</v>
      </c>
      <c r="J312" s="25" t="str">
        <f t="shared" si="182"/>
        <v>累计训练任意士兵8000名</v>
      </c>
      <c r="K312" s="25">
        <f t="shared" si="183"/>
        <v>10010060</v>
      </c>
      <c r="L312" s="25" t="s">
        <v>515</v>
      </c>
      <c r="M312" s="25">
        <f t="shared" si="198"/>
        <v>10601030</v>
      </c>
      <c r="N312" s="25" t="s">
        <v>254</v>
      </c>
      <c r="O312" s="25" t="s">
        <v>52</v>
      </c>
      <c r="P312" s="4" t="s">
        <v>491</v>
      </c>
      <c r="Q312" s="25" t="s">
        <v>52</v>
      </c>
      <c r="R312" s="60" t="s">
        <v>3216</v>
      </c>
      <c r="S312" s="52" t="str">
        <f t="shared" si="184"/>
        <v xml:space="preserve"> soldierTrain{soldierLevel:1,value:8000}</v>
      </c>
      <c r="T312" s="52" t="s">
        <v>52</v>
      </c>
      <c r="U312" s="52" t="s">
        <v>558</v>
      </c>
      <c r="V312" s="52" t="s">
        <v>559</v>
      </c>
      <c r="W312" s="25">
        <f>VLOOKUP(V312,[1]界面跳转!$I:$J,2,FALSE)</f>
        <v>7328</v>
      </c>
      <c r="Y312" s="25" t="s">
        <v>56</v>
      </c>
      <c r="Z312" s="25" t="s">
        <v>57</v>
      </c>
      <c r="AA312" s="25">
        <f t="shared" si="185"/>
        <v>21006</v>
      </c>
      <c r="AB312" s="25">
        <v>6622306</v>
      </c>
      <c r="AD312" s="25">
        <v>21</v>
      </c>
      <c r="AE312" s="25">
        <f t="shared" si="200"/>
        <v>6</v>
      </c>
    </row>
    <row r="313" spans="1:31" s="25" customFormat="1" x14ac:dyDescent="0.45">
      <c r="A313" s="25">
        <f t="shared" si="181"/>
        <v>10010070</v>
      </c>
      <c r="B313" s="25">
        <v>0</v>
      </c>
      <c r="C313" s="25">
        <v>10</v>
      </c>
      <c r="D313" s="25">
        <f t="shared" si="199"/>
        <v>7</v>
      </c>
      <c r="E313" s="25" t="s">
        <v>555</v>
      </c>
      <c r="F313" s="25" t="s">
        <v>565</v>
      </c>
      <c r="G313" s="25" t="s">
        <v>557</v>
      </c>
      <c r="H313" s="25">
        <v>10000</v>
      </c>
      <c r="I313" s="25" t="s">
        <v>80</v>
      </c>
      <c r="J313" s="25" t="str">
        <f t="shared" si="182"/>
        <v>累计训练任意士兵10000名</v>
      </c>
      <c r="K313" s="25">
        <f t="shared" si="183"/>
        <v>10010070</v>
      </c>
      <c r="L313" s="25" t="s">
        <v>515</v>
      </c>
      <c r="M313" s="25">
        <f t="shared" si="198"/>
        <v>10601030</v>
      </c>
      <c r="N313" s="25" t="s">
        <v>254</v>
      </c>
      <c r="O313" s="25" t="s">
        <v>52</v>
      </c>
      <c r="P313" s="4" t="s">
        <v>491</v>
      </c>
      <c r="Q313" s="25" t="s">
        <v>52</v>
      </c>
      <c r="R313" s="60" t="s">
        <v>3216</v>
      </c>
      <c r="S313" s="52" t="str">
        <f t="shared" si="184"/>
        <v xml:space="preserve"> soldierTrain{soldierLevel:1,value:10000}</v>
      </c>
      <c r="T313" s="52" t="s">
        <v>52</v>
      </c>
      <c r="U313" s="52" t="s">
        <v>558</v>
      </c>
      <c r="V313" s="52" t="s">
        <v>559</v>
      </c>
      <c r="W313" s="25">
        <f>VLOOKUP(V313,[1]界面跳转!$I:$J,2,FALSE)</f>
        <v>7328</v>
      </c>
      <c r="Y313" s="25" t="s">
        <v>56</v>
      </c>
      <c r="Z313" s="25" t="s">
        <v>57</v>
      </c>
      <c r="AA313" s="25">
        <f t="shared" si="185"/>
        <v>21007</v>
      </c>
      <c r="AB313" s="25">
        <v>6622307</v>
      </c>
      <c r="AD313" s="25">
        <v>21</v>
      </c>
      <c r="AE313" s="25">
        <f t="shared" si="200"/>
        <v>7</v>
      </c>
    </row>
    <row r="314" spans="1:31" s="25" customFormat="1" x14ac:dyDescent="0.45">
      <c r="A314" s="25">
        <f t="shared" si="181"/>
        <v>10010080</v>
      </c>
      <c r="B314" s="25">
        <v>0</v>
      </c>
      <c r="C314" s="25">
        <v>10</v>
      </c>
      <c r="D314" s="25">
        <f t="shared" si="199"/>
        <v>8</v>
      </c>
      <c r="E314" s="25" t="s">
        <v>555</v>
      </c>
      <c r="F314" s="25" t="s">
        <v>566</v>
      </c>
      <c r="G314" s="25" t="s">
        <v>557</v>
      </c>
      <c r="H314" s="25">
        <v>20000</v>
      </c>
      <c r="I314" s="25" t="s">
        <v>80</v>
      </c>
      <c r="J314" s="25" t="str">
        <f t="shared" si="182"/>
        <v>累计训练任意士兵20000名</v>
      </c>
      <c r="K314" s="25">
        <f t="shared" si="183"/>
        <v>10010080</v>
      </c>
      <c r="L314" s="25" t="s">
        <v>515</v>
      </c>
      <c r="M314" s="25">
        <f t="shared" si="198"/>
        <v>10601030</v>
      </c>
      <c r="N314" s="25" t="s">
        <v>254</v>
      </c>
      <c r="O314" s="25" t="s">
        <v>52</v>
      </c>
      <c r="P314" s="4" t="s">
        <v>491</v>
      </c>
      <c r="Q314" s="25" t="s">
        <v>52</v>
      </c>
      <c r="R314" s="60" t="s">
        <v>3216</v>
      </c>
      <c r="S314" s="52" t="str">
        <f t="shared" si="184"/>
        <v xml:space="preserve"> soldierTrain{soldierLevel:1,value:20000}</v>
      </c>
      <c r="T314" s="52" t="s">
        <v>52</v>
      </c>
      <c r="U314" s="52" t="s">
        <v>558</v>
      </c>
      <c r="V314" s="52" t="s">
        <v>559</v>
      </c>
      <c r="W314" s="25">
        <f>VLOOKUP(V314,[1]界面跳转!$I:$J,2,FALSE)</f>
        <v>7328</v>
      </c>
      <c r="Y314" s="25" t="s">
        <v>56</v>
      </c>
      <c r="Z314" s="25" t="s">
        <v>57</v>
      </c>
      <c r="AA314" s="25">
        <f t="shared" si="185"/>
        <v>21008</v>
      </c>
      <c r="AB314" s="25">
        <v>6622308</v>
      </c>
      <c r="AD314" s="25">
        <v>21</v>
      </c>
      <c r="AE314" s="25">
        <f t="shared" si="200"/>
        <v>8</v>
      </c>
    </row>
    <row r="315" spans="1:31" s="25" customFormat="1" x14ac:dyDescent="0.45">
      <c r="A315" s="25">
        <f t="shared" si="181"/>
        <v>10010090</v>
      </c>
      <c r="B315" s="25">
        <v>0</v>
      </c>
      <c r="C315" s="25">
        <v>10</v>
      </c>
      <c r="D315" s="25">
        <f t="shared" si="199"/>
        <v>9</v>
      </c>
      <c r="E315" s="25" t="s">
        <v>555</v>
      </c>
      <c r="F315" s="25" t="s">
        <v>567</v>
      </c>
      <c r="G315" s="25" t="s">
        <v>557</v>
      </c>
      <c r="H315" s="25">
        <v>30000</v>
      </c>
      <c r="I315" s="25" t="s">
        <v>80</v>
      </c>
      <c r="J315" s="25" t="str">
        <f t="shared" si="182"/>
        <v>累计训练任意士兵30000名</v>
      </c>
      <c r="K315" s="25">
        <f t="shared" si="183"/>
        <v>10010090</v>
      </c>
      <c r="L315" s="25" t="s">
        <v>515</v>
      </c>
      <c r="M315" s="25">
        <f t="shared" si="198"/>
        <v>10601030</v>
      </c>
      <c r="N315" s="25" t="s">
        <v>254</v>
      </c>
      <c r="O315" s="25" t="s">
        <v>52</v>
      </c>
      <c r="P315" s="4" t="s">
        <v>491</v>
      </c>
      <c r="Q315" s="25" t="s">
        <v>52</v>
      </c>
      <c r="R315" s="60" t="s">
        <v>3216</v>
      </c>
      <c r="S315" s="52" t="str">
        <f t="shared" si="184"/>
        <v xml:space="preserve"> soldierTrain{soldierLevel:1,value:30000}</v>
      </c>
      <c r="T315" s="52" t="s">
        <v>52</v>
      </c>
      <c r="U315" s="52" t="s">
        <v>558</v>
      </c>
      <c r="V315" s="52" t="s">
        <v>559</v>
      </c>
      <c r="W315" s="25">
        <f>VLOOKUP(V315,[1]界面跳转!$I:$J,2,FALSE)</f>
        <v>7328</v>
      </c>
      <c r="Y315" s="25" t="s">
        <v>56</v>
      </c>
      <c r="Z315" s="25" t="s">
        <v>57</v>
      </c>
      <c r="AA315" s="25">
        <f t="shared" si="185"/>
        <v>21009</v>
      </c>
      <c r="AB315" s="25">
        <v>6622309</v>
      </c>
      <c r="AD315" s="25">
        <v>21</v>
      </c>
      <c r="AE315" s="25">
        <f t="shared" si="200"/>
        <v>9</v>
      </c>
    </row>
    <row r="316" spans="1:31" s="25" customFormat="1" x14ac:dyDescent="0.45">
      <c r="A316" s="25">
        <f t="shared" si="181"/>
        <v>10010100</v>
      </c>
      <c r="B316" s="25">
        <v>0</v>
      </c>
      <c r="C316" s="25">
        <v>10</v>
      </c>
      <c r="D316" s="25">
        <f t="shared" si="199"/>
        <v>10</v>
      </c>
      <c r="E316" s="25" t="s">
        <v>555</v>
      </c>
      <c r="F316" s="25" t="s">
        <v>568</v>
      </c>
      <c r="G316" s="25" t="s">
        <v>557</v>
      </c>
      <c r="H316" s="25">
        <v>40000</v>
      </c>
      <c r="I316" s="25" t="s">
        <v>80</v>
      </c>
      <c r="J316" s="25" t="str">
        <f t="shared" si="182"/>
        <v>累计训练任意士兵40000名</v>
      </c>
      <c r="K316" s="25">
        <f t="shared" si="183"/>
        <v>10010100</v>
      </c>
      <c r="L316" s="25" t="s">
        <v>515</v>
      </c>
      <c r="M316" s="25">
        <f t="shared" si="198"/>
        <v>10601030</v>
      </c>
      <c r="N316" s="25" t="s">
        <v>254</v>
      </c>
      <c r="O316" s="25" t="s">
        <v>52</v>
      </c>
      <c r="P316" s="4" t="s">
        <v>491</v>
      </c>
      <c r="Q316" s="25" t="s">
        <v>52</v>
      </c>
      <c r="R316" s="60" t="s">
        <v>3216</v>
      </c>
      <c r="S316" s="52" t="str">
        <f t="shared" si="184"/>
        <v xml:space="preserve"> soldierTrain{soldierLevel:1,value:40000}</v>
      </c>
      <c r="T316" s="52" t="s">
        <v>52</v>
      </c>
      <c r="U316" s="52" t="s">
        <v>558</v>
      </c>
      <c r="V316" s="52" t="s">
        <v>559</v>
      </c>
      <c r="W316" s="25">
        <f>VLOOKUP(V316,[1]界面跳转!$I:$J,2,FALSE)</f>
        <v>7328</v>
      </c>
      <c r="Y316" s="25" t="s">
        <v>56</v>
      </c>
      <c r="Z316" s="25" t="s">
        <v>57</v>
      </c>
      <c r="AA316" s="25">
        <f t="shared" si="185"/>
        <v>21010</v>
      </c>
      <c r="AB316" s="25">
        <v>6622310</v>
      </c>
      <c r="AD316" s="25">
        <v>21</v>
      </c>
      <c r="AE316" s="25">
        <f t="shared" si="200"/>
        <v>10</v>
      </c>
    </row>
    <row r="317" spans="1:31" s="25" customFormat="1" x14ac:dyDescent="0.45">
      <c r="A317" s="25">
        <f t="shared" si="181"/>
        <v>10010110</v>
      </c>
      <c r="B317" s="25">
        <v>0</v>
      </c>
      <c r="C317" s="25">
        <v>10</v>
      </c>
      <c r="D317" s="25">
        <f t="shared" si="199"/>
        <v>11</v>
      </c>
      <c r="E317" s="25" t="s">
        <v>555</v>
      </c>
      <c r="F317" s="25" t="s">
        <v>569</v>
      </c>
      <c r="G317" s="25" t="s">
        <v>557</v>
      </c>
      <c r="H317" s="25">
        <v>50000</v>
      </c>
      <c r="I317" s="25" t="s">
        <v>80</v>
      </c>
      <c r="J317" s="25" t="str">
        <f t="shared" si="182"/>
        <v>累计训练任意士兵50000名</v>
      </c>
      <c r="K317" s="25">
        <f t="shared" si="183"/>
        <v>10010110</v>
      </c>
      <c r="L317" s="25" t="s">
        <v>515</v>
      </c>
      <c r="M317" s="25">
        <f t="shared" si="198"/>
        <v>10601030</v>
      </c>
      <c r="N317" s="25" t="s">
        <v>254</v>
      </c>
      <c r="O317" s="25" t="s">
        <v>52</v>
      </c>
      <c r="P317" s="4" t="s">
        <v>491</v>
      </c>
      <c r="Q317" s="25" t="s">
        <v>52</v>
      </c>
      <c r="R317" s="60" t="s">
        <v>3216</v>
      </c>
      <c r="S317" s="52" t="str">
        <f t="shared" si="184"/>
        <v xml:space="preserve"> soldierTrain{soldierLevel:1,value:50000}</v>
      </c>
      <c r="T317" s="52" t="s">
        <v>52</v>
      </c>
      <c r="U317" s="52" t="s">
        <v>558</v>
      </c>
      <c r="V317" s="52" t="s">
        <v>559</v>
      </c>
      <c r="W317" s="25">
        <f>VLOOKUP(V317,[1]界面跳转!$I:$J,2,FALSE)</f>
        <v>7328</v>
      </c>
      <c r="Y317" s="25" t="s">
        <v>56</v>
      </c>
      <c r="Z317" s="25" t="s">
        <v>57</v>
      </c>
      <c r="AA317" s="25">
        <f t="shared" si="185"/>
        <v>21011</v>
      </c>
      <c r="AB317" s="25">
        <v>6622311</v>
      </c>
      <c r="AD317" s="25">
        <v>21</v>
      </c>
      <c r="AE317" s="25">
        <f t="shared" si="200"/>
        <v>11</v>
      </c>
    </row>
    <row r="318" spans="1:31" s="25" customFormat="1" x14ac:dyDescent="0.45">
      <c r="A318" s="25">
        <f t="shared" si="181"/>
        <v>10010120</v>
      </c>
      <c r="B318" s="25">
        <v>0</v>
      </c>
      <c r="C318" s="25">
        <v>10</v>
      </c>
      <c r="D318" s="25">
        <f t="shared" si="199"/>
        <v>12</v>
      </c>
      <c r="E318" s="25" t="s">
        <v>555</v>
      </c>
      <c r="F318" s="25" t="s">
        <v>570</v>
      </c>
      <c r="G318" s="25" t="s">
        <v>557</v>
      </c>
      <c r="H318" s="25">
        <v>60000</v>
      </c>
      <c r="I318" s="25" t="s">
        <v>80</v>
      </c>
      <c r="J318" s="25" t="str">
        <f t="shared" si="182"/>
        <v>累计训练任意士兵60000名</v>
      </c>
      <c r="K318" s="25">
        <f t="shared" si="183"/>
        <v>10010120</v>
      </c>
      <c r="L318" s="25" t="s">
        <v>515</v>
      </c>
      <c r="M318" s="25">
        <f t="shared" si="198"/>
        <v>10601030</v>
      </c>
      <c r="N318" s="25" t="s">
        <v>254</v>
      </c>
      <c r="O318" s="25" t="s">
        <v>52</v>
      </c>
      <c r="P318" s="4" t="s">
        <v>491</v>
      </c>
      <c r="Q318" s="25" t="s">
        <v>52</v>
      </c>
      <c r="R318" s="60" t="s">
        <v>3216</v>
      </c>
      <c r="S318" s="52" t="str">
        <f t="shared" si="184"/>
        <v xml:space="preserve"> soldierTrain{soldierLevel:1,value:60000}</v>
      </c>
      <c r="T318" s="52" t="s">
        <v>52</v>
      </c>
      <c r="U318" s="52" t="s">
        <v>558</v>
      </c>
      <c r="V318" s="52" t="s">
        <v>559</v>
      </c>
      <c r="W318" s="25">
        <f>VLOOKUP(V318,[1]界面跳转!$I:$J,2,FALSE)</f>
        <v>7328</v>
      </c>
      <c r="Y318" s="25" t="s">
        <v>56</v>
      </c>
      <c r="Z318" s="25" t="s">
        <v>57</v>
      </c>
      <c r="AA318" s="25">
        <f t="shared" si="185"/>
        <v>21012</v>
      </c>
      <c r="AB318" s="25">
        <v>6622312</v>
      </c>
      <c r="AD318" s="25">
        <v>21</v>
      </c>
      <c r="AE318" s="25">
        <f t="shared" si="200"/>
        <v>12</v>
      </c>
    </row>
    <row r="319" spans="1:31" s="25" customFormat="1" x14ac:dyDescent="0.45">
      <c r="A319" s="25">
        <f t="shared" si="181"/>
        <v>10010130</v>
      </c>
      <c r="B319" s="25">
        <v>0</v>
      </c>
      <c r="C319" s="25">
        <v>10</v>
      </c>
      <c r="D319" s="25">
        <f t="shared" si="199"/>
        <v>13</v>
      </c>
      <c r="E319" s="25" t="s">
        <v>555</v>
      </c>
      <c r="F319" s="25" t="s">
        <v>571</v>
      </c>
      <c r="G319" s="25" t="s">
        <v>557</v>
      </c>
      <c r="H319" s="25">
        <v>80000</v>
      </c>
      <c r="I319" s="25" t="s">
        <v>80</v>
      </c>
      <c r="J319" s="25" t="str">
        <f t="shared" si="182"/>
        <v>累计训练任意士兵80000名</v>
      </c>
      <c r="K319" s="25">
        <f t="shared" si="183"/>
        <v>10010130</v>
      </c>
      <c r="L319" s="25" t="s">
        <v>515</v>
      </c>
      <c r="M319" s="25">
        <f t="shared" si="198"/>
        <v>10601030</v>
      </c>
      <c r="N319" s="25" t="s">
        <v>254</v>
      </c>
      <c r="O319" s="25" t="s">
        <v>52</v>
      </c>
      <c r="P319" s="4" t="s">
        <v>491</v>
      </c>
      <c r="Q319" s="25" t="s">
        <v>52</v>
      </c>
      <c r="R319" s="60" t="s">
        <v>3216</v>
      </c>
      <c r="S319" s="52" t="str">
        <f t="shared" si="184"/>
        <v xml:space="preserve"> soldierTrain{soldierLevel:1,value:80000}</v>
      </c>
      <c r="T319" s="52" t="s">
        <v>52</v>
      </c>
      <c r="U319" s="52" t="s">
        <v>558</v>
      </c>
      <c r="V319" s="52" t="s">
        <v>559</v>
      </c>
      <c r="W319" s="25">
        <f>VLOOKUP(V319,[1]界面跳转!$I:$J,2,FALSE)</f>
        <v>7328</v>
      </c>
      <c r="Y319" s="25" t="s">
        <v>56</v>
      </c>
      <c r="Z319" s="25" t="s">
        <v>57</v>
      </c>
      <c r="AA319" s="25">
        <f t="shared" si="185"/>
        <v>21013</v>
      </c>
      <c r="AB319" s="25">
        <v>6622313</v>
      </c>
      <c r="AD319" s="25">
        <v>21</v>
      </c>
      <c r="AE319" s="25">
        <f t="shared" si="200"/>
        <v>13</v>
      </c>
    </row>
    <row r="320" spans="1:31" s="25" customFormat="1" x14ac:dyDescent="0.45">
      <c r="A320" s="25">
        <f t="shared" si="181"/>
        <v>10010140</v>
      </c>
      <c r="B320" s="25">
        <v>0</v>
      </c>
      <c r="C320" s="25">
        <v>10</v>
      </c>
      <c r="D320" s="25">
        <f t="shared" si="199"/>
        <v>14</v>
      </c>
      <c r="E320" s="25" t="s">
        <v>555</v>
      </c>
      <c r="F320" s="25" t="s">
        <v>572</v>
      </c>
      <c r="G320" s="25" t="s">
        <v>557</v>
      </c>
      <c r="H320" s="25">
        <v>100000</v>
      </c>
      <c r="I320" s="25" t="s">
        <v>80</v>
      </c>
      <c r="J320" s="25" t="str">
        <f t="shared" si="182"/>
        <v>累计训练任意士兵100000名</v>
      </c>
      <c r="K320" s="25">
        <f t="shared" si="183"/>
        <v>10010140</v>
      </c>
      <c r="L320" s="25" t="s">
        <v>515</v>
      </c>
      <c r="M320" s="25">
        <f t="shared" si="198"/>
        <v>10601030</v>
      </c>
      <c r="N320" s="25" t="s">
        <v>254</v>
      </c>
      <c r="O320" s="25" t="s">
        <v>52</v>
      </c>
      <c r="P320" s="4" t="s">
        <v>491</v>
      </c>
      <c r="Q320" s="25" t="s">
        <v>52</v>
      </c>
      <c r="R320" s="60" t="s">
        <v>3216</v>
      </c>
      <c r="S320" s="52" t="str">
        <f t="shared" si="184"/>
        <v xml:space="preserve"> soldierTrain{soldierLevel:1,value:100000}</v>
      </c>
      <c r="T320" s="52" t="s">
        <v>52</v>
      </c>
      <c r="U320" s="52" t="s">
        <v>558</v>
      </c>
      <c r="V320" s="52" t="s">
        <v>559</v>
      </c>
      <c r="W320" s="25">
        <f>VLOOKUP(V320,[1]界面跳转!$I:$J,2,FALSE)</f>
        <v>7328</v>
      </c>
      <c r="Y320" s="25" t="s">
        <v>56</v>
      </c>
      <c r="Z320" s="25" t="s">
        <v>57</v>
      </c>
      <c r="AA320" s="25">
        <f t="shared" si="185"/>
        <v>21014</v>
      </c>
      <c r="AB320" s="25">
        <v>6622314</v>
      </c>
      <c r="AD320" s="25">
        <v>21</v>
      </c>
      <c r="AE320" s="25">
        <f t="shared" si="200"/>
        <v>14</v>
      </c>
    </row>
    <row r="321" spans="1:32" s="25" customFormat="1" x14ac:dyDescent="0.45">
      <c r="A321" s="25">
        <f t="shared" si="181"/>
        <v>10010150</v>
      </c>
      <c r="B321" s="25">
        <v>0</v>
      </c>
      <c r="C321" s="25">
        <v>10</v>
      </c>
      <c r="D321" s="25">
        <f t="shared" si="199"/>
        <v>15</v>
      </c>
      <c r="E321" s="25" t="s">
        <v>555</v>
      </c>
      <c r="F321" s="25" t="s">
        <v>573</v>
      </c>
      <c r="G321" s="25" t="s">
        <v>557</v>
      </c>
      <c r="H321" s="25">
        <v>200000</v>
      </c>
      <c r="I321" s="25" t="s">
        <v>80</v>
      </c>
      <c r="J321" s="25" t="str">
        <f t="shared" si="182"/>
        <v>累计训练任意士兵200000名</v>
      </c>
      <c r="K321" s="25">
        <f t="shared" si="183"/>
        <v>10010150</v>
      </c>
      <c r="L321" s="25" t="s">
        <v>515</v>
      </c>
      <c r="M321" s="25">
        <f t="shared" si="198"/>
        <v>10601030</v>
      </c>
      <c r="N321" s="25" t="s">
        <v>254</v>
      </c>
      <c r="O321" s="25" t="s">
        <v>52</v>
      </c>
      <c r="P321" s="4" t="s">
        <v>491</v>
      </c>
      <c r="Q321" s="25" t="s">
        <v>52</v>
      </c>
      <c r="R321" s="60" t="s">
        <v>3216</v>
      </c>
      <c r="S321" s="52" t="str">
        <f t="shared" si="184"/>
        <v xml:space="preserve"> soldierTrain{soldierLevel:1,value:200000}</v>
      </c>
      <c r="T321" s="52" t="s">
        <v>52</v>
      </c>
      <c r="U321" s="52" t="s">
        <v>558</v>
      </c>
      <c r="V321" s="52" t="s">
        <v>559</v>
      </c>
      <c r="W321" s="25">
        <f>VLOOKUP(V321,[1]界面跳转!$I:$J,2,FALSE)</f>
        <v>7328</v>
      </c>
      <c r="Y321" s="25" t="s">
        <v>56</v>
      </c>
      <c r="Z321" s="25" t="s">
        <v>57</v>
      </c>
      <c r="AA321" s="25">
        <f t="shared" si="185"/>
        <v>21015</v>
      </c>
      <c r="AB321" s="25">
        <v>6622315</v>
      </c>
      <c r="AD321" s="25">
        <v>21</v>
      </c>
      <c r="AE321" s="25">
        <f t="shared" si="200"/>
        <v>15</v>
      </c>
    </row>
    <row r="322" spans="1:32" s="25" customFormat="1" x14ac:dyDescent="0.45">
      <c r="A322" s="25">
        <f t="shared" si="181"/>
        <v>10010160</v>
      </c>
      <c r="B322" s="25">
        <v>0</v>
      </c>
      <c r="C322" s="25">
        <v>10</v>
      </c>
      <c r="D322" s="25">
        <f t="shared" si="199"/>
        <v>16</v>
      </c>
      <c r="E322" s="25" t="s">
        <v>555</v>
      </c>
      <c r="F322" s="25" t="s">
        <v>574</v>
      </c>
      <c r="G322" s="25" t="s">
        <v>557</v>
      </c>
      <c r="H322" s="25">
        <v>300000</v>
      </c>
      <c r="I322" s="25" t="s">
        <v>80</v>
      </c>
      <c r="J322" s="25" t="str">
        <f t="shared" si="182"/>
        <v>累计训练任意士兵300000名</v>
      </c>
      <c r="K322" s="25">
        <f t="shared" si="183"/>
        <v>10010160</v>
      </c>
      <c r="L322" s="25" t="s">
        <v>515</v>
      </c>
      <c r="M322" s="25">
        <f t="shared" si="198"/>
        <v>10601030</v>
      </c>
      <c r="N322" s="25" t="s">
        <v>254</v>
      </c>
      <c r="O322" s="25" t="s">
        <v>52</v>
      </c>
      <c r="P322" s="4" t="s">
        <v>491</v>
      </c>
      <c r="Q322" s="25" t="s">
        <v>52</v>
      </c>
      <c r="R322" s="60" t="s">
        <v>3216</v>
      </c>
      <c r="S322" s="52" t="str">
        <f t="shared" si="184"/>
        <v xml:space="preserve"> soldierTrain{soldierLevel:1,value:300000}</v>
      </c>
      <c r="T322" s="52" t="s">
        <v>52</v>
      </c>
      <c r="U322" s="52" t="s">
        <v>558</v>
      </c>
      <c r="V322" s="52" t="s">
        <v>559</v>
      </c>
      <c r="W322" s="25">
        <f>VLOOKUP(V322,[1]界面跳转!$I:$J,2,FALSE)</f>
        <v>7328</v>
      </c>
      <c r="Y322" s="25" t="s">
        <v>56</v>
      </c>
      <c r="Z322" s="25" t="s">
        <v>57</v>
      </c>
      <c r="AA322" s="25">
        <f t="shared" si="185"/>
        <v>21016</v>
      </c>
      <c r="AB322" s="25">
        <v>6622316</v>
      </c>
      <c r="AD322" s="25">
        <v>21</v>
      </c>
      <c r="AE322" s="25">
        <f t="shared" si="200"/>
        <v>16</v>
      </c>
    </row>
    <row r="323" spans="1:32" s="25" customFormat="1" x14ac:dyDescent="0.45">
      <c r="A323" s="25">
        <f t="shared" si="181"/>
        <v>10010170</v>
      </c>
      <c r="B323" s="25">
        <v>0</v>
      </c>
      <c r="C323" s="25">
        <v>10</v>
      </c>
      <c r="D323" s="25">
        <f t="shared" si="199"/>
        <v>17</v>
      </c>
      <c r="E323" s="25" t="s">
        <v>555</v>
      </c>
      <c r="F323" s="25" t="s">
        <v>575</v>
      </c>
      <c r="G323" s="25" t="s">
        <v>557</v>
      </c>
      <c r="H323" s="25">
        <v>400000</v>
      </c>
      <c r="I323" s="25" t="s">
        <v>80</v>
      </c>
      <c r="J323" s="25" t="str">
        <f t="shared" si="182"/>
        <v>累计训练任意士兵400000名</v>
      </c>
      <c r="K323" s="25">
        <f t="shared" si="183"/>
        <v>10010170</v>
      </c>
      <c r="L323" s="25" t="s">
        <v>515</v>
      </c>
      <c r="M323" s="25">
        <f t="shared" si="198"/>
        <v>10601030</v>
      </c>
      <c r="N323" s="25" t="s">
        <v>254</v>
      </c>
      <c r="O323" s="25" t="s">
        <v>52</v>
      </c>
      <c r="P323" s="4" t="s">
        <v>491</v>
      </c>
      <c r="Q323" s="25" t="s">
        <v>52</v>
      </c>
      <c r="R323" s="60" t="s">
        <v>3216</v>
      </c>
      <c r="S323" s="52" t="str">
        <f t="shared" si="184"/>
        <v xml:space="preserve"> soldierTrain{soldierLevel:1,value:400000}</v>
      </c>
      <c r="T323" s="52" t="s">
        <v>52</v>
      </c>
      <c r="U323" s="52" t="s">
        <v>558</v>
      </c>
      <c r="V323" s="52" t="s">
        <v>559</v>
      </c>
      <c r="W323" s="25">
        <f>VLOOKUP(V323,[1]界面跳转!$I:$J,2,FALSE)</f>
        <v>7328</v>
      </c>
      <c r="Y323" s="25" t="s">
        <v>56</v>
      </c>
      <c r="Z323" s="25" t="s">
        <v>57</v>
      </c>
      <c r="AA323" s="25">
        <f t="shared" si="185"/>
        <v>21017</v>
      </c>
      <c r="AB323" s="25">
        <v>6622317</v>
      </c>
      <c r="AD323" s="25">
        <v>21</v>
      </c>
      <c r="AE323" s="25">
        <f t="shared" si="200"/>
        <v>17</v>
      </c>
    </row>
    <row r="324" spans="1:32" s="25" customFormat="1" x14ac:dyDescent="0.45">
      <c r="A324" s="25">
        <f t="shared" si="181"/>
        <v>10010180</v>
      </c>
      <c r="B324" s="25">
        <v>0</v>
      </c>
      <c r="C324" s="25">
        <v>10</v>
      </c>
      <c r="D324" s="25">
        <f t="shared" si="199"/>
        <v>18</v>
      </c>
      <c r="E324" s="25" t="s">
        <v>555</v>
      </c>
      <c r="F324" s="25" t="s">
        <v>576</v>
      </c>
      <c r="G324" s="25" t="s">
        <v>557</v>
      </c>
      <c r="H324" s="25">
        <v>500000</v>
      </c>
      <c r="I324" s="25" t="s">
        <v>80</v>
      </c>
      <c r="J324" s="25" t="str">
        <f t="shared" si="182"/>
        <v>累计训练任意士兵500000名</v>
      </c>
      <c r="K324" s="25">
        <f t="shared" si="183"/>
        <v>10010180</v>
      </c>
      <c r="L324" s="25" t="s">
        <v>515</v>
      </c>
      <c r="M324" s="25">
        <f t="shared" si="198"/>
        <v>10601030</v>
      </c>
      <c r="N324" s="25" t="s">
        <v>254</v>
      </c>
      <c r="O324" s="25" t="s">
        <v>52</v>
      </c>
      <c r="P324" s="4" t="s">
        <v>491</v>
      </c>
      <c r="Q324" s="25" t="s">
        <v>52</v>
      </c>
      <c r="R324" s="60" t="s">
        <v>3216</v>
      </c>
      <c r="S324" s="52" t="str">
        <f t="shared" si="184"/>
        <v xml:space="preserve"> soldierTrain{soldierLevel:1,value:500000}</v>
      </c>
      <c r="T324" s="52" t="s">
        <v>52</v>
      </c>
      <c r="U324" s="52" t="s">
        <v>558</v>
      </c>
      <c r="V324" s="52" t="s">
        <v>559</v>
      </c>
      <c r="W324" s="25">
        <f>VLOOKUP(V324,[1]界面跳转!$I:$J,2,FALSE)</f>
        <v>7328</v>
      </c>
      <c r="Y324" s="25" t="s">
        <v>56</v>
      </c>
      <c r="Z324" s="25" t="s">
        <v>57</v>
      </c>
      <c r="AA324" s="25">
        <f t="shared" si="185"/>
        <v>21018</v>
      </c>
      <c r="AB324" s="25">
        <v>6622318</v>
      </c>
      <c r="AD324" s="25">
        <v>21</v>
      </c>
      <c r="AE324" s="25">
        <f t="shared" si="200"/>
        <v>18</v>
      </c>
    </row>
    <row r="325" spans="1:32" s="25" customFormat="1" x14ac:dyDescent="0.45">
      <c r="A325" s="25">
        <f t="shared" si="181"/>
        <v>10010190</v>
      </c>
      <c r="B325" s="25">
        <v>0</v>
      </c>
      <c r="C325" s="25">
        <v>10</v>
      </c>
      <c r="D325" s="25">
        <f t="shared" si="199"/>
        <v>19</v>
      </c>
      <c r="E325" s="25" t="s">
        <v>555</v>
      </c>
      <c r="F325" s="25" t="s">
        <v>577</v>
      </c>
      <c r="G325" s="25" t="s">
        <v>557</v>
      </c>
      <c r="H325" s="25">
        <v>600000</v>
      </c>
      <c r="I325" s="25" t="s">
        <v>80</v>
      </c>
      <c r="J325" s="25" t="str">
        <f t="shared" si="182"/>
        <v>累计训练任意士兵600000名</v>
      </c>
      <c r="K325" s="25">
        <f t="shared" si="183"/>
        <v>10010190</v>
      </c>
      <c r="L325" s="25" t="s">
        <v>515</v>
      </c>
      <c r="M325" s="25">
        <f t="shared" si="198"/>
        <v>10601030</v>
      </c>
      <c r="N325" s="25" t="s">
        <v>254</v>
      </c>
      <c r="O325" s="25" t="s">
        <v>52</v>
      </c>
      <c r="P325" s="4" t="s">
        <v>491</v>
      </c>
      <c r="Q325" s="25" t="s">
        <v>52</v>
      </c>
      <c r="R325" s="60" t="s">
        <v>3216</v>
      </c>
      <c r="S325" s="52" t="str">
        <f t="shared" si="184"/>
        <v xml:space="preserve"> soldierTrain{soldierLevel:1,value:600000}</v>
      </c>
      <c r="T325" s="52" t="s">
        <v>52</v>
      </c>
      <c r="U325" s="52" t="s">
        <v>558</v>
      </c>
      <c r="V325" s="52" t="s">
        <v>559</v>
      </c>
      <c r="W325" s="25">
        <f>VLOOKUP(V325,[1]界面跳转!$I:$J,2,FALSE)</f>
        <v>7328</v>
      </c>
      <c r="Y325" s="25" t="s">
        <v>56</v>
      </c>
      <c r="Z325" s="25" t="s">
        <v>57</v>
      </c>
      <c r="AA325" s="25">
        <f t="shared" si="185"/>
        <v>21019</v>
      </c>
      <c r="AB325" s="25">
        <v>6622319</v>
      </c>
      <c r="AD325" s="25">
        <v>21</v>
      </c>
      <c r="AE325" s="25">
        <f t="shared" si="200"/>
        <v>19</v>
      </c>
    </row>
    <row r="326" spans="1:32" s="25" customFormat="1" x14ac:dyDescent="0.45">
      <c r="A326" s="25">
        <f t="shared" si="181"/>
        <v>10010200</v>
      </c>
      <c r="B326" s="25">
        <v>0</v>
      </c>
      <c r="C326" s="25">
        <v>10</v>
      </c>
      <c r="D326" s="25">
        <f t="shared" si="199"/>
        <v>20</v>
      </c>
      <c r="E326" s="25" t="s">
        <v>555</v>
      </c>
      <c r="F326" s="25" t="s">
        <v>578</v>
      </c>
      <c r="G326" s="25" t="s">
        <v>557</v>
      </c>
      <c r="H326" s="25">
        <v>800000</v>
      </c>
      <c r="I326" s="25" t="s">
        <v>80</v>
      </c>
      <c r="J326" s="25" t="str">
        <f t="shared" si="182"/>
        <v>累计训练任意士兵800000名</v>
      </c>
      <c r="K326" s="25">
        <f t="shared" si="183"/>
        <v>10010200</v>
      </c>
      <c r="L326" s="25" t="s">
        <v>515</v>
      </c>
      <c r="M326" s="25">
        <f t="shared" si="198"/>
        <v>10601030</v>
      </c>
      <c r="N326" s="25" t="s">
        <v>254</v>
      </c>
      <c r="O326" s="25" t="s">
        <v>52</v>
      </c>
      <c r="P326" s="4" t="s">
        <v>491</v>
      </c>
      <c r="Q326" s="25" t="s">
        <v>52</v>
      </c>
      <c r="R326" s="60" t="s">
        <v>3216</v>
      </c>
      <c r="S326" s="52" t="str">
        <f t="shared" si="184"/>
        <v xml:space="preserve"> soldierTrain{soldierLevel:1,value:800000}</v>
      </c>
      <c r="T326" s="52" t="s">
        <v>52</v>
      </c>
      <c r="U326" s="52" t="s">
        <v>558</v>
      </c>
      <c r="V326" s="52" t="s">
        <v>559</v>
      </c>
      <c r="W326" s="25">
        <f>VLOOKUP(V326,[1]界面跳转!$I:$J,2,FALSE)</f>
        <v>7328</v>
      </c>
      <c r="Y326" s="25" t="s">
        <v>56</v>
      </c>
      <c r="Z326" s="25" t="s">
        <v>57</v>
      </c>
      <c r="AA326" s="25">
        <f t="shared" si="185"/>
        <v>21020</v>
      </c>
      <c r="AB326" s="25">
        <v>6622320</v>
      </c>
      <c r="AD326" s="25">
        <v>21</v>
      </c>
      <c r="AE326" s="25">
        <f t="shared" si="200"/>
        <v>20</v>
      </c>
    </row>
    <row r="327" spans="1:32" s="25" customFormat="1" x14ac:dyDescent="0.45">
      <c r="A327" s="25">
        <f t="shared" si="181"/>
        <v>10010210</v>
      </c>
      <c r="B327" s="25">
        <v>0</v>
      </c>
      <c r="C327" s="25">
        <v>10</v>
      </c>
      <c r="D327" s="25">
        <f t="shared" si="199"/>
        <v>21</v>
      </c>
      <c r="E327" s="25" t="s">
        <v>555</v>
      </c>
      <c r="F327" s="25" t="s">
        <v>579</v>
      </c>
      <c r="G327" s="25" t="s">
        <v>557</v>
      </c>
      <c r="H327" s="25">
        <v>1000000</v>
      </c>
      <c r="I327" s="25" t="s">
        <v>80</v>
      </c>
      <c r="J327" s="25" t="str">
        <f t="shared" si="182"/>
        <v>累计训练任意士兵1000000名</v>
      </c>
      <c r="K327" s="25">
        <f t="shared" si="183"/>
        <v>10010210</v>
      </c>
      <c r="L327" s="25" t="s">
        <v>515</v>
      </c>
      <c r="M327" s="25">
        <f t="shared" si="198"/>
        <v>10601030</v>
      </c>
      <c r="N327" s="25" t="s">
        <v>254</v>
      </c>
      <c r="O327" s="25" t="s">
        <v>52</v>
      </c>
      <c r="P327" s="4" t="s">
        <v>491</v>
      </c>
      <c r="Q327" s="25" t="s">
        <v>52</v>
      </c>
      <c r="R327" s="60" t="s">
        <v>3216</v>
      </c>
      <c r="S327" s="52" t="str">
        <f t="shared" si="184"/>
        <v xml:space="preserve"> soldierTrain{soldierLevel:1,value:1000000}</v>
      </c>
      <c r="T327" s="52" t="s">
        <v>52</v>
      </c>
      <c r="U327" s="52" t="s">
        <v>558</v>
      </c>
      <c r="V327" s="52" t="s">
        <v>559</v>
      </c>
      <c r="W327" s="25">
        <f>VLOOKUP(V327,[1]界面跳转!$I:$J,2,FALSE)</f>
        <v>7328</v>
      </c>
      <c r="Y327" s="25" t="s">
        <v>56</v>
      </c>
      <c r="Z327" s="25" t="s">
        <v>57</v>
      </c>
      <c r="AA327" s="25">
        <f t="shared" si="185"/>
        <v>21021</v>
      </c>
      <c r="AB327" s="25">
        <v>6622321</v>
      </c>
      <c r="AD327" s="25">
        <v>21</v>
      </c>
      <c r="AE327" s="25">
        <f t="shared" si="200"/>
        <v>21</v>
      </c>
    </row>
    <row r="328" spans="1:32" s="25" customFormat="1" x14ac:dyDescent="0.45">
      <c r="A328" s="25">
        <f t="shared" si="181"/>
        <v>10010220</v>
      </c>
      <c r="B328" s="25">
        <v>0</v>
      </c>
      <c r="C328" s="25">
        <v>10</v>
      </c>
      <c r="D328" s="25">
        <f t="shared" si="199"/>
        <v>22</v>
      </c>
      <c r="E328" s="25" t="s">
        <v>555</v>
      </c>
      <c r="F328" s="25" t="s">
        <v>580</v>
      </c>
      <c r="G328" s="25" t="s">
        <v>557</v>
      </c>
      <c r="H328" s="25">
        <v>2000000</v>
      </c>
      <c r="I328" s="25" t="s">
        <v>80</v>
      </c>
      <c r="J328" s="25" t="str">
        <f t="shared" si="182"/>
        <v>累计训练任意士兵2000000名</v>
      </c>
      <c r="K328" s="25">
        <f t="shared" si="183"/>
        <v>10010220</v>
      </c>
      <c r="L328" s="25" t="s">
        <v>515</v>
      </c>
      <c r="M328" s="25">
        <f t="shared" si="198"/>
        <v>10601030</v>
      </c>
      <c r="N328" s="25" t="s">
        <v>254</v>
      </c>
      <c r="O328" s="25" t="s">
        <v>52</v>
      </c>
      <c r="P328" s="4" t="s">
        <v>491</v>
      </c>
      <c r="Q328" s="25" t="s">
        <v>52</v>
      </c>
      <c r="R328" s="60" t="s">
        <v>3216</v>
      </c>
      <c r="S328" s="52" t="str">
        <f t="shared" si="184"/>
        <v xml:space="preserve"> soldierTrain{soldierLevel:1,value:2000000}</v>
      </c>
      <c r="T328" s="52" t="s">
        <v>52</v>
      </c>
      <c r="U328" s="52" t="s">
        <v>558</v>
      </c>
      <c r="V328" s="52" t="s">
        <v>559</v>
      </c>
      <c r="W328" s="25">
        <f>VLOOKUP(V328,[1]界面跳转!$I:$J,2,FALSE)</f>
        <v>7328</v>
      </c>
      <c r="Y328" s="25" t="s">
        <v>56</v>
      </c>
      <c r="Z328" s="25" t="s">
        <v>57</v>
      </c>
      <c r="AA328" s="25">
        <f t="shared" si="185"/>
        <v>21022</v>
      </c>
      <c r="AB328" s="25">
        <v>6622322</v>
      </c>
      <c r="AD328" s="25">
        <v>21</v>
      </c>
      <c r="AE328" s="25">
        <f t="shared" si="200"/>
        <v>22</v>
      </c>
    </row>
    <row r="329" spans="1:32" s="25" customFormat="1" x14ac:dyDescent="0.45">
      <c r="A329" s="25">
        <f t="shared" si="181"/>
        <v>10010230</v>
      </c>
      <c r="B329" s="25">
        <v>0</v>
      </c>
      <c r="C329" s="25">
        <v>10</v>
      </c>
      <c r="D329" s="25">
        <f t="shared" si="199"/>
        <v>23</v>
      </c>
      <c r="E329" s="25" t="s">
        <v>555</v>
      </c>
      <c r="F329" s="25" t="s">
        <v>581</v>
      </c>
      <c r="G329" s="25" t="s">
        <v>557</v>
      </c>
      <c r="H329" s="25">
        <v>3000000</v>
      </c>
      <c r="I329" s="25" t="s">
        <v>80</v>
      </c>
      <c r="J329" s="25" t="str">
        <f t="shared" si="182"/>
        <v>累计训练任意士兵3000000名</v>
      </c>
      <c r="K329" s="25">
        <f t="shared" si="183"/>
        <v>10010230</v>
      </c>
      <c r="L329" s="25" t="s">
        <v>515</v>
      </c>
      <c r="M329" s="25">
        <f t="shared" si="198"/>
        <v>10601030</v>
      </c>
      <c r="N329" s="25" t="s">
        <v>254</v>
      </c>
      <c r="O329" s="25" t="s">
        <v>52</v>
      </c>
      <c r="P329" s="4" t="s">
        <v>491</v>
      </c>
      <c r="Q329" s="25" t="s">
        <v>52</v>
      </c>
      <c r="R329" s="60" t="s">
        <v>3216</v>
      </c>
      <c r="S329" s="52" t="str">
        <f t="shared" si="184"/>
        <v xml:space="preserve"> soldierTrain{soldierLevel:1,value:3000000}</v>
      </c>
      <c r="T329" s="52" t="s">
        <v>52</v>
      </c>
      <c r="U329" s="52" t="s">
        <v>558</v>
      </c>
      <c r="V329" s="52" t="s">
        <v>559</v>
      </c>
      <c r="W329" s="25">
        <f>VLOOKUP(V329,[1]界面跳转!$I:$J,2,FALSE)</f>
        <v>7328</v>
      </c>
      <c r="Y329" s="25" t="s">
        <v>56</v>
      </c>
      <c r="Z329" s="25" t="s">
        <v>57</v>
      </c>
      <c r="AA329" s="25">
        <f t="shared" si="185"/>
        <v>21023</v>
      </c>
      <c r="AB329" s="25">
        <v>6622323</v>
      </c>
      <c r="AD329" s="25">
        <v>21</v>
      </c>
      <c r="AE329" s="25">
        <f t="shared" si="200"/>
        <v>23</v>
      </c>
    </row>
    <row r="330" spans="1:32" s="25" customFormat="1" x14ac:dyDescent="0.45">
      <c r="A330" s="25">
        <f t="shared" si="181"/>
        <v>10010240</v>
      </c>
      <c r="B330" s="25">
        <v>0</v>
      </c>
      <c r="C330" s="25">
        <v>10</v>
      </c>
      <c r="D330" s="25">
        <f t="shared" si="199"/>
        <v>24</v>
      </c>
      <c r="E330" s="25" t="s">
        <v>555</v>
      </c>
      <c r="F330" s="25" t="s">
        <v>582</v>
      </c>
      <c r="G330" s="25" t="s">
        <v>557</v>
      </c>
      <c r="H330" s="25">
        <v>4000000</v>
      </c>
      <c r="I330" s="25" t="s">
        <v>80</v>
      </c>
      <c r="J330" s="25" t="str">
        <f t="shared" si="182"/>
        <v>累计训练任意士兵4000000名</v>
      </c>
      <c r="K330" s="25">
        <f t="shared" si="183"/>
        <v>10010240</v>
      </c>
      <c r="L330" s="25" t="s">
        <v>515</v>
      </c>
      <c r="M330" s="25">
        <f t="shared" si="198"/>
        <v>10601030</v>
      </c>
      <c r="N330" s="25" t="s">
        <v>254</v>
      </c>
      <c r="O330" s="25" t="s">
        <v>52</v>
      </c>
      <c r="P330" s="4" t="s">
        <v>491</v>
      </c>
      <c r="Q330" s="25" t="s">
        <v>52</v>
      </c>
      <c r="R330" s="60" t="s">
        <v>3216</v>
      </c>
      <c r="S330" s="52" t="str">
        <f t="shared" si="184"/>
        <v xml:space="preserve"> soldierTrain{soldierLevel:1,value:4000000}</v>
      </c>
      <c r="T330" s="52" t="s">
        <v>52</v>
      </c>
      <c r="U330" s="52" t="s">
        <v>558</v>
      </c>
      <c r="V330" s="52" t="s">
        <v>559</v>
      </c>
      <c r="W330" s="25">
        <f>VLOOKUP(V330,[1]界面跳转!$I:$J,2,FALSE)</f>
        <v>7328</v>
      </c>
      <c r="Y330" s="25" t="s">
        <v>56</v>
      </c>
      <c r="Z330" s="25" t="s">
        <v>57</v>
      </c>
      <c r="AA330" s="25">
        <f t="shared" si="185"/>
        <v>21024</v>
      </c>
      <c r="AB330" s="25">
        <v>6622324</v>
      </c>
      <c r="AD330" s="25">
        <v>21</v>
      </c>
      <c r="AE330" s="25">
        <f t="shared" si="200"/>
        <v>24</v>
      </c>
    </row>
    <row r="331" spans="1:32" s="25" customFormat="1" x14ac:dyDescent="0.45">
      <c r="A331" s="25">
        <f t="shared" si="181"/>
        <v>10010250</v>
      </c>
      <c r="B331" s="25">
        <v>0</v>
      </c>
      <c r="C331" s="25">
        <v>10</v>
      </c>
      <c r="D331" s="25">
        <f t="shared" si="199"/>
        <v>25</v>
      </c>
      <c r="E331" s="25" t="s">
        <v>555</v>
      </c>
      <c r="F331" s="25" t="s">
        <v>583</v>
      </c>
      <c r="G331" s="25" t="s">
        <v>557</v>
      </c>
      <c r="H331" s="25">
        <v>5000000</v>
      </c>
      <c r="I331" s="25" t="s">
        <v>80</v>
      </c>
      <c r="J331" s="25" t="str">
        <f t="shared" si="182"/>
        <v>累计训练任意士兵5000000名</v>
      </c>
      <c r="K331" s="25">
        <f t="shared" si="183"/>
        <v>10010250</v>
      </c>
      <c r="L331" s="25" t="s">
        <v>515</v>
      </c>
      <c r="M331" s="25">
        <f t="shared" si="198"/>
        <v>10601030</v>
      </c>
      <c r="N331" s="25" t="s">
        <v>254</v>
      </c>
      <c r="O331" s="25" t="s">
        <v>52</v>
      </c>
      <c r="P331" s="4" t="s">
        <v>491</v>
      </c>
      <c r="Q331" s="25" t="s">
        <v>52</v>
      </c>
      <c r="R331" s="60" t="s">
        <v>3216</v>
      </c>
      <c r="S331" s="52" t="str">
        <f t="shared" si="184"/>
        <v xml:space="preserve"> soldierTrain{soldierLevel:1,value:5000000}</v>
      </c>
      <c r="T331" s="52" t="s">
        <v>52</v>
      </c>
      <c r="U331" s="52" t="s">
        <v>558</v>
      </c>
      <c r="V331" s="52" t="s">
        <v>559</v>
      </c>
      <c r="W331" s="25">
        <f>VLOOKUP(V331,[1]界面跳转!$I:$J,2,FALSE)</f>
        <v>7328</v>
      </c>
      <c r="Y331" s="25" t="s">
        <v>56</v>
      </c>
      <c r="Z331" s="25" t="s">
        <v>57</v>
      </c>
      <c r="AA331" s="25">
        <f t="shared" si="185"/>
        <v>21025</v>
      </c>
      <c r="AB331" s="25">
        <v>6622325</v>
      </c>
      <c r="AD331" s="25">
        <v>21</v>
      </c>
      <c r="AE331" s="25">
        <f t="shared" si="200"/>
        <v>25</v>
      </c>
    </row>
    <row r="332" spans="1:32" s="26" customFormat="1" x14ac:dyDescent="0.45">
      <c r="A332" s="26">
        <f t="shared" si="181"/>
        <v>10011010</v>
      </c>
      <c r="B332" s="26">
        <v>0</v>
      </c>
      <c r="C332" s="26">
        <v>11</v>
      </c>
      <c r="D332" s="26">
        <f t="shared" si="199"/>
        <v>1</v>
      </c>
      <c r="E332" s="26" t="s">
        <v>584</v>
      </c>
      <c r="F332" s="26" t="s">
        <v>585</v>
      </c>
      <c r="G332" s="26" t="s">
        <v>586</v>
      </c>
      <c r="H332" s="26">
        <v>1000</v>
      </c>
      <c r="I332" s="26" t="s">
        <v>80</v>
      </c>
      <c r="J332" s="26" t="str">
        <f t="shared" si="182"/>
        <v>累计治疗任意士兵1000名</v>
      </c>
      <c r="K332" s="26">
        <f t="shared" si="183"/>
        <v>10011010</v>
      </c>
      <c r="L332" s="26" t="s">
        <v>587</v>
      </c>
      <c r="M332" s="26" t="e">
        <f t="shared" si="198"/>
        <v>#N/A</v>
      </c>
      <c r="N332" s="26" t="s">
        <v>254</v>
      </c>
      <c r="O332" s="26" t="s">
        <v>52</v>
      </c>
      <c r="P332" s="4" t="s">
        <v>491</v>
      </c>
      <c r="Q332" s="26" t="s">
        <v>52</v>
      </c>
      <c r="R332" s="26" t="s">
        <v>588</v>
      </c>
      <c r="S332" s="48" t="str">
        <f t="shared" si="184"/>
        <v>statisticReach{type:"SoldierCureNums",value:1000}</v>
      </c>
      <c r="T332" s="48" t="s">
        <v>52</v>
      </c>
      <c r="U332" s="53" t="s">
        <v>94</v>
      </c>
      <c r="V332" s="48" t="s">
        <v>589</v>
      </c>
      <c r="W332" s="26">
        <f>VLOOKUP(V332,[1]界面跳转!$I:$J,2,FALSE)</f>
        <v>7684</v>
      </c>
      <c r="Y332" s="26" t="s">
        <v>56</v>
      </c>
      <c r="Z332" s="26" t="s">
        <v>57</v>
      </c>
      <c r="AA332" s="26">
        <f t="shared" si="185"/>
        <v>22001</v>
      </c>
      <c r="AB332" s="26">
        <v>6622301</v>
      </c>
      <c r="AD332" s="26">
        <v>22</v>
      </c>
      <c r="AE332" s="26">
        <f t="shared" si="200"/>
        <v>1</v>
      </c>
      <c r="AF332" s="26">
        <v>1</v>
      </c>
    </row>
    <row r="333" spans="1:32" s="26" customFormat="1" x14ac:dyDescent="0.45">
      <c r="A333" s="26">
        <f t="shared" si="181"/>
        <v>10011020</v>
      </c>
      <c r="B333" s="26">
        <v>0</v>
      </c>
      <c r="C333" s="26">
        <v>11</v>
      </c>
      <c r="D333" s="26">
        <f t="shared" si="199"/>
        <v>2</v>
      </c>
      <c r="E333" s="26" t="s">
        <v>584</v>
      </c>
      <c r="F333" s="26" t="s">
        <v>590</v>
      </c>
      <c r="G333" s="26" t="s">
        <v>586</v>
      </c>
      <c r="H333" s="26">
        <v>2000</v>
      </c>
      <c r="I333" s="26" t="s">
        <v>80</v>
      </c>
      <c r="J333" s="26" t="str">
        <f t="shared" si="182"/>
        <v>累计治疗任意士兵2000名</v>
      </c>
      <c r="K333" s="26">
        <f t="shared" si="183"/>
        <v>10011020</v>
      </c>
      <c r="L333" s="26" t="s">
        <v>587</v>
      </c>
      <c r="M333" s="26" t="e">
        <f t="shared" si="198"/>
        <v>#N/A</v>
      </c>
      <c r="N333" s="26" t="s">
        <v>254</v>
      </c>
      <c r="O333" s="26" t="s">
        <v>52</v>
      </c>
      <c r="P333" s="4" t="s">
        <v>491</v>
      </c>
      <c r="Q333" s="26" t="s">
        <v>52</v>
      </c>
      <c r="R333" s="26" t="s">
        <v>588</v>
      </c>
      <c r="S333" s="48" t="str">
        <f t="shared" si="184"/>
        <v>statisticReach{type:"SoldierCureNums",value:2000}</v>
      </c>
      <c r="T333" s="48" t="s">
        <v>52</v>
      </c>
      <c r="U333" s="53" t="s">
        <v>94</v>
      </c>
      <c r="V333" s="48" t="s">
        <v>589</v>
      </c>
      <c r="W333" s="26">
        <f>VLOOKUP(V333,[1]界面跳转!$I:$J,2,FALSE)</f>
        <v>7684</v>
      </c>
      <c r="Y333" s="26" t="s">
        <v>56</v>
      </c>
      <c r="Z333" s="26" t="s">
        <v>57</v>
      </c>
      <c r="AA333" s="26">
        <f t="shared" si="185"/>
        <v>22002</v>
      </c>
      <c r="AB333" s="26">
        <v>6622302</v>
      </c>
      <c r="AD333" s="26">
        <v>22</v>
      </c>
      <c r="AE333" s="26">
        <f t="shared" si="200"/>
        <v>2</v>
      </c>
      <c r="AF333" s="26">
        <v>1</v>
      </c>
    </row>
    <row r="334" spans="1:32" s="26" customFormat="1" x14ac:dyDescent="0.45">
      <c r="A334" s="26">
        <f t="shared" si="181"/>
        <v>10011030</v>
      </c>
      <c r="B334" s="26">
        <v>0</v>
      </c>
      <c r="C334" s="26">
        <v>11</v>
      </c>
      <c r="D334" s="26">
        <f t="shared" si="199"/>
        <v>3</v>
      </c>
      <c r="E334" s="26" t="s">
        <v>584</v>
      </c>
      <c r="F334" s="26" t="s">
        <v>591</v>
      </c>
      <c r="G334" s="26" t="s">
        <v>586</v>
      </c>
      <c r="H334" s="26">
        <v>3000</v>
      </c>
      <c r="I334" s="26" t="s">
        <v>80</v>
      </c>
      <c r="J334" s="26" t="str">
        <f t="shared" si="182"/>
        <v>累计治疗任意士兵3000名</v>
      </c>
      <c r="K334" s="26">
        <f t="shared" si="183"/>
        <v>10011030</v>
      </c>
      <c r="L334" s="26" t="s">
        <v>587</v>
      </c>
      <c r="M334" s="26" t="e">
        <f t="shared" si="198"/>
        <v>#N/A</v>
      </c>
      <c r="N334" s="26" t="s">
        <v>254</v>
      </c>
      <c r="O334" s="26" t="s">
        <v>52</v>
      </c>
      <c r="P334" s="4" t="s">
        <v>491</v>
      </c>
      <c r="Q334" s="26" t="s">
        <v>52</v>
      </c>
      <c r="R334" s="26" t="s">
        <v>588</v>
      </c>
      <c r="S334" s="48" t="str">
        <f t="shared" si="184"/>
        <v>statisticReach{type:"SoldierCureNums",value:3000}</v>
      </c>
      <c r="T334" s="48" t="s">
        <v>52</v>
      </c>
      <c r="U334" s="53" t="s">
        <v>94</v>
      </c>
      <c r="V334" s="48" t="s">
        <v>589</v>
      </c>
      <c r="W334" s="26">
        <f>VLOOKUP(V334,[1]界面跳转!$I:$J,2,FALSE)</f>
        <v>7684</v>
      </c>
      <c r="Y334" s="26" t="s">
        <v>56</v>
      </c>
      <c r="Z334" s="26" t="s">
        <v>57</v>
      </c>
      <c r="AA334" s="26">
        <f t="shared" si="185"/>
        <v>22003</v>
      </c>
      <c r="AB334" s="26">
        <v>6622303</v>
      </c>
      <c r="AD334" s="26">
        <v>22</v>
      </c>
      <c r="AE334" s="26">
        <f t="shared" si="200"/>
        <v>3</v>
      </c>
      <c r="AF334" s="26">
        <v>1</v>
      </c>
    </row>
    <row r="335" spans="1:32" s="26" customFormat="1" x14ac:dyDescent="0.45">
      <c r="A335" s="26">
        <f t="shared" si="181"/>
        <v>10011040</v>
      </c>
      <c r="B335" s="26">
        <v>0</v>
      </c>
      <c r="C335" s="26">
        <v>11</v>
      </c>
      <c r="D335" s="26">
        <f t="shared" si="199"/>
        <v>4</v>
      </c>
      <c r="E335" s="26" t="s">
        <v>584</v>
      </c>
      <c r="F335" s="26" t="s">
        <v>592</v>
      </c>
      <c r="G335" s="26" t="s">
        <v>586</v>
      </c>
      <c r="H335" s="26">
        <v>4500</v>
      </c>
      <c r="I335" s="26" t="s">
        <v>80</v>
      </c>
      <c r="J335" s="26" t="str">
        <f t="shared" si="182"/>
        <v>累计治疗任意士兵4500名</v>
      </c>
      <c r="K335" s="26">
        <f t="shared" si="183"/>
        <v>10011040</v>
      </c>
      <c r="L335" s="26" t="s">
        <v>587</v>
      </c>
      <c r="M335" s="26" t="e">
        <f t="shared" si="198"/>
        <v>#N/A</v>
      </c>
      <c r="N335" s="26" t="s">
        <v>254</v>
      </c>
      <c r="O335" s="26" t="s">
        <v>52</v>
      </c>
      <c r="P335" s="4" t="s">
        <v>491</v>
      </c>
      <c r="Q335" s="26" t="s">
        <v>52</v>
      </c>
      <c r="R335" s="26" t="s">
        <v>588</v>
      </c>
      <c r="S335" s="48" t="str">
        <f t="shared" si="184"/>
        <v>statisticReach{type:"SoldierCureNums",value:4500}</v>
      </c>
      <c r="T335" s="48" t="s">
        <v>52</v>
      </c>
      <c r="U335" s="53" t="s">
        <v>94</v>
      </c>
      <c r="V335" s="48" t="s">
        <v>589</v>
      </c>
      <c r="W335" s="26">
        <f>VLOOKUP(V335,[1]界面跳转!$I:$J,2,FALSE)</f>
        <v>7684</v>
      </c>
      <c r="Y335" s="26" t="s">
        <v>56</v>
      </c>
      <c r="Z335" s="26" t="s">
        <v>57</v>
      </c>
      <c r="AA335" s="26">
        <f t="shared" si="185"/>
        <v>22004</v>
      </c>
      <c r="AB335" s="26">
        <v>6622304</v>
      </c>
      <c r="AD335" s="26">
        <v>22</v>
      </c>
      <c r="AE335" s="26">
        <f t="shared" si="200"/>
        <v>4</v>
      </c>
      <c r="AF335" s="26">
        <v>1</v>
      </c>
    </row>
    <row r="336" spans="1:32" s="26" customFormat="1" x14ac:dyDescent="0.45">
      <c r="A336" s="26">
        <f t="shared" si="181"/>
        <v>10011050</v>
      </c>
      <c r="B336" s="26">
        <v>0</v>
      </c>
      <c r="C336" s="26">
        <v>11</v>
      </c>
      <c r="D336" s="26">
        <f t="shared" si="199"/>
        <v>5</v>
      </c>
      <c r="E336" s="26" t="s">
        <v>584</v>
      </c>
      <c r="F336" s="26" t="s">
        <v>593</v>
      </c>
      <c r="G336" s="26" t="s">
        <v>586</v>
      </c>
      <c r="H336" s="26">
        <v>6000</v>
      </c>
      <c r="I336" s="26" t="s">
        <v>80</v>
      </c>
      <c r="J336" s="26" t="str">
        <f t="shared" si="182"/>
        <v>累计治疗任意士兵6000名</v>
      </c>
      <c r="K336" s="26">
        <f t="shared" si="183"/>
        <v>10011050</v>
      </c>
      <c r="L336" s="26" t="s">
        <v>587</v>
      </c>
      <c r="M336" s="26" t="e">
        <f t="shared" si="198"/>
        <v>#N/A</v>
      </c>
      <c r="N336" s="26" t="s">
        <v>254</v>
      </c>
      <c r="O336" s="26" t="s">
        <v>52</v>
      </c>
      <c r="P336" s="4" t="s">
        <v>491</v>
      </c>
      <c r="Q336" s="26" t="s">
        <v>52</v>
      </c>
      <c r="R336" s="26" t="s">
        <v>588</v>
      </c>
      <c r="S336" s="48" t="str">
        <f t="shared" si="184"/>
        <v>statisticReach{type:"SoldierCureNums",value:6000}</v>
      </c>
      <c r="T336" s="48" t="s">
        <v>52</v>
      </c>
      <c r="U336" s="53" t="s">
        <v>94</v>
      </c>
      <c r="V336" s="48" t="s">
        <v>589</v>
      </c>
      <c r="W336" s="26">
        <f>VLOOKUP(V336,[1]界面跳转!$I:$J,2,FALSE)</f>
        <v>7684</v>
      </c>
      <c r="Y336" s="26" t="s">
        <v>56</v>
      </c>
      <c r="Z336" s="26" t="s">
        <v>57</v>
      </c>
      <c r="AA336" s="26">
        <f t="shared" si="185"/>
        <v>22005</v>
      </c>
      <c r="AB336" s="26">
        <v>6622305</v>
      </c>
      <c r="AD336" s="26">
        <v>22</v>
      </c>
      <c r="AE336" s="26">
        <f t="shared" si="200"/>
        <v>5</v>
      </c>
      <c r="AF336" s="26">
        <v>1</v>
      </c>
    </row>
    <row r="337" spans="1:32" s="26" customFormat="1" x14ac:dyDescent="0.45">
      <c r="A337" s="26">
        <f t="shared" si="181"/>
        <v>10011060</v>
      </c>
      <c r="B337" s="26">
        <v>0</v>
      </c>
      <c r="C337" s="26">
        <v>11</v>
      </c>
      <c r="D337" s="26">
        <f t="shared" si="199"/>
        <v>6</v>
      </c>
      <c r="E337" s="26" t="s">
        <v>584</v>
      </c>
      <c r="F337" s="26" t="s">
        <v>594</v>
      </c>
      <c r="G337" s="26" t="s">
        <v>586</v>
      </c>
      <c r="H337" s="26">
        <v>8000</v>
      </c>
      <c r="I337" s="26" t="s">
        <v>80</v>
      </c>
      <c r="J337" s="26" t="str">
        <f t="shared" si="182"/>
        <v>累计治疗任意士兵8000名</v>
      </c>
      <c r="K337" s="26">
        <f t="shared" si="183"/>
        <v>10011060</v>
      </c>
      <c r="L337" s="26" t="s">
        <v>587</v>
      </c>
      <c r="M337" s="26" t="e">
        <f t="shared" si="198"/>
        <v>#N/A</v>
      </c>
      <c r="N337" s="26" t="s">
        <v>254</v>
      </c>
      <c r="O337" s="26" t="s">
        <v>52</v>
      </c>
      <c r="P337" s="4" t="s">
        <v>491</v>
      </c>
      <c r="Q337" s="26" t="s">
        <v>52</v>
      </c>
      <c r="R337" s="26" t="s">
        <v>588</v>
      </c>
      <c r="S337" s="48" t="str">
        <f t="shared" si="184"/>
        <v>statisticReach{type:"SoldierCureNums",value:8000}</v>
      </c>
      <c r="T337" s="48" t="s">
        <v>52</v>
      </c>
      <c r="U337" s="53" t="s">
        <v>94</v>
      </c>
      <c r="V337" s="48" t="s">
        <v>589</v>
      </c>
      <c r="W337" s="26">
        <f>VLOOKUP(V337,[1]界面跳转!$I:$J,2,FALSE)</f>
        <v>7684</v>
      </c>
      <c r="Y337" s="26" t="s">
        <v>56</v>
      </c>
      <c r="Z337" s="26" t="s">
        <v>57</v>
      </c>
      <c r="AA337" s="26">
        <f t="shared" si="185"/>
        <v>22006</v>
      </c>
      <c r="AB337" s="26">
        <v>6622306</v>
      </c>
      <c r="AD337" s="26">
        <v>22</v>
      </c>
      <c r="AE337" s="26">
        <f t="shared" si="200"/>
        <v>6</v>
      </c>
      <c r="AF337" s="26">
        <v>1</v>
      </c>
    </row>
    <row r="338" spans="1:32" s="26" customFormat="1" x14ac:dyDescent="0.45">
      <c r="A338" s="26">
        <f t="shared" si="181"/>
        <v>10011070</v>
      </c>
      <c r="B338" s="26">
        <v>0</v>
      </c>
      <c r="C338" s="26">
        <v>11</v>
      </c>
      <c r="D338" s="26">
        <f t="shared" si="199"/>
        <v>7</v>
      </c>
      <c r="E338" s="26" t="s">
        <v>584</v>
      </c>
      <c r="F338" s="26" t="s">
        <v>595</v>
      </c>
      <c r="G338" s="26" t="s">
        <v>586</v>
      </c>
      <c r="H338" s="26">
        <v>10000</v>
      </c>
      <c r="I338" s="26" t="s">
        <v>80</v>
      </c>
      <c r="J338" s="26" t="str">
        <f t="shared" si="182"/>
        <v>累计治疗任意士兵10000名</v>
      </c>
      <c r="K338" s="26">
        <f t="shared" si="183"/>
        <v>10011070</v>
      </c>
      <c r="L338" s="26" t="s">
        <v>587</v>
      </c>
      <c r="M338" s="26" t="e">
        <f t="shared" si="198"/>
        <v>#N/A</v>
      </c>
      <c r="N338" s="26" t="s">
        <v>254</v>
      </c>
      <c r="O338" s="26" t="s">
        <v>52</v>
      </c>
      <c r="P338" s="4" t="s">
        <v>491</v>
      </c>
      <c r="Q338" s="26" t="s">
        <v>52</v>
      </c>
      <c r="R338" s="26" t="s">
        <v>588</v>
      </c>
      <c r="S338" s="48" t="str">
        <f t="shared" si="184"/>
        <v>statisticReach{type:"SoldierCureNums",value:10000}</v>
      </c>
      <c r="T338" s="48" t="s">
        <v>52</v>
      </c>
      <c r="U338" s="53" t="s">
        <v>94</v>
      </c>
      <c r="V338" s="48" t="s">
        <v>589</v>
      </c>
      <c r="W338" s="26">
        <f>VLOOKUP(V338,[1]界面跳转!$I:$J,2,FALSE)</f>
        <v>7684</v>
      </c>
      <c r="Y338" s="26" t="s">
        <v>56</v>
      </c>
      <c r="Z338" s="26" t="s">
        <v>57</v>
      </c>
      <c r="AA338" s="26">
        <f t="shared" si="185"/>
        <v>22007</v>
      </c>
      <c r="AB338" s="26">
        <v>6622307</v>
      </c>
      <c r="AD338" s="26">
        <v>22</v>
      </c>
      <c r="AE338" s="26">
        <f t="shared" si="200"/>
        <v>7</v>
      </c>
      <c r="AF338" s="26">
        <v>1</v>
      </c>
    </row>
    <row r="339" spans="1:32" s="26" customFormat="1" x14ac:dyDescent="0.45">
      <c r="A339" s="26">
        <f t="shared" si="181"/>
        <v>10011080</v>
      </c>
      <c r="B339" s="26">
        <v>0</v>
      </c>
      <c r="C339" s="26">
        <v>11</v>
      </c>
      <c r="D339" s="26">
        <f t="shared" si="199"/>
        <v>8</v>
      </c>
      <c r="E339" s="26" t="s">
        <v>584</v>
      </c>
      <c r="F339" s="26" t="s">
        <v>596</v>
      </c>
      <c r="G339" s="26" t="s">
        <v>586</v>
      </c>
      <c r="H339" s="26">
        <v>20000</v>
      </c>
      <c r="I339" s="26" t="s">
        <v>80</v>
      </c>
      <c r="J339" s="26" t="str">
        <f t="shared" si="182"/>
        <v>累计治疗任意士兵20000名</v>
      </c>
      <c r="K339" s="26">
        <f t="shared" si="183"/>
        <v>10011080</v>
      </c>
      <c r="L339" s="26" t="s">
        <v>587</v>
      </c>
      <c r="M339" s="26" t="e">
        <f t="shared" ref="M339:M370" si="201">VLOOKUP(L339,J:K,2,FALSE)</f>
        <v>#N/A</v>
      </c>
      <c r="N339" s="26" t="s">
        <v>254</v>
      </c>
      <c r="O339" s="26" t="s">
        <v>52</v>
      </c>
      <c r="P339" s="4" t="s">
        <v>491</v>
      </c>
      <c r="Q339" s="26" t="s">
        <v>52</v>
      </c>
      <c r="R339" s="26" t="s">
        <v>588</v>
      </c>
      <c r="S339" s="48" t="str">
        <f t="shared" si="184"/>
        <v>statisticReach{type:"SoldierCureNums",value:20000}</v>
      </c>
      <c r="T339" s="48" t="s">
        <v>52</v>
      </c>
      <c r="U339" s="53" t="s">
        <v>94</v>
      </c>
      <c r="V339" s="48" t="s">
        <v>589</v>
      </c>
      <c r="W339" s="26">
        <f>VLOOKUP(V339,[1]界面跳转!$I:$J,2,FALSE)</f>
        <v>7684</v>
      </c>
      <c r="Y339" s="26" t="s">
        <v>56</v>
      </c>
      <c r="Z339" s="26" t="s">
        <v>57</v>
      </c>
      <c r="AA339" s="26">
        <f t="shared" si="185"/>
        <v>22008</v>
      </c>
      <c r="AB339" s="26">
        <v>6622308</v>
      </c>
      <c r="AD339" s="26">
        <v>22</v>
      </c>
      <c r="AE339" s="26">
        <f t="shared" si="200"/>
        <v>8</v>
      </c>
      <c r="AF339" s="26">
        <v>1</v>
      </c>
    </row>
    <row r="340" spans="1:32" s="26" customFormat="1" x14ac:dyDescent="0.45">
      <c r="A340" s="26">
        <f t="shared" si="181"/>
        <v>10011090</v>
      </c>
      <c r="B340" s="26">
        <v>0</v>
      </c>
      <c r="C340" s="26">
        <v>11</v>
      </c>
      <c r="D340" s="26">
        <f t="shared" si="199"/>
        <v>9</v>
      </c>
      <c r="E340" s="26" t="s">
        <v>584</v>
      </c>
      <c r="F340" s="26" t="s">
        <v>597</v>
      </c>
      <c r="G340" s="26" t="s">
        <v>586</v>
      </c>
      <c r="H340" s="26">
        <v>30000</v>
      </c>
      <c r="I340" s="26" t="s">
        <v>80</v>
      </c>
      <c r="J340" s="26" t="str">
        <f t="shared" si="182"/>
        <v>累计治疗任意士兵30000名</v>
      </c>
      <c r="K340" s="26">
        <f t="shared" si="183"/>
        <v>10011090</v>
      </c>
      <c r="L340" s="26" t="s">
        <v>587</v>
      </c>
      <c r="M340" s="26" t="e">
        <f t="shared" si="201"/>
        <v>#N/A</v>
      </c>
      <c r="N340" s="26" t="s">
        <v>254</v>
      </c>
      <c r="O340" s="26" t="s">
        <v>52</v>
      </c>
      <c r="P340" s="4" t="s">
        <v>491</v>
      </c>
      <c r="Q340" s="26" t="s">
        <v>52</v>
      </c>
      <c r="R340" s="26" t="s">
        <v>588</v>
      </c>
      <c r="S340" s="48" t="str">
        <f t="shared" si="184"/>
        <v>statisticReach{type:"SoldierCureNums",value:30000}</v>
      </c>
      <c r="T340" s="48" t="s">
        <v>52</v>
      </c>
      <c r="U340" s="53" t="s">
        <v>94</v>
      </c>
      <c r="V340" s="48" t="s">
        <v>589</v>
      </c>
      <c r="W340" s="26">
        <f>VLOOKUP(V340,[1]界面跳转!$I:$J,2,FALSE)</f>
        <v>7684</v>
      </c>
      <c r="Y340" s="26" t="s">
        <v>56</v>
      </c>
      <c r="Z340" s="26" t="s">
        <v>57</v>
      </c>
      <c r="AA340" s="26">
        <f t="shared" si="185"/>
        <v>22009</v>
      </c>
      <c r="AB340" s="26">
        <v>6622309</v>
      </c>
      <c r="AD340" s="26">
        <v>22</v>
      </c>
      <c r="AE340" s="26">
        <f t="shared" si="200"/>
        <v>9</v>
      </c>
      <c r="AF340" s="26">
        <v>1</v>
      </c>
    </row>
    <row r="341" spans="1:32" s="26" customFormat="1" x14ac:dyDescent="0.45">
      <c r="A341" s="26">
        <f t="shared" si="181"/>
        <v>10011100</v>
      </c>
      <c r="B341" s="26">
        <v>0</v>
      </c>
      <c r="C341" s="26">
        <v>11</v>
      </c>
      <c r="D341" s="26">
        <f t="shared" si="199"/>
        <v>10</v>
      </c>
      <c r="E341" s="26" t="s">
        <v>584</v>
      </c>
      <c r="F341" s="26" t="s">
        <v>598</v>
      </c>
      <c r="G341" s="26" t="s">
        <v>586</v>
      </c>
      <c r="H341" s="26">
        <v>40000</v>
      </c>
      <c r="I341" s="26" t="s">
        <v>80</v>
      </c>
      <c r="J341" s="26" t="str">
        <f t="shared" si="182"/>
        <v>累计治疗任意士兵40000名</v>
      </c>
      <c r="K341" s="26">
        <f t="shared" si="183"/>
        <v>10011100</v>
      </c>
      <c r="L341" s="26" t="s">
        <v>587</v>
      </c>
      <c r="M341" s="26" t="e">
        <f t="shared" si="201"/>
        <v>#N/A</v>
      </c>
      <c r="N341" s="26" t="s">
        <v>254</v>
      </c>
      <c r="O341" s="26" t="s">
        <v>52</v>
      </c>
      <c r="P341" s="4" t="s">
        <v>491</v>
      </c>
      <c r="Q341" s="26" t="s">
        <v>52</v>
      </c>
      <c r="R341" s="26" t="s">
        <v>588</v>
      </c>
      <c r="S341" s="48" t="str">
        <f t="shared" si="184"/>
        <v>statisticReach{type:"SoldierCureNums",value:40000}</v>
      </c>
      <c r="T341" s="48" t="s">
        <v>52</v>
      </c>
      <c r="U341" s="53" t="s">
        <v>94</v>
      </c>
      <c r="V341" s="48" t="s">
        <v>589</v>
      </c>
      <c r="W341" s="26">
        <f>VLOOKUP(V341,[1]界面跳转!$I:$J,2,FALSE)</f>
        <v>7684</v>
      </c>
      <c r="Y341" s="26" t="s">
        <v>56</v>
      </c>
      <c r="Z341" s="26" t="s">
        <v>57</v>
      </c>
      <c r="AA341" s="26">
        <f t="shared" si="185"/>
        <v>22010</v>
      </c>
      <c r="AB341" s="26">
        <v>6622310</v>
      </c>
      <c r="AD341" s="26">
        <v>22</v>
      </c>
      <c r="AE341" s="26">
        <f t="shared" si="200"/>
        <v>10</v>
      </c>
      <c r="AF341" s="26">
        <v>1</v>
      </c>
    </row>
    <row r="342" spans="1:32" s="26" customFormat="1" x14ac:dyDescent="0.45">
      <c r="A342" s="26">
        <f t="shared" si="181"/>
        <v>10011110</v>
      </c>
      <c r="B342" s="26">
        <v>0</v>
      </c>
      <c r="C342" s="26">
        <v>11</v>
      </c>
      <c r="D342" s="26">
        <f t="shared" si="199"/>
        <v>11</v>
      </c>
      <c r="E342" s="26" t="s">
        <v>584</v>
      </c>
      <c r="F342" s="26" t="s">
        <v>599</v>
      </c>
      <c r="G342" s="26" t="s">
        <v>586</v>
      </c>
      <c r="H342" s="26">
        <v>50000</v>
      </c>
      <c r="I342" s="26" t="s">
        <v>80</v>
      </c>
      <c r="J342" s="26" t="str">
        <f t="shared" si="182"/>
        <v>累计治疗任意士兵50000名</v>
      </c>
      <c r="K342" s="26">
        <f t="shared" si="183"/>
        <v>10011110</v>
      </c>
      <c r="L342" s="26" t="s">
        <v>587</v>
      </c>
      <c r="M342" s="26" t="e">
        <f t="shared" si="201"/>
        <v>#N/A</v>
      </c>
      <c r="N342" s="26" t="s">
        <v>254</v>
      </c>
      <c r="O342" s="26" t="s">
        <v>52</v>
      </c>
      <c r="P342" s="4" t="s">
        <v>491</v>
      </c>
      <c r="Q342" s="26" t="s">
        <v>52</v>
      </c>
      <c r="R342" s="26" t="s">
        <v>588</v>
      </c>
      <c r="S342" s="48" t="str">
        <f t="shared" si="184"/>
        <v>statisticReach{type:"SoldierCureNums",value:50000}</v>
      </c>
      <c r="T342" s="48" t="s">
        <v>52</v>
      </c>
      <c r="U342" s="53" t="s">
        <v>94</v>
      </c>
      <c r="V342" s="48" t="s">
        <v>589</v>
      </c>
      <c r="W342" s="26">
        <f>VLOOKUP(V342,[1]界面跳转!$I:$J,2,FALSE)</f>
        <v>7684</v>
      </c>
      <c r="Y342" s="26" t="s">
        <v>56</v>
      </c>
      <c r="Z342" s="26" t="s">
        <v>57</v>
      </c>
      <c r="AA342" s="26">
        <f t="shared" si="185"/>
        <v>22011</v>
      </c>
      <c r="AB342" s="26">
        <v>6622311</v>
      </c>
      <c r="AD342" s="26">
        <v>22</v>
      </c>
      <c r="AE342" s="26">
        <f t="shared" si="200"/>
        <v>11</v>
      </c>
      <c r="AF342" s="26">
        <v>1</v>
      </c>
    </row>
    <row r="343" spans="1:32" s="25" customFormat="1" x14ac:dyDescent="0.45">
      <c r="A343" s="25">
        <f t="shared" si="181"/>
        <v>10012010</v>
      </c>
      <c r="B343" s="25">
        <v>0</v>
      </c>
      <c r="C343" s="25">
        <v>12</v>
      </c>
      <c r="D343" s="25">
        <f t="shared" si="199"/>
        <v>1</v>
      </c>
      <c r="E343" s="25" t="s">
        <v>600</v>
      </c>
      <c r="F343" s="25" t="s">
        <v>601</v>
      </c>
      <c r="G343" s="25" t="s">
        <v>89</v>
      </c>
      <c r="H343" s="25">
        <v>1</v>
      </c>
      <c r="I343" s="25" t="s">
        <v>90</v>
      </c>
      <c r="J343" s="25" t="str">
        <f t="shared" si="182"/>
        <v>清剿1级或更高级【普通】蛮族</v>
      </c>
      <c r="K343" s="25">
        <f t="shared" si="183"/>
        <v>10012010</v>
      </c>
      <c r="L343" s="25" t="s">
        <v>602</v>
      </c>
      <c r="M343" s="25">
        <f t="shared" si="201"/>
        <v>10601010</v>
      </c>
      <c r="N343" s="25" t="s">
        <v>254</v>
      </c>
      <c r="O343" s="25" t="s">
        <v>52</v>
      </c>
      <c r="P343" s="4" t="s">
        <v>491</v>
      </c>
      <c r="Q343" s="25" t="s">
        <v>52</v>
      </c>
      <c r="R343" s="25" t="s">
        <v>91</v>
      </c>
      <c r="S343" s="52" t="str">
        <f t="shared" si="184"/>
        <v>statisticReach{type:"BattleKillMonsterEvent1_1",value:1}</v>
      </c>
      <c r="T343" s="52" t="s">
        <v>52</v>
      </c>
      <c r="U343" s="52" t="s">
        <v>603</v>
      </c>
      <c r="V343" s="52" t="s">
        <v>92</v>
      </c>
      <c r="W343" s="25">
        <f>VLOOKUP(V343,[1]界面跳转!$I:$J,2,FALSE)</f>
        <v>7254</v>
      </c>
      <c r="Y343" s="25" t="s">
        <v>56</v>
      </c>
      <c r="Z343" s="25" t="s">
        <v>57</v>
      </c>
      <c r="AA343" s="25">
        <f t="shared" si="185"/>
        <v>11001</v>
      </c>
      <c r="AB343" s="25">
        <v>6622301</v>
      </c>
      <c r="AD343" s="25">
        <v>11</v>
      </c>
      <c r="AE343" s="25">
        <f t="shared" si="200"/>
        <v>1</v>
      </c>
    </row>
    <row r="344" spans="1:32" s="25" customFormat="1" x14ac:dyDescent="0.45">
      <c r="A344" s="25">
        <f t="shared" si="181"/>
        <v>10012020</v>
      </c>
      <c r="B344" s="25">
        <v>0</v>
      </c>
      <c r="C344" s="25">
        <v>12</v>
      </c>
      <c r="D344" s="25">
        <f t="shared" si="199"/>
        <v>2</v>
      </c>
      <c r="E344" s="25" t="s">
        <v>600</v>
      </c>
      <c r="F344" s="25" t="s">
        <v>88</v>
      </c>
      <c r="G344" s="25" t="s">
        <v>89</v>
      </c>
      <c r="H344" s="25">
        <v>2</v>
      </c>
      <c r="I344" s="25" t="s">
        <v>90</v>
      </c>
      <c r="J344" s="25" t="str">
        <f t="shared" si="182"/>
        <v>清剿2级或更高级【普通】蛮族</v>
      </c>
      <c r="K344" s="25">
        <f t="shared" si="183"/>
        <v>10012020</v>
      </c>
      <c r="L344" s="25" t="s">
        <v>602</v>
      </c>
      <c r="M344" s="25">
        <f t="shared" si="201"/>
        <v>10601010</v>
      </c>
      <c r="N344" s="25" t="s">
        <v>254</v>
      </c>
      <c r="O344" s="25" t="s">
        <v>52</v>
      </c>
      <c r="P344" s="4" t="s">
        <v>491</v>
      </c>
      <c r="Q344" s="25" t="s">
        <v>52</v>
      </c>
      <c r="R344" s="25" t="s">
        <v>91</v>
      </c>
      <c r="S344" s="52" t="str">
        <f t="shared" si="184"/>
        <v>statisticReach{type:"BattleKillMonsterEvent2_1",value:1}</v>
      </c>
      <c r="T344" s="52" t="s">
        <v>52</v>
      </c>
      <c r="U344" s="52" t="s">
        <v>604</v>
      </c>
      <c r="V344" s="52" t="s">
        <v>92</v>
      </c>
      <c r="W344" s="25">
        <f>VLOOKUP(V344,[1]界面跳转!$I:$J,2,FALSE)</f>
        <v>7254</v>
      </c>
      <c r="Y344" s="25" t="s">
        <v>56</v>
      </c>
      <c r="Z344" s="25" t="s">
        <v>57</v>
      </c>
      <c r="AA344" s="25">
        <f t="shared" si="185"/>
        <v>11002</v>
      </c>
      <c r="AB344" s="25">
        <v>6622302</v>
      </c>
      <c r="AD344" s="25">
        <v>11</v>
      </c>
      <c r="AE344" s="25">
        <f t="shared" si="200"/>
        <v>2</v>
      </c>
    </row>
    <row r="345" spans="1:32" s="25" customFormat="1" x14ac:dyDescent="0.45">
      <c r="A345" s="25">
        <f t="shared" si="181"/>
        <v>10012030</v>
      </c>
      <c r="B345" s="25">
        <v>0</v>
      </c>
      <c r="C345" s="25">
        <v>12</v>
      </c>
      <c r="D345" s="25">
        <f t="shared" si="199"/>
        <v>3</v>
      </c>
      <c r="E345" s="25" t="s">
        <v>600</v>
      </c>
      <c r="F345" s="25" t="s">
        <v>110</v>
      </c>
      <c r="G345" s="25" t="s">
        <v>89</v>
      </c>
      <c r="H345" s="25">
        <v>3</v>
      </c>
      <c r="I345" s="25" t="s">
        <v>90</v>
      </c>
      <c r="J345" s="25" t="str">
        <f t="shared" si="182"/>
        <v>清剿3级或更高级【普通】蛮族</v>
      </c>
      <c r="K345" s="25">
        <f t="shared" si="183"/>
        <v>10012030</v>
      </c>
      <c r="L345" s="25" t="s">
        <v>602</v>
      </c>
      <c r="M345" s="25">
        <f t="shared" si="201"/>
        <v>10601010</v>
      </c>
      <c r="N345" s="25" t="s">
        <v>254</v>
      </c>
      <c r="O345" s="25" t="s">
        <v>52</v>
      </c>
      <c r="P345" s="4" t="s">
        <v>491</v>
      </c>
      <c r="Q345" s="25" t="s">
        <v>52</v>
      </c>
      <c r="R345" s="25" t="s">
        <v>91</v>
      </c>
      <c r="S345" s="52" t="str">
        <f t="shared" si="184"/>
        <v>statisticReach{type:"BattleKillMonsterEvent3_1",value:1}</v>
      </c>
      <c r="T345" s="52" t="s">
        <v>52</v>
      </c>
      <c r="U345" s="52" t="s">
        <v>605</v>
      </c>
      <c r="V345" s="52" t="s">
        <v>92</v>
      </c>
      <c r="W345" s="25">
        <f>VLOOKUP(V345,[1]界面跳转!$I:$J,2,FALSE)</f>
        <v>7254</v>
      </c>
      <c r="Y345" s="25" t="s">
        <v>56</v>
      </c>
      <c r="Z345" s="25" t="s">
        <v>57</v>
      </c>
      <c r="AA345" s="25">
        <f t="shared" si="185"/>
        <v>11003</v>
      </c>
      <c r="AB345" s="25">
        <v>6622303</v>
      </c>
      <c r="AD345" s="25">
        <v>11</v>
      </c>
      <c r="AE345" s="25">
        <f t="shared" si="200"/>
        <v>3</v>
      </c>
    </row>
    <row r="346" spans="1:32" s="25" customFormat="1" x14ac:dyDescent="0.45">
      <c r="A346" s="25">
        <f t="shared" si="181"/>
        <v>10012040</v>
      </c>
      <c r="B346" s="25">
        <v>0</v>
      </c>
      <c r="C346" s="25">
        <v>12</v>
      </c>
      <c r="D346" s="25">
        <f t="shared" si="199"/>
        <v>4</v>
      </c>
      <c r="E346" s="25" t="s">
        <v>600</v>
      </c>
      <c r="F346" s="25" t="s">
        <v>133</v>
      </c>
      <c r="G346" s="25" t="s">
        <v>89</v>
      </c>
      <c r="H346" s="25">
        <v>4</v>
      </c>
      <c r="I346" s="25" t="s">
        <v>90</v>
      </c>
      <c r="J346" s="25" t="str">
        <f t="shared" si="182"/>
        <v>清剿4级或更高级【普通】蛮族</v>
      </c>
      <c r="K346" s="25">
        <f t="shared" si="183"/>
        <v>10012040</v>
      </c>
      <c r="L346" s="25" t="s">
        <v>602</v>
      </c>
      <c r="M346" s="25">
        <f t="shared" si="201"/>
        <v>10601010</v>
      </c>
      <c r="N346" s="25" t="s">
        <v>254</v>
      </c>
      <c r="O346" s="25" t="s">
        <v>52</v>
      </c>
      <c r="P346" s="4" t="s">
        <v>491</v>
      </c>
      <c r="Q346" s="25" t="s">
        <v>52</v>
      </c>
      <c r="R346" s="25" t="s">
        <v>91</v>
      </c>
      <c r="S346" s="52" t="str">
        <f t="shared" si="184"/>
        <v>statisticReach{type:"BattleKillMonsterEvent4_1",value:1}</v>
      </c>
      <c r="T346" s="52" t="s">
        <v>52</v>
      </c>
      <c r="U346" s="52" t="s">
        <v>606</v>
      </c>
      <c r="V346" s="52" t="s">
        <v>92</v>
      </c>
      <c r="W346" s="25">
        <f>VLOOKUP(V346,[1]界面跳转!$I:$J,2,FALSE)</f>
        <v>7254</v>
      </c>
      <c r="Y346" s="25" t="s">
        <v>56</v>
      </c>
      <c r="Z346" s="25" t="s">
        <v>57</v>
      </c>
      <c r="AA346" s="25">
        <f t="shared" si="185"/>
        <v>11004</v>
      </c>
      <c r="AB346" s="25">
        <v>6622304</v>
      </c>
      <c r="AD346" s="25">
        <v>11</v>
      </c>
      <c r="AE346" s="25">
        <f t="shared" si="200"/>
        <v>4</v>
      </c>
    </row>
    <row r="347" spans="1:32" s="25" customFormat="1" x14ac:dyDescent="0.45">
      <c r="A347" s="25">
        <f t="shared" si="181"/>
        <v>10012050</v>
      </c>
      <c r="B347" s="25">
        <v>0</v>
      </c>
      <c r="C347" s="25">
        <v>12</v>
      </c>
      <c r="D347" s="25">
        <f t="shared" si="199"/>
        <v>5</v>
      </c>
      <c r="E347" s="25" t="s">
        <v>600</v>
      </c>
      <c r="F347" s="25" t="s">
        <v>167</v>
      </c>
      <c r="G347" s="25" t="s">
        <v>89</v>
      </c>
      <c r="H347" s="25">
        <v>5</v>
      </c>
      <c r="I347" s="25" t="s">
        <v>90</v>
      </c>
      <c r="J347" s="25" t="str">
        <f t="shared" si="182"/>
        <v>清剿5级或更高级【普通】蛮族</v>
      </c>
      <c r="K347" s="25">
        <f t="shared" si="183"/>
        <v>10012050</v>
      </c>
      <c r="L347" s="25" t="s">
        <v>602</v>
      </c>
      <c r="M347" s="25">
        <f t="shared" si="201"/>
        <v>10601010</v>
      </c>
      <c r="N347" s="25" t="s">
        <v>254</v>
      </c>
      <c r="O347" s="25" t="s">
        <v>52</v>
      </c>
      <c r="P347" s="4" t="s">
        <v>491</v>
      </c>
      <c r="Q347" s="25" t="s">
        <v>52</v>
      </c>
      <c r="R347" s="25" t="s">
        <v>91</v>
      </c>
      <c r="S347" s="52" t="str">
        <f t="shared" si="184"/>
        <v>statisticReach{type:"BattleKillMonsterEvent5_1",value:1}</v>
      </c>
      <c r="T347" s="52" t="s">
        <v>52</v>
      </c>
      <c r="U347" s="52" t="s">
        <v>607</v>
      </c>
      <c r="V347" s="52" t="s">
        <v>92</v>
      </c>
      <c r="W347" s="25">
        <f>VLOOKUP(V347,[1]界面跳转!$I:$J,2,FALSE)</f>
        <v>7254</v>
      </c>
      <c r="Y347" s="25" t="s">
        <v>56</v>
      </c>
      <c r="Z347" s="25" t="s">
        <v>57</v>
      </c>
      <c r="AA347" s="25">
        <f t="shared" si="185"/>
        <v>11005</v>
      </c>
      <c r="AB347" s="25">
        <v>6622305</v>
      </c>
      <c r="AD347" s="25">
        <v>11</v>
      </c>
      <c r="AE347" s="25">
        <f t="shared" si="200"/>
        <v>5</v>
      </c>
    </row>
    <row r="348" spans="1:32" s="25" customFormat="1" x14ac:dyDescent="0.45">
      <c r="A348" s="25">
        <f t="shared" si="181"/>
        <v>10012060</v>
      </c>
      <c r="B348" s="25">
        <v>0</v>
      </c>
      <c r="C348" s="25">
        <v>12</v>
      </c>
      <c r="D348" s="25">
        <f t="shared" si="199"/>
        <v>6</v>
      </c>
      <c r="E348" s="25" t="s">
        <v>600</v>
      </c>
      <c r="F348" s="25" t="s">
        <v>200</v>
      </c>
      <c r="G348" s="25" t="s">
        <v>89</v>
      </c>
      <c r="H348" s="25">
        <v>6</v>
      </c>
      <c r="I348" s="25" t="s">
        <v>90</v>
      </c>
      <c r="J348" s="25" t="str">
        <f t="shared" si="182"/>
        <v>清剿6级或更高级【普通】蛮族</v>
      </c>
      <c r="K348" s="25">
        <f t="shared" si="183"/>
        <v>10012060</v>
      </c>
      <c r="L348" s="25" t="s">
        <v>602</v>
      </c>
      <c r="M348" s="25">
        <f t="shared" si="201"/>
        <v>10601010</v>
      </c>
      <c r="N348" s="25" t="s">
        <v>254</v>
      </c>
      <c r="O348" s="25" t="s">
        <v>52</v>
      </c>
      <c r="P348" s="4" t="s">
        <v>491</v>
      </c>
      <c r="Q348" s="25" t="s">
        <v>52</v>
      </c>
      <c r="R348" s="25" t="s">
        <v>91</v>
      </c>
      <c r="S348" s="52" t="str">
        <f t="shared" si="184"/>
        <v>statisticReach{type:"BattleKillMonsterEvent6_1",value:1}</v>
      </c>
      <c r="T348" s="52" t="s">
        <v>52</v>
      </c>
      <c r="U348" s="52" t="s">
        <v>608</v>
      </c>
      <c r="V348" s="52" t="s">
        <v>92</v>
      </c>
      <c r="W348" s="25">
        <f>VLOOKUP(V348,[1]界面跳转!$I:$J,2,FALSE)</f>
        <v>7254</v>
      </c>
      <c r="Y348" s="25" t="s">
        <v>56</v>
      </c>
      <c r="Z348" s="25" t="s">
        <v>57</v>
      </c>
      <c r="AA348" s="25">
        <f t="shared" si="185"/>
        <v>11006</v>
      </c>
      <c r="AB348" s="25">
        <v>6622306</v>
      </c>
      <c r="AD348" s="25">
        <v>11</v>
      </c>
      <c r="AE348" s="25">
        <f t="shared" si="200"/>
        <v>6</v>
      </c>
    </row>
    <row r="349" spans="1:32" s="25" customFormat="1" x14ac:dyDescent="0.45">
      <c r="A349" s="25">
        <f t="shared" si="181"/>
        <v>10012070</v>
      </c>
      <c r="B349" s="25">
        <v>0</v>
      </c>
      <c r="C349" s="25">
        <v>12</v>
      </c>
      <c r="D349" s="25">
        <f t="shared" si="199"/>
        <v>7</v>
      </c>
      <c r="E349" s="25" t="s">
        <v>600</v>
      </c>
      <c r="F349" s="25" t="s">
        <v>211</v>
      </c>
      <c r="G349" s="25" t="s">
        <v>89</v>
      </c>
      <c r="H349" s="25">
        <v>7</v>
      </c>
      <c r="I349" s="25" t="s">
        <v>90</v>
      </c>
      <c r="J349" s="25" t="str">
        <f t="shared" si="182"/>
        <v>清剿7级或更高级【普通】蛮族</v>
      </c>
      <c r="K349" s="25">
        <f t="shared" si="183"/>
        <v>10012070</v>
      </c>
      <c r="L349" s="25" t="s">
        <v>602</v>
      </c>
      <c r="M349" s="25">
        <f t="shared" si="201"/>
        <v>10601010</v>
      </c>
      <c r="N349" s="25" t="s">
        <v>254</v>
      </c>
      <c r="O349" s="25" t="s">
        <v>52</v>
      </c>
      <c r="P349" s="4" t="s">
        <v>491</v>
      </c>
      <c r="Q349" s="25" t="s">
        <v>52</v>
      </c>
      <c r="R349" s="25" t="s">
        <v>91</v>
      </c>
      <c r="S349" s="52" t="str">
        <f t="shared" si="184"/>
        <v>statisticReach{type:"BattleKillMonsterEvent7_1",value:1}</v>
      </c>
      <c r="T349" s="52" t="s">
        <v>52</v>
      </c>
      <c r="U349" s="52" t="s">
        <v>609</v>
      </c>
      <c r="V349" s="52" t="s">
        <v>92</v>
      </c>
      <c r="W349" s="25">
        <f>VLOOKUP(V349,[1]界面跳转!$I:$J,2,FALSE)</f>
        <v>7254</v>
      </c>
      <c r="Y349" s="25" t="s">
        <v>56</v>
      </c>
      <c r="Z349" s="25" t="s">
        <v>57</v>
      </c>
      <c r="AA349" s="25">
        <f t="shared" si="185"/>
        <v>11007</v>
      </c>
      <c r="AB349" s="25">
        <v>6622307</v>
      </c>
      <c r="AD349" s="25">
        <v>11</v>
      </c>
      <c r="AE349" s="25">
        <f t="shared" si="200"/>
        <v>7</v>
      </c>
    </row>
    <row r="350" spans="1:32" s="25" customFormat="1" x14ac:dyDescent="0.45">
      <c r="A350" s="25">
        <f t="shared" si="181"/>
        <v>10012080</v>
      </c>
      <c r="B350" s="25">
        <v>0</v>
      </c>
      <c r="C350" s="25">
        <v>12</v>
      </c>
      <c r="D350" s="25">
        <f t="shared" si="199"/>
        <v>8</v>
      </c>
      <c r="E350" s="25" t="s">
        <v>600</v>
      </c>
      <c r="F350" s="25" t="s">
        <v>610</v>
      </c>
      <c r="G350" s="25" t="s">
        <v>89</v>
      </c>
      <c r="H350" s="25">
        <v>8</v>
      </c>
      <c r="I350" s="25" t="s">
        <v>90</v>
      </c>
      <c r="J350" s="25" t="str">
        <f t="shared" si="182"/>
        <v>清剿8级或更高级【普通】蛮族</v>
      </c>
      <c r="K350" s="25">
        <f t="shared" si="183"/>
        <v>10012080</v>
      </c>
      <c r="L350" s="25" t="s">
        <v>602</v>
      </c>
      <c r="M350" s="25">
        <f t="shared" si="201"/>
        <v>10601010</v>
      </c>
      <c r="N350" s="25" t="s">
        <v>254</v>
      </c>
      <c r="O350" s="25" t="s">
        <v>52</v>
      </c>
      <c r="P350" s="4" t="s">
        <v>491</v>
      </c>
      <c r="Q350" s="25" t="s">
        <v>52</v>
      </c>
      <c r="R350" s="25" t="s">
        <v>91</v>
      </c>
      <c r="S350" s="52" t="str">
        <f t="shared" si="184"/>
        <v>statisticReach{type:"BattleKillMonsterEvent8_1",value:1}</v>
      </c>
      <c r="T350" s="52" t="s">
        <v>52</v>
      </c>
      <c r="U350" s="52" t="s">
        <v>611</v>
      </c>
      <c r="V350" s="52" t="s">
        <v>92</v>
      </c>
      <c r="W350" s="25">
        <f>VLOOKUP(V350,[1]界面跳转!$I:$J,2,FALSE)</f>
        <v>7254</v>
      </c>
      <c r="Y350" s="25" t="s">
        <v>56</v>
      </c>
      <c r="Z350" s="25" t="s">
        <v>57</v>
      </c>
      <c r="AA350" s="25">
        <f t="shared" si="185"/>
        <v>11008</v>
      </c>
      <c r="AB350" s="25">
        <v>6622308</v>
      </c>
      <c r="AD350" s="25">
        <v>11</v>
      </c>
      <c r="AE350" s="25">
        <f t="shared" si="200"/>
        <v>8</v>
      </c>
    </row>
    <row r="351" spans="1:32" s="25" customFormat="1" x14ac:dyDescent="0.45">
      <c r="A351" s="25">
        <f t="shared" si="181"/>
        <v>10012090</v>
      </c>
      <c r="B351" s="25">
        <v>0</v>
      </c>
      <c r="C351" s="25">
        <v>12</v>
      </c>
      <c r="D351" s="25">
        <f t="shared" si="199"/>
        <v>9</v>
      </c>
      <c r="E351" s="25" t="s">
        <v>600</v>
      </c>
      <c r="F351" s="25" t="s">
        <v>612</v>
      </c>
      <c r="G351" s="25" t="s">
        <v>89</v>
      </c>
      <c r="H351" s="25">
        <v>9</v>
      </c>
      <c r="I351" s="25" t="s">
        <v>90</v>
      </c>
      <c r="J351" s="25" t="str">
        <f t="shared" si="182"/>
        <v>清剿9级或更高级【普通】蛮族</v>
      </c>
      <c r="K351" s="25">
        <f t="shared" si="183"/>
        <v>10012090</v>
      </c>
      <c r="L351" s="25" t="s">
        <v>602</v>
      </c>
      <c r="M351" s="25">
        <f t="shared" si="201"/>
        <v>10601010</v>
      </c>
      <c r="N351" s="25" t="s">
        <v>254</v>
      </c>
      <c r="O351" s="25" t="s">
        <v>52</v>
      </c>
      <c r="P351" s="4" t="s">
        <v>491</v>
      </c>
      <c r="Q351" s="25" t="s">
        <v>52</v>
      </c>
      <c r="R351" s="25" t="s">
        <v>91</v>
      </c>
      <c r="S351" s="52" t="str">
        <f t="shared" si="184"/>
        <v>statisticReach{type:"BattleKillMonsterEvent9_1",value:1}</v>
      </c>
      <c r="T351" s="52" t="s">
        <v>52</v>
      </c>
      <c r="U351" s="52" t="s">
        <v>613</v>
      </c>
      <c r="V351" s="52" t="s">
        <v>92</v>
      </c>
      <c r="W351" s="25">
        <f>VLOOKUP(V351,[1]界面跳转!$I:$J,2,FALSE)</f>
        <v>7254</v>
      </c>
      <c r="Y351" s="25" t="s">
        <v>56</v>
      </c>
      <c r="Z351" s="25" t="s">
        <v>57</v>
      </c>
      <c r="AA351" s="25">
        <f t="shared" si="185"/>
        <v>11009</v>
      </c>
      <c r="AB351" s="25">
        <v>6622309</v>
      </c>
      <c r="AD351" s="25">
        <v>11</v>
      </c>
      <c r="AE351" s="25">
        <f t="shared" si="200"/>
        <v>9</v>
      </c>
    </row>
    <row r="352" spans="1:32" s="25" customFormat="1" x14ac:dyDescent="0.45">
      <c r="A352" s="25">
        <f t="shared" si="181"/>
        <v>10012100</v>
      </c>
      <c r="B352" s="25">
        <v>0</v>
      </c>
      <c r="C352" s="25">
        <v>12</v>
      </c>
      <c r="D352" s="25">
        <f t="shared" si="199"/>
        <v>10</v>
      </c>
      <c r="E352" s="25" t="s">
        <v>600</v>
      </c>
      <c r="F352" s="25" t="s">
        <v>614</v>
      </c>
      <c r="G352" s="25" t="s">
        <v>89</v>
      </c>
      <c r="H352" s="25">
        <v>10</v>
      </c>
      <c r="I352" s="25" t="s">
        <v>90</v>
      </c>
      <c r="J352" s="25" t="str">
        <f t="shared" si="182"/>
        <v>清剿10级或更高级【普通】蛮族</v>
      </c>
      <c r="K352" s="25">
        <f t="shared" si="183"/>
        <v>10012100</v>
      </c>
      <c r="L352" s="25" t="s">
        <v>602</v>
      </c>
      <c r="M352" s="25">
        <f t="shared" si="201"/>
        <v>10601010</v>
      </c>
      <c r="N352" s="25" t="s">
        <v>254</v>
      </c>
      <c r="O352" s="25" t="s">
        <v>52</v>
      </c>
      <c r="P352" s="4" t="s">
        <v>491</v>
      </c>
      <c r="Q352" s="25" t="s">
        <v>52</v>
      </c>
      <c r="R352" s="25" t="s">
        <v>91</v>
      </c>
      <c r="S352" s="52" t="str">
        <f t="shared" si="184"/>
        <v>statisticReach{type:"BattleKillMonsterEvent10_1",value:1}</v>
      </c>
      <c r="T352" s="52" t="s">
        <v>52</v>
      </c>
      <c r="U352" s="52" t="s">
        <v>615</v>
      </c>
      <c r="V352" s="52" t="s">
        <v>92</v>
      </c>
      <c r="W352" s="25">
        <f>VLOOKUP(V352,[1]界面跳转!$I:$J,2,FALSE)</f>
        <v>7254</v>
      </c>
      <c r="Y352" s="25" t="s">
        <v>56</v>
      </c>
      <c r="Z352" s="25" t="s">
        <v>57</v>
      </c>
      <c r="AA352" s="25">
        <f t="shared" si="185"/>
        <v>11010</v>
      </c>
      <c r="AB352" s="25">
        <v>6622310</v>
      </c>
      <c r="AD352" s="25">
        <v>11</v>
      </c>
      <c r="AE352" s="25">
        <f t="shared" si="200"/>
        <v>10</v>
      </c>
    </row>
    <row r="353" spans="1:31" s="25" customFormat="1" x14ac:dyDescent="0.45">
      <c r="A353" s="25">
        <f t="shared" si="181"/>
        <v>10012110</v>
      </c>
      <c r="B353" s="25">
        <v>0</v>
      </c>
      <c r="C353" s="25">
        <v>12</v>
      </c>
      <c r="D353" s="25">
        <f t="shared" si="199"/>
        <v>11</v>
      </c>
      <c r="E353" s="25" t="s">
        <v>600</v>
      </c>
      <c r="F353" s="25" t="s">
        <v>616</v>
      </c>
      <c r="G353" s="25" t="s">
        <v>89</v>
      </c>
      <c r="H353" s="25">
        <v>11</v>
      </c>
      <c r="I353" s="25" t="s">
        <v>90</v>
      </c>
      <c r="J353" s="25" t="str">
        <f t="shared" si="182"/>
        <v>清剿11级或更高级【普通】蛮族</v>
      </c>
      <c r="K353" s="25">
        <f t="shared" si="183"/>
        <v>10012110</v>
      </c>
      <c r="L353" s="25" t="s">
        <v>602</v>
      </c>
      <c r="M353" s="25">
        <f t="shared" si="201"/>
        <v>10601010</v>
      </c>
      <c r="N353" s="25" t="s">
        <v>254</v>
      </c>
      <c r="O353" s="25" t="s">
        <v>52</v>
      </c>
      <c r="P353" s="4" t="s">
        <v>491</v>
      </c>
      <c r="Q353" s="25" t="s">
        <v>52</v>
      </c>
      <c r="R353" s="25" t="s">
        <v>91</v>
      </c>
      <c r="S353" s="52" t="str">
        <f t="shared" si="184"/>
        <v>statisticReach{type:"BattleKillMonsterEvent11_1",value:1}</v>
      </c>
      <c r="T353" s="52" t="s">
        <v>52</v>
      </c>
      <c r="U353" s="52" t="s">
        <v>617</v>
      </c>
      <c r="V353" s="52" t="s">
        <v>92</v>
      </c>
      <c r="W353" s="25">
        <f>VLOOKUP(V353,[1]界面跳转!$I:$J,2,FALSE)</f>
        <v>7254</v>
      </c>
      <c r="Y353" s="25" t="s">
        <v>56</v>
      </c>
      <c r="Z353" s="25" t="s">
        <v>57</v>
      </c>
      <c r="AA353" s="25">
        <f t="shared" si="185"/>
        <v>11011</v>
      </c>
      <c r="AB353" s="25">
        <v>6622311</v>
      </c>
      <c r="AD353" s="25">
        <v>11</v>
      </c>
      <c r="AE353" s="25">
        <f t="shared" si="200"/>
        <v>11</v>
      </c>
    </row>
    <row r="354" spans="1:31" s="25" customFormat="1" x14ac:dyDescent="0.45">
      <c r="A354" s="25">
        <f t="shared" si="181"/>
        <v>10012120</v>
      </c>
      <c r="B354" s="25">
        <v>0</v>
      </c>
      <c r="C354" s="25">
        <v>12</v>
      </c>
      <c r="D354" s="25">
        <f t="shared" si="199"/>
        <v>12</v>
      </c>
      <c r="E354" s="25" t="s">
        <v>600</v>
      </c>
      <c r="F354" s="25" t="s">
        <v>618</v>
      </c>
      <c r="G354" s="25" t="s">
        <v>89</v>
      </c>
      <c r="H354" s="25">
        <v>12</v>
      </c>
      <c r="I354" s="25" t="s">
        <v>90</v>
      </c>
      <c r="J354" s="25" t="str">
        <f t="shared" si="182"/>
        <v>清剿12级或更高级【普通】蛮族</v>
      </c>
      <c r="K354" s="25">
        <f t="shared" si="183"/>
        <v>10012120</v>
      </c>
      <c r="L354" s="25" t="s">
        <v>602</v>
      </c>
      <c r="M354" s="25">
        <f t="shared" si="201"/>
        <v>10601010</v>
      </c>
      <c r="N354" s="25" t="s">
        <v>254</v>
      </c>
      <c r="O354" s="25" t="s">
        <v>52</v>
      </c>
      <c r="P354" s="4" t="s">
        <v>491</v>
      </c>
      <c r="Q354" s="25" t="s">
        <v>52</v>
      </c>
      <c r="R354" s="25" t="s">
        <v>91</v>
      </c>
      <c r="S354" s="52" t="str">
        <f t="shared" si="184"/>
        <v>statisticReach{type:"BattleKillMonsterEvent12_1",value:1}</v>
      </c>
      <c r="T354" s="52" t="s">
        <v>52</v>
      </c>
      <c r="U354" s="52" t="s">
        <v>619</v>
      </c>
      <c r="V354" s="52" t="s">
        <v>92</v>
      </c>
      <c r="W354" s="25">
        <f>VLOOKUP(V354,[1]界面跳转!$I:$J,2,FALSE)</f>
        <v>7254</v>
      </c>
      <c r="Y354" s="25" t="s">
        <v>56</v>
      </c>
      <c r="Z354" s="25" t="s">
        <v>57</v>
      </c>
      <c r="AA354" s="25">
        <f t="shared" si="185"/>
        <v>11012</v>
      </c>
      <c r="AB354" s="25">
        <v>6622312</v>
      </c>
      <c r="AD354" s="25">
        <v>11</v>
      </c>
      <c r="AE354" s="25">
        <f t="shared" si="200"/>
        <v>12</v>
      </c>
    </row>
    <row r="355" spans="1:31" s="25" customFormat="1" x14ac:dyDescent="0.45">
      <c r="A355" s="25">
        <f t="shared" si="181"/>
        <v>10012130</v>
      </c>
      <c r="B355" s="25">
        <v>0</v>
      </c>
      <c r="C355" s="25">
        <v>12</v>
      </c>
      <c r="D355" s="25">
        <f t="shared" si="199"/>
        <v>13</v>
      </c>
      <c r="E355" s="25" t="s">
        <v>600</v>
      </c>
      <c r="F355" s="25" t="s">
        <v>620</v>
      </c>
      <c r="G355" s="25" t="s">
        <v>89</v>
      </c>
      <c r="H355" s="25">
        <v>13</v>
      </c>
      <c r="I355" s="25" t="s">
        <v>90</v>
      </c>
      <c r="J355" s="25" t="str">
        <f t="shared" si="182"/>
        <v>清剿13级或更高级【普通】蛮族</v>
      </c>
      <c r="K355" s="25">
        <f t="shared" si="183"/>
        <v>10012130</v>
      </c>
      <c r="L355" s="25" t="s">
        <v>602</v>
      </c>
      <c r="M355" s="25">
        <f t="shared" si="201"/>
        <v>10601010</v>
      </c>
      <c r="N355" s="25" t="s">
        <v>254</v>
      </c>
      <c r="O355" s="25" t="s">
        <v>52</v>
      </c>
      <c r="P355" s="4" t="s">
        <v>491</v>
      </c>
      <c r="Q355" s="25" t="s">
        <v>52</v>
      </c>
      <c r="R355" s="25" t="s">
        <v>91</v>
      </c>
      <c r="S355" s="52" t="str">
        <f t="shared" si="184"/>
        <v>statisticReach{type:"BattleKillMonsterEvent13_1",value:1}</v>
      </c>
      <c r="T355" s="52" t="s">
        <v>52</v>
      </c>
      <c r="U355" s="52" t="s">
        <v>621</v>
      </c>
      <c r="V355" s="52" t="s">
        <v>92</v>
      </c>
      <c r="W355" s="25">
        <f>VLOOKUP(V355,[1]界面跳转!$I:$J,2,FALSE)</f>
        <v>7254</v>
      </c>
      <c r="Y355" s="25" t="s">
        <v>56</v>
      </c>
      <c r="Z355" s="25" t="s">
        <v>57</v>
      </c>
      <c r="AA355" s="25">
        <f t="shared" si="185"/>
        <v>11013</v>
      </c>
      <c r="AB355" s="25">
        <v>6622313</v>
      </c>
      <c r="AD355" s="25">
        <v>11</v>
      </c>
      <c r="AE355" s="25">
        <f t="shared" si="200"/>
        <v>13</v>
      </c>
    </row>
    <row r="356" spans="1:31" s="25" customFormat="1" x14ac:dyDescent="0.45">
      <c r="A356" s="25">
        <f t="shared" si="181"/>
        <v>10012140</v>
      </c>
      <c r="B356" s="25">
        <v>0</v>
      </c>
      <c r="C356" s="25">
        <v>12</v>
      </c>
      <c r="D356" s="25">
        <f t="shared" si="199"/>
        <v>14</v>
      </c>
      <c r="E356" s="25" t="s">
        <v>600</v>
      </c>
      <c r="F356" s="25" t="s">
        <v>622</v>
      </c>
      <c r="G356" s="25" t="s">
        <v>89</v>
      </c>
      <c r="H356" s="25">
        <v>14</v>
      </c>
      <c r="I356" s="25" t="s">
        <v>90</v>
      </c>
      <c r="J356" s="25" t="str">
        <f t="shared" si="182"/>
        <v>清剿14级或更高级【普通】蛮族</v>
      </c>
      <c r="K356" s="25">
        <f t="shared" si="183"/>
        <v>10012140</v>
      </c>
      <c r="L356" s="25" t="s">
        <v>602</v>
      </c>
      <c r="M356" s="25">
        <f t="shared" si="201"/>
        <v>10601010</v>
      </c>
      <c r="N356" s="25" t="s">
        <v>254</v>
      </c>
      <c r="O356" s="25" t="s">
        <v>52</v>
      </c>
      <c r="P356" s="4" t="s">
        <v>491</v>
      </c>
      <c r="Q356" s="25" t="s">
        <v>52</v>
      </c>
      <c r="R356" s="25" t="s">
        <v>91</v>
      </c>
      <c r="S356" s="52" t="str">
        <f t="shared" si="184"/>
        <v>statisticReach{type:"BattleKillMonsterEvent14_1",value:1}</v>
      </c>
      <c r="T356" s="52" t="s">
        <v>52</v>
      </c>
      <c r="U356" s="52" t="s">
        <v>623</v>
      </c>
      <c r="V356" s="52" t="s">
        <v>92</v>
      </c>
      <c r="W356" s="25">
        <f>VLOOKUP(V356,[1]界面跳转!$I:$J,2,FALSE)</f>
        <v>7254</v>
      </c>
      <c r="Y356" s="25" t="s">
        <v>56</v>
      </c>
      <c r="Z356" s="25" t="s">
        <v>57</v>
      </c>
      <c r="AA356" s="25">
        <f t="shared" si="185"/>
        <v>11014</v>
      </c>
      <c r="AB356" s="25">
        <v>6622314</v>
      </c>
      <c r="AD356" s="25">
        <v>11</v>
      </c>
      <c r="AE356" s="25">
        <f t="shared" si="200"/>
        <v>14</v>
      </c>
    </row>
    <row r="357" spans="1:31" s="25" customFormat="1" x14ac:dyDescent="0.45">
      <c r="A357" s="25">
        <f t="shared" si="181"/>
        <v>10012150</v>
      </c>
      <c r="B357" s="25">
        <v>0</v>
      </c>
      <c r="C357" s="25">
        <v>12</v>
      </c>
      <c r="D357" s="25">
        <f t="shared" si="199"/>
        <v>15</v>
      </c>
      <c r="E357" s="25" t="s">
        <v>600</v>
      </c>
      <c r="F357" s="25" t="s">
        <v>624</v>
      </c>
      <c r="G357" s="25" t="s">
        <v>89</v>
      </c>
      <c r="H357" s="25">
        <v>15</v>
      </c>
      <c r="I357" s="25" t="s">
        <v>90</v>
      </c>
      <c r="J357" s="25" t="str">
        <f t="shared" si="182"/>
        <v>清剿15级或更高级【普通】蛮族</v>
      </c>
      <c r="K357" s="25">
        <f t="shared" si="183"/>
        <v>10012150</v>
      </c>
      <c r="L357" s="25" t="s">
        <v>602</v>
      </c>
      <c r="M357" s="25">
        <f t="shared" si="201"/>
        <v>10601010</v>
      </c>
      <c r="N357" s="25" t="s">
        <v>254</v>
      </c>
      <c r="O357" s="25" t="s">
        <v>52</v>
      </c>
      <c r="P357" s="4" t="s">
        <v>491</v>
      </c>
      <c r="Q357" s="25" t="s">
        <v>52</v>
      </c>
      <c r="R357" s="25" t="s">
        <v>91</v>
      </c>
      <c r="S357" s="52" t="str">
        <f t="shared" si="184"/>
        <v>statisticReach{type:"BattleKillMonsterEvent15_1",value:1}</v>
      </c>
      <c r="T357" s="52" t="s">
        <v>52</v>
      </c>
      <c r="U357" s="52" t="s">
        <v>625</v>
      </c>
      <c r="V357" s="52" t="s">
        <v>92</v>
      </c>
      <c r="W357" s="25">
        <f>VLOOKUP(V357,[1]界面跳转!$I:$J,2,FALSE)</f>
        <v>7254</v>
      </c>
      <c r="Y357" s="25" t="s">
        <v>56</v>
      </c>
      <c r="Z357" s="25" t="s">
        <v>57</v>
      </c>
      <c r="AA357" s="25">
        <f t="shared" si="185"/>
        <v>11015</v>
      </c>
      <c r="AB357" s="25">
        <v>6622315</v>
      </c>
      <c r="AD357" s="25">
        <v>11</v>
      </c>
      <c r="AE357" s="25">
        <f t="shared" si="200"/>
        <v>15</v>
      </c>
    </row>
    <row r="358" spans="1:31" s="25" customFormat="1" x14ac:dyDescent="0.45">
      <c r="A358" s="25">
        <f t="shared" ref="A358:A372" si="202">10000000+B358*100000+C358*1000+D358*10</f>
        <v>10012160</v>
      </c>
      <c r="B358" s="25">
        <v>0</v>
      </c>
      <c r="C358" s="25">
        <v>12</v>
      </c>
      <c r="D358" s="25">
        <f t="shared" ref="D358:D372" si="203">IF(C358=C357,D357+1,1)</f>
        <v>16</v>
      </c>
      <c r="E358" s="25" t="s">
        <v>600</v>
      </c>
      <c r="F358" s="25" t="s">
        <v>626</v>
      </c>
      <c r="G358" s="25" t="s">
        <v>89</v>
      </c>
      <c r="H358" s="25">
        <v>16</v>
      </c>
      <c r="I358" s="25" t="s">
        <v>90</v>
      </c>
      <c r="J358" s="25" t="str">
        <f t="shared" ref="J358:J372" si="204">G358&amp;H358&amp;I358</f>
        <v>清剿16级或更高级【普通】蛮族</v>
      </c>
      <c r="K358" s="25">
        <f t="shared" ref="K358:K372" si="205">A358</f>
        <v>10012160</v>
      </c>
      <c r="L358" s="25" t="s">
        <v>602</v>
      </c>
      <c r="M358" s="25">
        <f t="shared" si="201"/>
        <v>10601010</v>
      </c>
      <c r="N358" s="25" t="s">
        <v>254</v>
      </c>
      <c r="O358" s="25" t="s">
        <v>52</v>
      </c>
      <c r="P358" s="4" t="s">
        <v>491</v>
      </c>
      <c r="Q358" s="25" t="s">
        <v>52</v>
      </c>
      <c r="R358" s="25" t="s">
        <v>91</v>
      </c>
      <c r="S358" s="52" t="str">
        <f t="shared" ref="S358:S372" si="206">SUBSTITUTE(R358,"@@@",H358)</f>
        <v>statisticReach{type:"BattleKillMonsterEvent16_1",value:1}</v>
      </c>
      <c r="T358" s="52" t="s">
        <v>52</v>
      </c>
      <c r="U358" s="52" t="s">
        <v>627</v>
      </c>
      <c r="V358" s="52" t="s">
        <v>92</v>
      </c>
      <c r="W358" s="25">
        <f>VLOOKUP(V358,[1]界面跳转!$I:$J,2,FALSE)</f>
        <v>7254</v>
      </c>
      <c r="Y358" s="25" t="s">
        <v>56</v>
      </c>
      <c r="Z358" s="25" t="s">
        <v>57</v>
      </c>
      <c r="AA358" s="25">
        <f t="shared" ref="AA358:AA372" si="207">AD358*1000+AE358</f>
        <v>11016</v>
      </c>
      <c r="AB358" s="25">
        <v>6622316</v>
      </c>
      <c r="AD358" s="25">
        <v>11</v>
      </c>
      <c r="AE358" s="25">
        <f t="shared" ref="AE358:AE372" si="208">IF(AD358=AD357,AE357+1,1)</f>
        <v>16</v>
      </c>
    </row>
    <row r="359" spans="1:31" s="25" customFormat="1" x14ac:dyDescent="0.45">
      <c r="A359" s="25">
        <f t="shared" si="202"/>
        <v>10012170</v>
      </c>
      <c r="B359" s="25">
        <v>0</v>
      </c>
      <c r="C359" s="25">
        <v>12</v>
      </c>
      <c r="D359" s="25">
        <f t="shared" si="203"/>
        <v>17</v>
      </c>
      <c r="E359" s="25" t="s">
        <v>600</v>
      </c>
      <c r="F359" s="25" t="s">
        <v>628</v>
      </c>
      <c r="G359" s="25" t="s">
        <v>89</v>
      </c>
      <c r="H359" s="25">
        <v>17</v>
      </c>
      <c r="I359" s="25" t="s">
        <v>90</v>
      </c>
      <c r="J359" s="25" t="str">
        <f t="shared" si="204"/>
        <v>清剿17级或更高级【普通】蛮族</v>
      </c>
      <c r="K359" s="25">
        <f t="shared" si="205"/>
        <v>10012170</v>
      </c>
      <c r="L359" s="25" t="s">
        <v>602</v>
      </c>
      <c r="M359" s="25">
        <f t="shared" si="201"/>
        <v>10601010</v>
      </c>
      <c r="N359" s="25" t="s">
        <v>254</v>
      </c>
      <c r="O359" s="25" t="s">
        <v>52</v>
      </c>
      <c r="P359" s="4" t="s">
        <v>491</v>
      </c>
      <c r="Q359" s="25" t="s">
        <v>52</v>
      </c>
      <c r="R359" s="25" t="s">
        <v>91</v>
      </c>
      <c r="S359" s="52" t="str">
        <f t="shared" si="206"/>
        <v>statisticReach{type:"BattleKillMonsterEvent17_1",value:1}</v>
      </c>
      <c r="T359" s="52" t="s">
        <v>52</v>
      </c>
      <c r="U359" s="52" t="s">
        <v>629</v>
      </c>
      <c r="V359" s="52" t="s">
        <v>92</v>
      </c>
      <c r="W359" s="25">
        <f>VLOOKUP(V359,[1]界面跳转!$I:$J,2,FALSE)</f>
        <v>7254</v>
      </c>
      <c r="Y359" s="25" t="s">
        <v>56</v>
      </c>
      <c r="Z359" s="25" t="s">
        <v>57</v>
      </c>
      <c r="AA359" s="25">
        <f t="shared" si="207"/>
        <v>11017</v>
      </c>
      <c r="AB359" s="25">
        <v>6622317</v>
      </c>
      <c r="AD359" s="25">
        <v>11</v>
      </c>
      <c r="AE359" s="25">
        <f t="shared" si="208"/>
        <v>17</v>
      </c>
    </row>
    <row r="360" spans="1:31" s="25" customFormat="1" x14ac:dyDescent="0.45">
      <c r="A360" s="25">
        <f t="shared" si="202"/>
        <v>10012180</v>
      </c>
      <c r="B360" s="25">
        <v>0</v>
      </c>
      <c r="C360" s="25">
        <v>12</v>
      </c>
      <c r="D360" s="25">
        <f t="shared" si="203"/>
        <v>18</v>
      </c>
      <c r="E360" s="25" t="s">
        <v>600</v>
      </c>
      <c r="F360" s="25" t="s">
        <v>630</v>
      </c>
      <c r="G360" s="25" t="s">
        <v>89</v>
      </c>
      <c r="H360" s="25">
        <v>18</v>
      </c>
      <c r="I360" s="25" t="s">
        <v>90</v>
      </c>
      <c r="J360" s="25" t="str">
        <f t="shared" si="204"/>
        <v>清剿18级或更高级【普通】蛮族</v>
      </c>
      <c r="K360" s="25">
        <f t="shared" si="205"/>
        <v>10012180</v>
      </c>
      <c r="L360" s="25" t="s">
        <v>602</v>
      </c>
      <c r="M360" s="25">
        <f t="shared" si="201"/>
        <v>10601010</v>
      </c>
      <c r="N360" s="25" t="s">
        <v>254</v>
      </c>
      <c r="O360" s="25" t="s">
        <v>52</v>
      </c>
      <c r="P360" s="4" t="s">
        <v>491</v>
      </c>
      <c r="Q360" s="25" t="s">
        <v>52</v>
      </c>
      <c r="R360" s="25" t="s">
        <v>91</v>
      </c>
      <c r="S360" s="52" t="str">
        <f t="shared" si="206"/>
        <v>statisticReach{type:"BattleKillMonsterEvent18_1",value:1}</v>
      </c>
      <c r="T360" s="52" t="s">
        <v>52</v>
      </c>
      <c r="U360" s="52" t="s">
        <v>631</v>
      </c>
      <c r="V360" s="52" t="s">
        <v>92</v>
      </c>
      <c r="W360" s="25">
        <f>VLOOKUP(V360,[1]界面跳转!$I:$J,2,FALSE)</f>
        <v>7254</v>
      </c>
      <c r="Y360" s="25" t="s">
        <v>56</v>
      </c>
      <c r="Z360" s="25" t="s">
        <v>57</v>
      </c>
      <c r="AA360" s="25">
        <f t="shared" si="207"/>
        <v>11018</v>
      </c>
      <c r="AB360" s="25">
        <v>6622318</v>
      </c>
      <c r="AD360" s="25">
        <v>11</v>
      </c>
      <c r="AE360" s="25">
        <f t="shared" si="208"/>
        <v>18</v>
      </c>
    </row>
    <row r="361" spans="1:31" s="25" customFormat="1" x14ac:dyDescent="0.45">
      <c r="A361" s="25">
        <f t="shared" si="202"/>
        <v>10012190</v>
      </c>
      <c r="B361" s="25">
        <v>0</v>
      </c>
      <c r="C361" s="25">
        <v>12</v>
      </c>
      <c r="D361" s="25">
        <f t="shared" si="203"/>
        <v>19</v>
      </c>
      <c r="E361" s="25" t="s">
        <v>600</v>
      </c>
      <c r="F361" s="25" t="s">
        <v>632</v>
      </c>
      <c r="G361" s="25" t="s">
        <v>89</v>
      </c>
      <c r="H361" s="25">
        <v>19</v>
      </c>
      <c r="I361" s="25" t="s">
        <v>90</v>
      </c>
      <c r="J361" s="25" t="str">
        <f t="shared" si="204"/>
        <v>清剿19级或更高级【普通】蛮族</v>
      </c>
      <c r="K361" s="25">
        <f t="shared" si="205"/>
        <v>10012190</v>
      </c>
      <c r="L361" s="25" t="s">
        <v>602</v>
      </c>
      <c r="M361" s="25">
        <f t="shared" si="201"/>
        <v>10601010</v>
      </c>
      <c r="N361" s="25" t="s">
        <v>254</v>
      </c>
      <c r="O361" s="25" t="s">
        <v>52</v>
      </c>
      <c r="P361" s="4" t="s">
        <v>491</v>
      </c>
      <c r="Q361" s="25" t="s">
        <v>52</v>
      </c>
      <c r="R361" s="25" t="s">
        <v>91</v>
      </c>
      <c r="S361" s="52" t="str">
        <f t="shared" si="206"/>
        <v>statisticReach{type:"BattleKillMonsterEvent19_1",value:1}</v>
      </c>
      <c r="T361" s="52" t="s">
        <v>52</v>
      </c>
      <c r="U361" s="52" t="s">
        <v>633</v>
      </c>
      <c r="V361" s="52" t="s">
        <v>92</v>
      </c>
      <c r="W361" s="25">
        <f>VLOOKUP(V361,[1]界面跳转!$I:$J,2,FALSE)</f>
        <v>7254</v>
      </c>
      <c r="Y361" s="25" t="s">
        <v>56</v>
      </c>
      <c r="Z361" s="25" t="s">
        <v>57</v>
      </c>
      <c r="AA361" s="25">
        <f t="shared" si="207"/>
        <v>11019</v>
      </c>
      <c r="AB361" s="25">
        <v>6622319</v>
      </c>
      <c r="AD361" s="25">
        <v>11</v>
      </c>
      <c r="AE361" s="25">
        <f t="shared" si="208"/>
        <v>19</v>
      </c>
    </row>
    <row r="362" spans="1:31" s="25" customFormat="1" x14ac:dyDescent="0.45">
      <c r="A362" s="25">
        <f t="shared" si="202"/>
        <v>10012200</v>
      </c>
      <c r="B362" s="25">
        <v>0</v>
      </c>
      <c r="C362" s="25">
        <v>12</v>
      </c>
      <c r="D362" s="25">
        <f t="shared" si="203"/>
        <v>20</v>
      </c>
      <c r="E362" s="25" t="s">
        <v>600</v>
      </c>
      <c r="F362" s="25" t="s">
        <v>634</v>
      </c>
      <c r="G362" s="25" t="s">
        <v>89</v>
      </c>
      <c r="H362" s="25">
        <v>20</v>
      </c>
      <c r="I362" s="25" t="s">
        <v>90</v>
      </c>
      <c r="J362" s="25" t="str">
        <f t="shared" si="204"/>
        <v>清剿20级或更高级【普通】蛮族</v>
      </c>
      <c r="K362" s="25">
        <f t="shared" si="205"/>
        <v>10012200</v>
      </c>
      <c r="L362" s="25" t="s">
        <v>602</v>
      </c>
      <c r="M362" s="25">
        <f t="shared" si="201"/>
        <v>10601010</v>
      </c>
      <c r="N362" s="25" t="s">
        <v>254</v>
      </c>
      <c r="O362" s="25" t="s">
        <v>52</v>
      </c>
      <c r="P362" s="4" t="s">
        <v>491</v>
      </c>
      <c r="Q362" s="25" t="s">
        <v>52</v>
      </c>
      <c r="R362" s="25" t="s">
        <v>91</v>
      </c>
      <c r="S362" s="52" t="str">
        <f t="shared" si="206"/>
        <v>statisticReach{type:"BattleKillMonsterEvent20_1",value:1}</v>
      </c>
      <c r="T362" s="52" t="s">
        <v>52</v>
      </c>
      <c r="U362" s="52" t="s">
        <v>635</v>
      </c>
      <c r="V362" s="52" t="s">
        <v>92</v>
      </c>
      <c r="W362" s="25">
        <f>VLOOKUP(V362,[1]界面跳转!$I:$J,2,FALSE)</f>
        <v>7254</v>
      </c>
      <c r="Y362" s="25" t="s">
        <v>56</v>
      </c>
      <c r="Z362" s="25" t="s">
        <v>57</v>
      </c>
      <c r="AA362" s="25">
        <f t="shared" si="207"/>
        <v>11020</v>
      </c>
      <c r="AB362" s="25">
        <v>6622320</v>
      </c>
      <c r="AD362" s="25">
        <v>11</v>
      </c>
      <c r="AE362" s="25">
        <f t="shared" si="208"/>
        <v>20</v>
      </c>
    </row>
    <row r="363" spans="1:31" s="25" customFormat="1" x14ac:dyDescent="0.45">
      <c r="A363" s="25">
        <f t="shared" si="202"/>
        <v>10012210</v>
      </c>
      <c r="B363" s="25">
        <v>0</v>
      </c>
      <c r="C363" s="25">
        <v>12</v>
      </c>
      <c r="D363" s="25">
        <f t="shared" si="203"/>
        <v>21</v>
      </c>
      <c r="E363" s="25" t="s">
        <v>600</v>
      </c>
      <c r="F363" s="25" t="s">
        <v>636</v>
      </c>
      <c r="G363" s="25" t="s">
        <v>89</v>
      </c>
      <c r="H363" s="25">
        <v>21</v>
      </c>
      <c r="I363" s="25" t="s">
        <v>90</v>
      </c>
      <c r="J363" s="25" t="str">
        <f t="shared" si="204"/>
        <v>清剿21级或更高级【普通】蛮族</v>
      </c>
      <c r="K363" s="25">
        <f t="shared" si="205"/>
        <v>10012210</v>
      </c>
      <c r="L363" s="25" t="s">
        <v>602</v>
      </c>
      <c r="M363" s="25">
        <f t="shared" si="201"/>
        <v>10601010</v>
      </c>
      <c r="N363" s="25" t="s">
        <v>254</v>
      </c>
      <c r="O363" s="25" t="s">
        <v>52</v>
      </c>
      <c r="P363" s="4" t="s">
        <v>491</v>
      </c>
      <c r="Q363" s="25" t="s">
        <v>52</v>
      </c>
      <c r="R363" s="25" t="s">
        <v>91</v>
      </c>
      <c r="S363" s="52" t="str">
        <f t="shared" si="206"/>
        <v>statisticReach{type:"BattleKillMonsterEvent21_1",value:1}</v>
      </c>
      <c r="T363" s="52" t="s">
        <v>52</v>
      </c>
      <c r="U363" s="52" t="s">
        <v>637</v>
      </c>
      <c r="V363" s="52" t="s">
        <v>92</v>
      </c>
      <c r="W363" s="25">
        <f>VLOOKUP(V363,[1]界面跳转!$I:$J,2,FALSE)</f>
        <v>7254</v>
      </c>
      <c r="Y363" s="25" t="s">
        <v>56</v>
      </c>
      <c r="Z363" s="25" t="s">
        <v>57</v>
      </c>
      <c r="AA363" s="25">
        <f t="shared" si="207"/>
        <v>11021</v>
      </c>
      <c r="AB363" s="25">
        <v>6622321</v>
      </c>
      <c r="AD363" s="25">
        <v>11</v>
      </c>
      <c r="AE363" s="25">
        <f t="shared" si="208"/>
        <v>21</v>
      </c>
    </row>
    <row r="364" spans="1:31" s="25" customFormat="1" x14ac:dyDescent="0.45">
      <c r="A364" s="25">
        <f t="shared" si="202"/>
        <v>10012220</v>
      </c>
      <c r="B364" s="25">
        <v>0</v>
      </c>
      <c r="C364" s="25">
        <v>12</v>
      </c>
      <c r="D364" s="25">
        <f t="shared" si="203"/>
        <v>22</v>
      </c>
      <c r="E364" s="25" t="s">
        <v>600</v>
      </c>
      <c r="F364" s="25" t="s">
        <v>638</v>
      </c>
      <c r="G364" s="25" t="s">
        <v>89</v>
      </c>
      <c r="H364" s="25">
        <v>22</v>
      </c>
      <c r="I364" s="25" t="s">
        <v>90</v>
      </c>
      <c r="J364" s="25" t="str">
        <f t="shared" si="204"/>
        <v>清剿22级或更高级【普通】蛮族</v>
      </c>
      <c r="K364" s="25">
        <f t="shared" si="205"/>
        <v>10012220</v>
      </c>
      <c r="L364" s="25" t="s">
        <v>602</v>
      </c>
      <c r="M364" s="25">
        <f t="shared" si="201"/>
        <v>10601010</v>
      </c>
      <c r="N364" s="25" t="s">
        <v>254</v>
      </c>
      <c r="O364" s="25" t="s">
        <v>52</v>
      </c>
      <c r="P364" s="4" t="s">
        <v>491</v>
      </c>
      <c r="Q364" s="25" t="s">
        <v>52</v>
      </c>
      <c r="R364" s="25" t="s">
        <v>91</v>
      </c>
      <c r="S364" s="52" t="str">
        <f t="shared" si="206"/>
        <v>statisticReach{type:"BattleKillMonsterEvent22_1",value:1}</v>
      </c>
      <c r="T364" s="52" t="s">
        <v>52</v>
      </c>
      <c r="U364" s="52" t="s">
        <v>639</v>
      </c>
      <c r="V364" s="52" t="s">
        <v>92</v>
      </c>
      <c r="W364" s="25">
        <f>VLOOKUP(V364,[1]界面跳转!$I:$J,2,FALSE)</f>
        <v>7254</v>
      </c>
      <c r="Y364" s="25" t="s">
        <v>56</v>
      </c>
      <c r="Z364" s="25" t="s">
        <v>57</v>
      </c>
      <c r="AA364" s="25">
        <f t="shared" si="207"/>
        <v>11022</v>
      </c>
      <c r="AB364" s="25">
        <v>6622322</v>
      </c>
      <c r="AD364" s="25">
        <v>11</v>
      </c>
      <c r="AE364" s="25">
        <f t="shared" si="208"/>
        <v>22</v>
      </c>
    </row>
    <row r="365" spans="1:31" s="25" customFormat="1" x14ac:dyDescent="0.45">
      <c r="A365" s="25">
        <f t="shared" si="202"/>
        <v>10012230</v>
      </c>
      <c r="B365" s="25">
        <v>0</v>
      </c>
      <c r="C365" s="25">
        <v>12</v>
      </c>
      <c r="D365" s="25">
        <f t="shared" si="203"/>
        <v>23</v>
      </c>
      <c r="E365" s="25" t="s">
        <v>600</v>
      </c>
      <c r="F365" s="25" t="s">
        <v>640</v>
      </c>
      <c r="G365" s="25" t="s">
        <v>89</v>
      </c>
      <c r="H365" s="25">
        <v>23</v>
      </c>
      <c r="I365" s="25" t="s">
        <v>90</v>
      </c>
      <c r="J365" s="25" t="str">
        <f t="shared" si="204"/>
        <v>清剿23级或更高级【普通】蛮族</v>
      </c>
      <c r="K365" s="25">
        <f t="shared" si="205"/>
        <v>10012230</v>
      </c>
      <c r="L365" s="25" t="s">
        <v>602</v>
      </c>
      <c r="M365" s="25">
        <f t="shared" si="201"/>
        <v>10601010</v>
      </c>
      <c r="N365" s="25" t="s">
        <v>254</v>
      </c>
      <c r="O365" s="25" t="s">
        <v>52</v>
      </c>
      <c r="P365" s="4" t="s">
        <v>491</v>
      </c>
      <c r="Q365" s="25" t="s">
        <v>52</v>
      </c>
      <c r="R365" s="25" t="s">
        <v>91</v>
      </c>
      <c r="S365" s="52" t="str">
        <f t="shared" si="206"/>
        <v>statisticReach{type:"BattleKillMonsterEvent23_1",value:1}</v>
      </c>
      <c r="T365" s="52" t="s">
        <v>52</v>
      </c>
      <c r="U365" s="52" t="s">
        <v>641</v>
      </c>
      <c r="V365" s="52" t="s">
        <v>92</v>
      </c>
      <c r="W365" s="25">
        <f>VLOOKUP(V365,[1]界面跳转!$I:$J,2,FALSE)</f>
        <v>7254</v>
      </c>
      <c r="Y365" s="25" t="s">
        <v>56</v>
      </c>
      <c r="Z365" s="25" t="s">
        <v>57</v>
      </c>
      <c r="AA365" s="25">
        <f t="shared" si="207"/>
        <v>11023</v>
      </c>
      <c r="AB365" s="25">
        <v>6622323</v>
      </c>
      <c r="AD365" s="25">
        <v>11</v>
      </c>
      <c r="AE365" s="25">
        <f t="shared" si="208"/>
        <v>23</v>
      </c>
    </row>
    <row r="366" spans="1:31" s="25" customFormat="1" x14ac:dyDescent="0.45">
      <c r="A366" s="25">
        <f t="shared" si="202"/>
        <v>10012240</v>
      </c>
      <c r="B366" s="25">
        <v>0</v>
      </c>
      <c r="C366" s="25">
        <v>12</v>
      </c>
      <c r="D366" s="25">
        <f t="shared" si="203"/>
        <v>24</v>
      </c>
      <c r="E366" s="25" t="s">
        <v>600</v>
      </c>
      <c r="F366" s="25" t="s">
        <v>642</v>
      </c>
      <c r="G366" s="25" t="s">
        <v>89</v>
      </c>
      <c r="H366" s="25">
        <v>24</v>
      </c>
      <c r="I366" s="25" t="s">
        <v>90</v>
      </c>
      <c r="J366" s="25" t="str">
        <f t="shared" si="204"/>
        <v>清剿24级或更高级【普通】蛮族</v>
      </c>
      <c r="K366" s="25">
        <f t="shared" si="205"/>
        <v>10012240</v>
      </c>
      <c r="L366" s="25" t="s">
        <v>602</v>
      </c>
      <c r="M366" s="25">
        <f t="shared" si="201"/>
        <v>10601010</v>
      </c>
      <c r="N366" s="25" t="s">
        <v>254</v>
      </c>
      <c r="O366" s="25" t="s">
        <v>52</v>
      </c>
      <c r="P366" s="4" t="s">
        <v>491</v>
      </c>
      <c r="Q366" s="25" t="s">
        <v>52</v>
      </c>
      <c r="R366" s="25" t="s">
        <v>91</v>
      </c>
      <c r="S366" s="52" t="str">
        <f t="shared" si="206"/>
        <v>statisticReach{type:"BattleKillMonsterEvent24_1",value:1}</v>
      </c>
      <c r="T366" s="52" t="s">
        <v>52</v>
      </c>
      <c r="U366" s="52" t="s">
        <v>643</v>
      </c>
      <c r="V366" s="52" t="s">
        <v>92</v>
      </c>
      <c r="W366" s="25">
        <f>VLOOKUP(V366,[1]界面跳转!$I:$J,2,FALSE)</f>
        <v>7254</v>
      </c>
      <c r="Y366" s="25" t="s">
        <v>56</v>
      </c>
      <c r="Z366" s="25" t="s">
        <v>57</v>
      </c>
      <c r="AA366" s="25">
        <f t="shared" si="207"/>
        <v>11024</v>
      </c>
      <c r="AB366" s="25">
        <v>6622324</v>
      </c>
      <c r="AD366" s="25">
        <v>11</v>
      </c>
      <c r="AE366" s="25">
        <f t="shared" si="208"/>
        <v>24</v>
      </c>
    </row>
    <row r="367" spans="1:31" s="25" customFormat="1" x14ac:dyDescent="0.45">
      <c r="A367" s="25">
        <f t="shared" si="202"/>
        <v>10012250</v>
      </c>
      <c r="B367" s="25">
        <v>0</v>
      </c>
      <c r="C367" s="25">
        <v>12</v>
      </c>
      <c r="D367" s="25">
        <f t="shared" si="203"/>
        <v>25</v>
      </c>
      <c r="E367" s="25" t="s">
        <v>600</v>
      </c>
      <c r="F367" s="25" t="s">
        <v>644</v>
      </c>
      <c r="G367" s="25" t="s">
        <v>89</v>
      </c>
      <c r="H367" s="25">
        <v>25</v>
      </c>
      <c r="I367" s="25" t="s">
        <v>90</v>
      </c>
      <c r="J367" s="25" t="str">
        <f t="shared" si="204"/>
        <v>清剿25级或更高级【普通】蛮族</v>
      </c>
      <c r="K367" s="25">
        <f t="shared" si="205"/>
        <v>10012250</v>
      </c>
      <c r="L367" s="25" t="s">
        <v>602</v>
      </c>
      <c r="M367" s="25">
        <f t="shared" si="201"/>
        <v>10601010</v>
      </c>
      <c r="N367" s="25" t="s">
        <v>254</v>
      </c>
      <c r="O367" s="25" t="s">
        <v>52</v>
      </c>
      <c r="P367" s="4" t="s">
        <v>491</v>
      </c>
      <c r="Q367" s="25" t="s">
        <v>52</v>
      </c>
      <c r="R367" s="25" t="s">
        <v>91</v>
      </c>
      <c r="S367" s="52" t="str">
        <f t="shared" si="206"/>
        <v>statisticReach{type:"BattleKillMonsterEvent25_1",value:1}</v>
      </c>
      <c r="T367" s="52" t="s">
        <v>52</v>
      </c>
      <c r="U367" s="52" t="s">
        <v>645</v>
      </c>
      <c r="V367" s="52" t="s">
        <v>92</v>
      </c>
      <c r="W367" s="25">
        <f>VLOOKUP(V367,[1]界面跳转!$I:$J,2,FALSE)</f>
        <v>7254</v>
      </c>
      <c r="Y367" s="25" t="s">
        <v>56</v>
      </c>
      <c r="Z367" s="25" t="s">
        <v>57</v>
      </c>
      <c r="AA367" s="25">
        <f t="shared" si="207"/>
        <v>11025</v>
      </c>
      <c r="AB367" s="25">
        <v>6622325</v>
      </c>
      <c r="AD367" s="25">
        <v>11</v>
      </c>
      <c r="AE367" s="25">
        <f t="shared" si="208"/>
        <v>25</v>
      </c>
    </row>
    <row r="368" spans="1:31" s="25" customFormat="1" x14ac:dyDescent="0.45">
      <c r="A368" s="25">
        <f t="shared" si="202"/>
        <v>10012260</v>
      </c>
      <c r="B368" s="25">
        <v>0</v>
      </c>
      <c r="C368" s="25">
        <v>12</v>
      </c>
      <c r="D368" s="25">
        <f t="shared" si="203"/>
        <v>26</v>
      </c>
      <c r="E368" s="25" t="s">
        <v>600</v>
      </c>
      <c r="F368" s="25" t="s">
        <v>646</v>
      </c>
      <c r="G368" s="25" t="s">
        <v>89</v>
      </c>
      <c r="H368" s="25">
        <v>26</v>
      </c>
      <c r="I368" s="25" t="s">
        <v>90</v>
      </c>
      <c r="J368" s="25" t="str">
        <f t="shared" si="204"/>
        <v>清剿26级或更高级【普通】蛮族</v>
      </c>
      <c r="K368" s="25">
        <f t="shared" si="205"/>
        <v>10012260</v>
      </c>
      <c r="L368" s="25" t="s">
        <v>602</v>
      </c>
      <c r="M368" s="25">
        <f t="shared" si="201"/>
        <v>10601010</v>
      </c>
      <c r="N368" s="25" t="s">
        <v>254</v>
      </c>
      <c r="O368" s="25" t="s">
        <v>52</v>
      </c>
      <c r="P368" s="4" t="s">
        <v>491</v>
      </c>
      <c r="Q368" s="25" t="s">
        <v>52</v>
      </c>
      <c r="R368" s="25" t="s">
        <v>91</v>
      </c>
      <c r="S368" s="52" t="str">
        <f t="shared" si="206"/>
        <v>statisticReach{type:"BattleKillMonsterEvent26_1",value:1}</v>
      </c>
      <c r="T368" s="52" t="s">
        <v>52</v>
      </c>
      <c r="U368" s="52" t="s">
        <v>647</v>
      </c>
      <c r="V368" s="52" t="s">
        <v>92</v>
      </c>
      <c r="W368" s="25">
        <f>VLOOKUP(V368,[1]界面跳转!$I:$J,2,FALSE)</f>
        <v>7254</v>
      </c>
      <c r="Y368" s="25" t="s">
        <v>56</v>
      </c>
      <c r="Z368" s="25" t="s">
        <v>57</v>
      </c>
      <c r="AA368" s="25">
        <f t="shared" si="207"/>
        <v>11026</v>
      </c>
      <c r="AB368" s="25">
        <v>6622326</v>
      </c>
      <c r="AD368" s="25">
        <v>11</v>
      </c>
      <c r="AE368" s="25">
        <f t="shared" si="208"/>
        <v>26</v>
      </c>
    </row>
    <row r="369" spans="1:31" s="25" customFormat="1" x14ac:dyDescent="0.45">
      <c r="A369" s="25">
        <f t="shared" si="202"/>
        <v>10012270</v>
      </c>
      <c r="B369" s="25">
        <v>0</v>
      </c>
      <c r="C369" s="25">
        <v>12</v>
      </c>
      <c r="D369" s="25">
        <f t="shared" si="203"/>
        <v>27</v>
      </c>
      <c r="E369" s="25" t="s">
        <v>600</v>
      </c>
      <c r="F369" s="25" t="s">
        <v>648</v>
      </c>
      <c r="G369" s="25" t="s">
        <v>89</v>
      </c>
      <c r="H369" s="25">
        <v>27</v>
      </c>
      <c r="I369" s="25" t="s">
        <v>90</v>
      </c>
      <c r="J369" s="25" t="str">
        <f t="shared" si="204"/>
        <v>清剿27级或更高级【普通】蛮族</v>
      </c>
      <c r="K369" s="25">
        <f t="shared" si="205"/>
        <v>10012270</v>
      </c>
      <c r="L369" s="25" t="s">
        <v>602</v>
      </c>
      <c r="M369" s="25">
        <f t="shared" si="201"/>
        <v>10601010</v>
      </c>
      <c r="N369" s="25" t="s">
        <v>254</v>
      </c>
      <c r="O369" s="25" t="s">
        <v>52</v>
      </c>
      <c r="P369" s="4" t="s">
        <v>491</v>
      </c>
      <c r="Q369" s="25" t="s">
        <v>52</v>
      </c>
      <c r="R369" s="25" t="s">
        <v>91</v>
      </c>
      <c r="S369" s="52" t="str">
        <f t="shared" si="206"/>
        <v>statisticReach{type:"BattleKillMonsterEvent27_1",value:1}</v>
      </c>
      <c r="T369" s="52" t="s">
        <v>52</v>
      </c>
      <c r="U369" s="52" t="s">
        <v>649</v>
      </c>
      <c r="V369" s="52" t="s">
        <v>92</v>
      </c>
      <c r="W369" s="25">
        <f>VLOOKUP(V369,[1]界面跳转!$I:$J,2,FALSE)</f>
        <v>7254</v>
      </c>
      <c r="Y369" s="25" t="s">
        <v>56</v>
      </c>
      <c r="Z369" s="25" t="s">
        <v>57</v>
      </c>
      <c r="AA369" s="25">
        <f t="shared" si="207"/>
        <v>11027</v>
      </c>
      <c r="AB369" s="25">
        <v>6622327</v>
      </c>
      <c r="AD369" s="25">
        <v>11</v>
      </c>
      <c r="AE369" s="25">
        <f t="shared" si="208"/>
        <v>27</v>
      </c>
    </row>
    <row r="370" spans="1:31" s="25" customFormat="1" x14ac:dyDescent="0.45">
      <c r="A370" s="25">
        <f t="shared" si="202"/>
        <v>10012280</v>
      </c>
      <c r="B370" s="25">
        <v>0</v>
      </c>
      <c r="C370" s="25">
        <v>12</v>
      </c>
      <c r="D370" s="25">
        <f t="shared" si="203"/>
        <v>28</v>
      </c>
      <c r="E370" s="25" t="s">
        <v>600</v>
      </c>
      <c r="F370" s="25" t="s">
        <v>650</v>
      </c>
      <c r="G370" s="25" t="s">
        <v>89</v>
      </c>
      <c r="H370" s="25">
        <v>28</v>
      </c>
      <c r="I370" s="25" t="s">
        <v>90</v>
      </c>
      <c r="J370" s="25" t="str">
        <f t="shared" si="204"/>
        <v>清剿28级或更高级【普通】蛮族</v>
      </c>
      <c r="K370" s="25">
        <f t="shared" si="205"/>
        <v>10012280</v>
      </c>
      <c r="L370" s="25" t="s">
        <v>602</v>
      </c>
      <c r="M370" s="25">
        <f t="shared" si="201"/>
        <v>10601010</v>
      </c>
      <c r="N370" s="25" t="s">
        <v>254</v>
      </c>
      <c r="O370" s="25" t="s">
        <v>52</v>
      </c>
      <c r="P370" s="4" t="s">
        <v>491</v>
      </c>
      <c r="Q370" s="25" t="s">
        <v>52</v>
      </c>
      <c r="R370" s="25" t="s">
        <v>91</v>
      </c>
      <c r="S370" s="52" t="str">
        <f t="shared" si="206"/>
        <v>statisticReach{type:"BattleKillMonsterEvent28_1",value:1}</v>
      </c>
      <c r="T370" s="52" t="s">
        <v>52</v>
      </c>
      <c r="U370" s="52" t="s">
        <v>651</v>
      </c>
      <c r="V370" s="52" t="s">
        <v>92</v>
      </c>
      <c r="W370" s="25">
        <f>VLOOKUP(V370,[1]界面跳转!$I:$J,2,FALSE)</f>
        <v>7254</v>
      </c>
      <c r="Y370" s="25" t="s">
        <v>56</v>
      </c>
      <c r="Z370" s="25" t="s">
        <v>57</v>
      </c>
      <c r="AA370" s="25">
        <f t="shared" si="207"/>
        <v>11028</v>
      </c>
      <c r="AB370" s="25">
        <v>6622328</v>
      </c>
      <c r="AD370" s="25">
        <v>11</v>
      </c>
      <c r="AE370" s="25">
        <f t="shared" si="208"/>
        <v>28</v>
      </c>
    </row>
    <row r="371" spans="1:31" s="25" customFormat="1" x14ac:dyDescent="0.45">
      <c r="A371" s="25">
        <f t="shared" si="202"/>
        <v>10012290</v>
      </c>
      <c r="B371" s="25">
        <v>0</v>
      </c>
      <c r="C371" s="25">
        <v>12</v>
      </c>
      <c r="D371" s="25">
        <f t="shared" si="203"/>
        <v>29</v>
      </c>
      <c r="E371" s="25" t="s">
        <v>600</v>
      </c>
      <c r="F371" s="25" t="s">
        <v>652</v>
      </c>
      <c r="G371" s="25" t="s">
        <v>89</v>
      </c>
      <c r="H371" s="25">
        <v>29</v>
      </c>
      <c r="I371" s="25" t="s">
        <v>90</v>
      </c>
      <c r="J371" s="25" t="str">
        <f t="shared" si="204"/>
        <v>清剿29级或更高级【普通】蛮族</v>
      </c>
      <c r="K371" s="25">
        <f t="shared" si="205"/>
        <v>10012290</v>
      </c>
      <c r="L371" s="25" t="s">
        <v>602</v>
      </c>
      <c r="M371" s="25">
        <f t="shared" ref="M371:M402" si="209">VLOOKUP(L371,J:K,2,FALSE)</f>
        <v>10601010</v>
      </c>
      <c r="N371" s="25" t="s">
        <v>254</v>
      </c>
      <c r="O371" s="25" t="s">
        <v>52</v>
      </c>
      <c r="P371" s="4" t="s">
        <v>491</v>
      </c>
      <c r="Q371" s="25" t="s">
        <v>52</v>
      </c>
      <c r="R371" s="25" t="s">
        <v>91</v>
      </c>
      <c r="S371" s="52" t="str">
        <f t="shared" si="206"/>
        <v>statisticReach{type:"BattleKillMonsterEvent29_1",value:1}</v>
      </c>
      <c r="T371" s="52" t="s">
        <v>52</v>
      </c>
      <c r="U371" s="52" t="s">
        <v>653</v>
      </c>
      <c r="V371" s="52" t="s">
        <v>92</v>
      </c>
      <c r="W371" s="25">
        <f>VLOOKUP(V371,[1]界面跳转!$I:$J,2,FALSE)</f>
        <v>7254</v>
      </c>
      <c r="Y371" s="25" t="s">
        <v>56</v>
      </c>
      <c r="Z371" s="25" t="s">
        <v>57</v>
      </c>
      <c r="AA371" s="25">
        <f t="shared" si="207"/>
        <v>11029</v>
      </c>
      <c r="AB371" s="25">
        <v>6622329</v>
      </c>
      <c r="AD371" s="25">
        <v>11</v>
      </c>
      <c r="AE371" s="25">
        <f t="shared" si="208"/>
        <v>29</v>
      </c>
    </row>
    <row r="372" spans="1:31" s="25" customFormat="1" x14ac:dyDescent="0.45">
      <c r="A372" s="25">
        <f t="shared" si="202"/>
        <v>10012300</v>
      </c>
      <c r="B372" s="25">
        <v>0</v>
      </c>
      <c r="C372" s="25">
        <v>12</v>
      </c>
      <c r="D372" s="25">
        <f t="shared" si="203"/>
        <v>30</v>
      </c>
      <c r="E372" s="25" t="s">
        <v>600</v>
      </c>
      <c r="F372" s="25" t="s">
        <v>654</v>
      </c>
      <c r="G372" s="25" t="s">
        <v>89</v>
      </c>
      <c r="H372" s="25">
        <v>30</v>
      </c>
      <c r="I372" s="25" t="s">
        <v>90</v>
      </c>
      <c r="J372" s="25" t="str">
        <f t="shared" si="204"/>
        <v>清剿30级或更高级【普通】蛮族</v>
      </c>
      <c r="K372" s="25">
        <f t="shared" si="205"/>
        <v>10012300</v>
      </c>
      <c r="L372" s="25" t="s">
        <v>602</v>
      </c>
      <c r="M372" s="25">
        <f t="shared" si="209"/>
        <v>10601010</v>
      </c>
      <c r="N372" s="25" t="s">
        <v>254</v>
      </c>
      <c r="O372" s="25" t="s">
        <v>52</v>
      </c>
      <c r="P372" s="4" t="s">
        <v>491</v>
      </c>
      <c r="Q372" s="25" t="s">
        <v>52</v>
      </c>
      <c r="R372" s="25" t="s">
        <v>91</v>
      </c>
      <c r="S372" s="52" t="str">
        <f t="shared" si="206"/>
        <v>statisticReach{type:"BattleKillMonsterEvent30_1",value:1}</v>
      </c>
      <c r="T372" s="52" t="s">
        <v>52</v>
      </c>
      <c r="U372" s="52" t="s">
        <v>655</v>
      </c>
      <c r="V372" s="52" t="s">
        <v>92</v>
      </c>
      <c r="W372" s="25">
        <f>VLOOKUP(V372,[1]界面跳转!$I:$J,2,FALSE)</f>
        <v>7254</v>
      </c>
      <c r="Y372" s="25" t="s">
        <v>56</v>
      </c>
      <c r="Z372" s="25" t="s">
        <v>57</v>
      </c>
      <c r="AA372" s="25">
        <f t="shared" si="207"/>
        <v>11030</v>
      </c>
      <c r="AB372" s="25">
        <v>6622330</v>
      </c>
      <c r="AD372" s="25">
        <v>11</v>
      </c>
      <c r="AE372" s="25">
        <f t="shared" si="208"/>
        <v>30</v>
      </c>
    </row>
    <row r="373" spans="1:31" s="23" customFormat="1" x14ac:dyDescent="0.45">
      <c r="A373" s="23">
        <f t="shared" si="181"/>
        <v>10013010</v>
      </c>
      <c r="B373" s="23">
        <v>0</v>
      </c>
      <c r="C373" s="23">
        <v>13</v>
      </c>
      <c r="D373" s="23">
        <f>IF(C373=C357,D357+1,1)</f>
        <v>1</v>
      </c>
      <c r="E373" s="23" t="s">
        <v>656</v>
      </c>
      <c r="F373" s="23" t="s">
        <v>298</v>
      </c>
      <c r="G373" s="23" t="s">
        <v>189</v>
      </c>
      <c r="H373" s="23">
        <v>3</v>
      </c>
      <c r="I373" s="23" t="s">
        <v>59</v>
      </c>
      <c r="J373" s="23" t="str">
        <f t="shared" si="182"/>
        <v>清剿任意等级【普通】蛮族3次</v>
      </c>
      <c r="K373" s="23">
        <f t="shared" si="183"/>
        <v>10013010</v>
      </c>
      <c r="L373" s="23" t="s">
        <v>602</v>
      </c>
      <c r="M373" s="23">
        <f t="shared" si="209"/>
        <v>10601010</v>
      </c>
      <c r="N373" s="23" t="s">
        <v>254</v>
      </c>
      <c r="O373" s="23" t="s">
        <v>52</v>
      </c>
      <c r="P373" s="4" t="s">
        <v>491</v>
      </c>
      <c r="Q373" s="23" t="s">
        <v>52</v>
      </c>
      <c r="R373" s="23" t="s">
        <v>190</v>
      </c>
      <c r="S373" s="24" t="str">
        <f t="shared" si="184"/>
        <v>statisticReach{type:"BattleKillMonsterEvent0_1",value:3}</v>
      </c>
      <c r="T373" s="24" t="s">
        <v>52</v>
      </c>
      <c r="U373" s="24" t="s">
        <v>191</v>
      </c>
      <c r="V373" s="24" t="s">
        <v>92</v>
      </c>
      <c r="W373" s="23">
        <f>VLOOKUP(V373,[1]界面跳转!$I:$J,2,FALSE)</f>
        <v>7254</v>
      </c>
      <c r="Y373" s="23" t="s">
        <v>56</v>
      </c>
      <c r="Z373" s="23" t="s">
        <v>57</v>
      </c>
      <c r="AA373" s="23">
        <f t="shared" si="185"/>
        <v>12001</v>
      </c>
      <c r="AB373" s="23">
        <v>6622301</v>
      </c>
      <c r="AD373" s="23">
        <v>12</v>
      </c>
      <c r="AE373" s="23">
        <f>IF(AD373=AD357,AE357+1,1)</f>
        <v>1</v>
      </c>
    </row>
    <row r="374" spans="1:31" s="23" customFormat="1" x14ac:dyDescent="0.45">
      <c r="A374" s="23">
        <f t="shared" si="181"/>
        <v>10013020</v>
      </c>
      <c r="B374" s="23">
        <v>0</v>
      </c>
      <c r="C374" s="23">
        <v>13</v>
      </c>
      <c r="D374" s="23">
        <f t="shared" si="199"/>
        <v>2</v>
      </c>
      <c r="E374" s="23" t="s">
        <v>656</v>
      </c>
      <c r="F374" s="23" t="s">
        <v>657</v>
      </c>
      <c r="G374" s="23" t="s">
        <v>189</v>
      </c>
      <c r="H374" s="23">
        <v>5</v>
      </c>
      <c r="I374" s="23" t="s">
        <v>59</v>
      </c>
      <c r="J374" s="23" t="str">
        <f t="shared" si="182"/>
        <v>清剿任意等级【普通】蛮族5次</v>
      </c>
      <c r="K374" s="23">
        <f t="shared" si="183"/>
        <v>10013020</v>
      </c>
      <c r="L374" s="23" t="s">
        <v>602</v>
      </c>
      <c r="M374" s="23">
        <f t="shared" si="209"/>
        <v>10601010</v>
      </c>
      <c r="N374" s="23" t="s">
        <v>254</v>
      </c>
      <c r="O374" s="23" t="s">
        <v>52</v>
      </c>
      <c r="P374" s="4" t="s">
        <v>491</v>
      </c>
      <c r="Q374" s="23" t="s">
        <v>52</v>
      </c>
      <c r="R374" s="23" t="s">
        <v>190</v>
      </c>
      <c r="S374" s="24" t="str">
        <f t="shared" si="184"/>
        <v>statisticReach{type:"BattleKillMonsterEvent0_1",value:5}</v>
      </c>
      <c r="T374" s="24" t="s">
        <v>52</v>
      </c>
      <c r="U374" s="24" t="s">
        <v>191</v>
      </c>
      <c r="V374" s="24" t="s">
        <v>92</v>
      </c>
      <c r="W374" s="23">
        <f>VLOOKUP(V374,[1]界面跳转!$I:$J,2,FALSE)</f>
        <v>7254</v>
      </c>
      <c r="Y374" s="23" t="s">
        <v>56</v>
      </c>
      <c r="Z374" s="23" t="s">
        <v>57</v>
      </c>
      <c r="AA374" s="23">
        <f t="shared" si="185"/>
        <v>12002</v>
      </c>
      <c r="AB374" s="23">
        <v>6622302</v>
      </c>
      <c r="AD374" s="23">
        <v>12</v>
      </c>
      <c r="AE374" s="23">
        <f t="shared" si="200"/>
        <v>2</v>
      </c>
    </row>
    <row r="375" spans="1:31" s="23" customFormat="1" x14ac:dyDescent="0.45">
      <c r="A375" s="23">
        <f t="shared" si="181"/>
        <v>10013030</v>
      </c>
      <c r="B375" s="23">
        <v>0</v>
      </c>
      <c r="C375" s="23">
        <v>13</v>
      </c>
      <c r="D375" s="23">
        <f t="shared" si="199"/>
        <v>3</v>
      </c>
      <c r="E375" s="23" t="s">
        <v>656</v>
      </c>
      <c r="F375" s="23" t="s">
        <v>658</v>
      </c>
      <c r="G375" s="23" t="s">
        <v>189</v>
      </c>
      <c r="H375" s="23">
        <v>10</v>
      </c>
      <c r="I375" s="23" t="s">
        <v>59</v>
      </c>
      <c r="J375" s="23" t="str">
        <f t="shared" si="182"/>
        <v>清剿任意等级【普通】蛮族10次</v>
      </c>
      <c r="K375" s="23">
        <f t="shared" si="183"/>
        <v>10013030</v>
      </c>
      <c r="L375" s="23" t="s">
        <v>602</v>
      </c>
      <c r="M375" s="23">
        <f t="shared" si="209"/>
        <v>10601010</v>
      </c>
      <c r="N375" s="23" t="s">
        <v>254</v>
      </c>
      <c r="O375" s="23" t="s">
        <v>52</v>
      </c>
      <c r="P375" s="4" t="s">
        <v>491</v>
      </c>
      <c r="Q375" s="23" t="s">
        <v>52</v>
      </c>
      <c r="R375" s="23" t="s">
        <v>190</v>
      </c>
      <c r="S375" s="24" t="str">
        <f t="shared" si="184"/>
        <v>statisticReach{type:"BattleKillMonsterEvent0_1",value:10}</v>
      </c>
      <c r="T375" s="24" t="s">
        <v>52</v>
      </c>
      <c r="U375" s="24" t="s">
        <v>191</v>
      </c>
      <c r="V375" s="24" t="s">
        <v>92</v>
      </c>
      <c r="W375" s="23">
        <f>VLOOKUP(V375,[1]界面跳转!$I:$J,2,FALSE)</f>
        <v>7254</v>
      </c>
      <c r="Y375" s="23" t="s">
        <v>56</v>
      </c>
      <c r="Z375" s="23" t="s">
        <v>57</v>
      </c>
      <c r="AA375" s="23">
        <f t="shared" si="185"/>
        <v>12003</v>
      </c>
      <c r="AB375" s="23">
        <v>6622303</v>
      </c>
      <c r="AD375" s="23">
        <v>12</v>
      </c>
      <c r="AE375" s="23">
        <f t="shared" si="200"/>
        <v>3</v>
      </c>
    </row>
    <row r="376" spans="1:31" s="23" customFormat="1" x14ac:dyDescent="0.45">
      <c r="A376" s="23">
        <f t="shared" si="181"/>
        <v>10013040</v>
      </c>
      <c r="B376" s="23">
        <v>0</v>
      </c>
      <c r="C376" s="23">
        <v>13</v>
      </c>
      <c r="D376" s="23">
        <f t="shared" si="199"/>
        <v>4</v>
      </c>
      <c r="E376" s="23" t="s">
        <v>656</v>
      </c>
      <c r="F376" s="23" t="s">
        <v>659</v>
      </c>
      <c r="G376" s="23" t="s">
        <v>189</v>
      </c>
      <c r="H376" s="23">
        <v>15</v>
      </c>
      <c r="I376" s="23" t="s">
        <v>59</v>
      </c>
      <c r="J376" s="23" t="str">
        <f t="shared" si="182"/>
        <v>清剿任意等级【普通】蛮族15次</v>
      </c>
      <c r="K376" s="23">
        <f t="shared" si="183"/>
        <v>10013040</v>
      </c>
      <c r="L376" s="23" t="s">
        <v>602</v>
      </c>
      <c r="M376" s="23">
        <f t="shared" si="209"/>
        <v>10601010</v>
      </c>
      <c r="N376" s="23" t="s">
        <v>254</v>
      </c>
      <c r="O376" s="23" t="s">
        <v>52</v>
      </c>
      <c r="P376" s="4" t="s">
        <v>491</v>
      </c>
      <c r="Q376" s="23" t="s">
        <v>52</v>
      </c>
      <c r="R376" s="23" t="s">
        <v>190</v>
      </c>
      <c r="S376" s="24" t="str">
        <f t="shared" si="184"/>
        <v>statisticReach{type:"BattleKillMonsterEvent0_1",value:15}</v>
      </c>
      <c r="T376" s="24" t="s">
        <v>52</v>
      </c>
      <c r="U376" s="24" t="s">
        <v>191</v>
      </c>
      <c r="V376" s="24" t="s">
        <v>92</v>
      </c>
      <c r="W376" s="23">
        <f>VLOOKUP(V376,[1]界面跳转!$I:$J,2,FALSE)</f>
        <v>7254</v>
      </c>
      <c r="Y376" s="23" t="s">
        <v>56</v>
      </c>
      <c r="Z376" s="23" t="s">
        <v>57</v>
      </c>
      <c r="AA376" s="23">
        <f t="shared" si="185"/>
        <v>12004</v>
      </c>
      <c r="AB376" s="23">
        <v>6622304</v>
      </c>
      <c r="AD376" s="23">
        <v>12</v>
      </c>
      <c r="AE376" s="23">
        <f t="shared" si="200"/>
        <v>4</v>
      </c>
    </row>
    <row r="377" spans="1:31" s="23" customFormat="1" x14ac:dyDescent="0.45">
      <c r="A377" s="23">
        <f t="shared" si="181"/>
        <v>10013050</v>
      </c>
      <c r="B377" s="23">
        <v>0</v>
      </c>
      <c r="C377" s="23">
        <v>13</v>
      </c>
      <c r="D377" s="23">
        <f t="shared" si="199"/>
        <v>5</v>
      </c>
      <c r="E377" s="23" t="s">
        <v>656</v>
      </c>
      <c r="F377" s="23" t="s">
        <v>660</v>
      </c>
      <c r="G377" s="23" t="s">
        <v>189</v>
      </c>
      <c r="H377" s="23">
        <v>20</v>
      </c>
      <c r="I377" s="23" t="s">
        <v>59</v>
      </c>
      <c r="J377" s="23" t="str">
        <f t="shared" si="182"/>
        <v>清剿任意等级【普通】蛮族20次</v>
      </c>
      <c r="K377" s="23">
        <f t="shared" si="183"/>
        <v>10013050</v>
      </c>
      <c r="L377" s="23" t="s">
        <v>602</v>
      </c>
      <c r="M377" s="23">
        <f t="shared" si="209"/>
        <v>10601010</v>
      </c>
      <c r="N377" s="23" t="s">
        <v>254</v>
      </c>
      <c r="O377" s="23" t="s">
        <v>52</v>
      </c>
      <c r="P377" s="4" t="s">
        <v>491</v>
      </c>
      <c r="Q377" s="23" t="s">
        <v>52</v>
      </c>
      <c r="R377" s="23" t="s">
        <v>190</v>
      </c>
      <c r="S377" s="24" t="str">
        <f t="shared" si="184"/>
        <v>statisticReach{type:"BattleKillMonsterEvent0_1",value:20}</v>
      </c>
      <c r="T377" s="24" t="s">
        <v>52</v>
      </c>
      <c r="U377" s="24" t="s">
        <v>191</v>
      </c>
      <c r="V377" s="24" t="s">
        <v>92</v>
      </c>
      <c r="W377" s="23">
        <f>VLOOKUP(V377,[1]界面跳转!$I:$J,2,FALSE)</f>
        <v>7254</v>
      </c>
      <c r="Y377" s="23" t="s">
        <v>56</v>
      </c>
      <c r="Z377" s="23" t="s">
        <v>57</v>
      </c>
      <c r="AA377" s="23">
        <f t="shared" si="185"/>
        <v>12005</v>
      </c>
      <c r="AB377" s="23">
        <v>6622305</v>
      </c>
      <c r="AD377" s="23">
        <v>12</v>
      </c>
      <c r="AE377" s="23">
        <f t="shared" si="200"/>
        <v>5</v>
      </c>
    </row>
    <row r="378" spans="1:31" s="23" customFormat="1" x14ac:dyDescent="0.45">
      <c r="A378" s="23">
        <f t="shared" si="181"/>
        <v>10013060</v>
      </c>
      <c r="B378" s="23">
        <v>0</v>
      </c>
      <c r="C378" s="23">
        <v>13</v>
      </c>
      <c r="D378" s="23">
        <f t="shared" si="199"/>
        <v>6</v>
      </c>
      <c r="E378" s="23" t="s">
        <v>656</v>
      </c>
      <c r="F378" s="23" t="s">
        <v>661</v>
      </c>
      <c r="G378" s="23" t="s">
        <v>189</v>
      </c>
      <c r="H378" s="23">
        <v>25</v>
      </c>
      <c r="I378" s="23" t="s">
        <v>59</v>
      </c>
      <c r="J378" s="23" t="str">
        <f t="shared" si="182"/>
        <v>清剿任意等级【普通】蛮族25次</v>
      </c>
      <c r="K378" s="23">
        <f t="shared" si="183"/>
        <v>10013060</v>
      </c>
      <c r="L378" s="23" t="s">
        <v>602</v>
      </c>
      <c r="M378" s="23">
        <f t="shared" si="209"/>
        <v>10601010</v>
      </c>
      <c r="N378" s="23" t="s">
        <v>254</v>
      </c>
      <c r="O378" s="23" t="s">
        <v>52</v>
      </c>
      <c r="P378" s="4" t="s">
        <v>491</v>
      </c>
      <c r="Q378" s="23" t="s">
        <v>52</v>
      </c>
      <c r="R378" s="23" t="s">
        <v>190</v>
      </c>
      <c r="S378" s="24" t="str">
        <f t="shared" si="184"/>
        <v>statisticReach{type:"BattleKillMonsterEvent0_1",value:25}</v>
      </c>
      <c r="T378" s="24" t="s">
        <v>52</v>
      </c>
      <c r="U378" s="24" t="s">
        <v>191</v>
      </c>
      <c r="V378" s="24" t="s">
        <v>92</v>
      </c>
      <c r="W378" s="23">
        <f>VLOOKUP(V378,[1]界面跳转!$I:$J,2,FALSE)</f>
        <v>7254</v>
      </c>
      <c r="Y378" s="23" t="s">
        <v>56</v>
      </c>
      <c r="Z378" s="23" t="s">
        <v>57</v>
      </c>
      <c r="AA378" s="23">
        <f t="shared" si="185"/>
        <v>12006</v>
      </c>
      <c r="AB378" s="23">
        <v>6622306</v>
      </c>
      <c r="AD378" s="23">
        <v>12</v>
      </c>
      <c r="AE378" s="23">
        <f t="shared" si="200"/>
        <v>6</v>
      </c>
    </row>
    <row r="379" spans="1:31" s="23" customFormat="1" x14ac:dyDescent="0.45">
      <c r="A379" s="23">
        <f t="shared" si="181"/>
        <v>10013070</v>
      </c>
      <c r="B379" s="23">
        <v>0</v>
      </c>
      <c r="C379" s="23">
        <v>13</v>
      </c>
      <c r="D379" s="23">
        <f t="shared" si="199"/>
        <v>7</v>
      </c>
      <c r="E379" s="23" t="s">
        <v>656</v>
      </c>
      <c r="F379" s="23" t="s">
        <v>662</v>
      </c>
      <c r="G379" s="23" t="s">
        <v>189</v>
      </c>
      <c r="H379" s="23">
        <v>30</v>
      </c>
      <c r="I379" s="23" t="s">
        <v>59</v>
      </c>
      <c r="J379" s="23" t="str">
        <f t="shared" si="182"/>
        <v>清剿任意等级【普通】蛮族30次</v>
      </c>
      <c r="K379" s="23">
        <f t="shared" si="183"/>
        <v>10013070</v>
      </c>
      <c r="L379" s="23" t="s">
        <v>602</v>
      </c>
      <c r="M379" s="23">
        <f t="shared" si="209"/>
        <v>10601010</v>
      </c>
      <c r="N379" s="23" t="s">
        <v>254</v>
      </c>
      <c r="O379" s="23" t="s">
        <v>52</v>
      </c>
      <c r="P379" s="4" t="s">
        <v>491</v>
      </c>
      <c r="Q379" s="23" t="s">
        <v>52</v>
      </c>
      <c r="R379" s="23" t="s">
        <v>190</v>
      </c>
      <c r="S379" s="24" t="str">
        <f t="shared" si="184"/>
        <v>statisticReach{type:"BattleKillMonsterEvent0_1",value:30}</v>
      </c>
      <c r="T379" s="24" t="s">
        <v>52</v>
      </c>
      <c r="U379" s="24" t="s">
        <v>191</v>
      </c>
      <c r="V379" s="24" t="s">
        <v>92</v>
      </c>
      <c r="W379" s="23">
        <f>VLOOKUP(V379,[1]界面跳转!$I:$J,2,FALSE)</f>
        <v>7254</v>
      </c>
      <c r="Y379" s="23" t="s">
        <v>56</v>
      </c>
      <c r="Z379" s="23" t="s">
        <v>57</v>
      </c>
      <c r="AA379" s="23">
        <f t="shared" si="185"/>
        <v>12007</v>
      </c>
      <c r="AB379" s="23">
        <v>6622307</v>
      </c>
      <c r="AD379" s="23">
        <v>12</v>
      </c>
      <c r="AE379" s="23">
        <f t="shared" si="200"/>
        <v>7</v>
      </c>
    </row>
    <row r="380" spans="1:31" s="23" customFormat="1" x14ac:dyDescent="0.45">
      <c r="A380" s="23">
        <f t="shared" si="181"/>
        <v>10013080</v>
      </c>
      <c r="B380" s="23">
        <v>0</v>
      </c>
      <c r="C380" s="23">
        <v>13</v>
      </c>
      <c r="D380" s="23">
        <f t="shared" si="199"/>
        <v>8</v>
      </c>
      <c r="E380" s="23" t="s">
        <v>656</v>
      </c>
      <c r="F380" s="23" t="s">
        <v>663</v>
      </c>
      <c r="G380" s="23" t="s">
        <v>189</v>
      </c>
      <c r="H380" s="23">
        <v>35</v>
      </c>
      <c r="I380" s="23" t="s">
        <v>59</v>
      </c>
      <c r="J380" s="23" t="str">
        <f t="shared" si="182"/>
        <v>清剿任意等级【普通】蛮族35次</v>
      </c>
      <c r="K380" s="23">
        <f t="shared" si="183"/>
        <v>10013080</v>
      </c>
      <c r="L380" s="23" t="s">
        <v>602</v>
      </c>
      <c r="M380" s="23">
        <f t="shared" si="209"/>
        <v>10601010</v>
      </c>
      <c r="N380" s="23" t="s">
        <v>254</v>
      </c>
      <c r="O380" s="23" t="s">
        <v>52</v>
      </c>
      <c r="P380" s="4" t="s">
        <v>491</v>
      </c>
      <c r="Q380" s="23" t="s">
        <v>52</v>
      </c>
      <c r="R380" s="23" t="s">
        <v>190</v>
      </c>
      <c r="S380" s="24" t="str">
        <f t="shared" si="184"/>
        <v>statisticReach{type:"BattleKillMonsterEvent0_1",value:35}</v>
      </c>
      <c r="T380" s="24" t="s">
        <v>52</v>
      </c>
      <c r="U380" s="24" t="s">
        <v>191</v>
      </c>
      <c r="V380" s="24" t="s">
        <v>92</v>
      </c>
      <c r="W380" s="23">
        <f>VLOOKUP(V380,[1]界面跳转!$I:$J,2,FALSE)</f>
        <v>7254</v>
      </c>
      <c r="Y380" s="23" t="s">
        <v>56</v>
      </c>
      <c r="Z380" s="23" t="s">
        <v>57</v>
      </c>
      <c r="AA380" s="23">
        <f t="shared" si="185"/>
        <v>12008</v>
      </c>
      <c r="AB380" s="23">
        <v>6622308</v>
      </c>
      <c r="AD380" s="23">
        <v>12</v>
      </c>
      <c r="AE380" s="23">
        <f t="shared" si="200"/>
        <v>8</v>
      </c>
    </row>
    <row r="381" spans="1:31" s="23" customFormat="1" x14ac:dyDescent="0.45">
      <c r="A381" s="23">
        <f t="shared" si="181"/>
        <v>10013090</v>
      </c>
      <c r="B381" s="23">
        <v>0</v>
      </c>
      <c r="C381" s="23">
        <v>13</v>
      </c>
      <c r="D381" s="23">
        <f t="shared" si="199"/>
        <v>9</v>
      </c>
      <c r="E381" s="23" t="s">
        <v>656</v>
      </c>
      <c r="F381" s="23" t="s">
        <v>664</v>
      </c>
      <c r="G381" s="23" t="s">
        <v>189</v>
      </c>
      <c r="H381" s="23">
        <v>40</v>
      </c>
      <c r="I381" s="23" t="s">
        <v>59</v>
      </c>
      <c r="J381" s="23" t="str">
        <f t="shared" si="182"/>
        <v>清剿任意等级【普通】蛮族40次</v>
      </c>
      <c r="K381" s="23">
        <f t="shared" si="183"/>
        <v>10013090</v>
      </c>
      <c r="L381" s="23" t="s">
        <v>602</v>
      </c>
      <c r="M381" s="23">
        <f t="shared" si="209"/>
        <v>10601010</v>
      </c>
      <c r="N381" s="23" t="s">
        <v>254</v>
      </c>
      <c r="O381" s="23" t="s">
        <v>52</v>
      </c>
      <c r="P381" s="4" t="s">
        <v>491</v>
      </c>
      <c r="Q381" s="23" t="s">
        <v>52</v>
      </c>
      <c r="R381" s="23" t="s">
        <v>190</v>
      </c>
      <c r="S381" s="24" t="str">
        <f t="shared" si="184"/>
        <v>statisticReach{type:"BattleKillMonsterEvent0_1",value:40}</v>
      </c>
      <c r="T381" s="24" t="s">
        <v>52</v>
      </c>
      <c r="U381" s="24" t="s">
        <v>191</v>
      </c>
      <c r="V381" s="24" t="s">
        <v>92</v>
      </c>
      <c r="W381" s="23">
        <f>VLOOKUP(V381,[1]界面跳转!$I:$J,2,FALSE)</f>
        <v>7254</v>
      </c>
      <c r="Y381" s="23" t="s">
        <v>56</v>
      </c>
      <c r="Z381" s="23" t="s">
        <v>57</v>
      </c>
      <c r="AA381" s="23">
        <f t="shared" si="185"/>
        <v>12009</v>
      </c>
      <c r="AB381" s="23">
        <v>6622309</v>
      </c>
      <c r="AD381" s="23">
        <v>12</v>
      </c>
      <c r="AE381" s="23">
        <f t="shared" si="200"/>
        <v>9</v>
      </c>
    </row>
    <row r="382" spans="1:31" s="23" customFormat="1" x14ac:dyDescent="0.45">
      <c r="A382" s="23">
        <f t="shared" si="181"/>
        <v>10013100</v>
      </c>
      <c r="B382" s="23">
        <v>0</v>
      </c>
      <c r="C382" s="23">
        <v>13</v>
      </c>
      <c r="D382" s="23">
        <f t="shared" si="199"/>
        <v>10</v>
      </c>
      <c r="E382" s="23" t="s">
        <v>656</v>
      </c>
      <c r="F382" s="23" t="s">
        <v>665</v>
      </c>
      <c r="G382" s="23" t="s">
        <v>189</v>
      </c>
      <c r="H382" s="23">
        <v>50</v>
      </c>
      <c r="I382" s="23" t="s">
        <v>59</v>
      </c>
      <c r="J382" s="23" t="str">
        <f t="shared" si="182"/>
        <v>清剿任意等级【普通】蛮族50次</v>
      </c>
      <c r="K382" s="23">
        <f t="shared" si="183"/>
        <v>10013100</v>
      </c>
      <c r="L382" s="23" t="s">
        <v>602</v>
      </c>
      <c r="M382" s="23">
        <f t="shared" si="209"/>
        <v>10601010</v>
      </c>
      <c r="N382" s="23" t="s">
        <v>254</v>
      </c>
      <c r="O382" s="23" t="s">
        <v>52</v>
      </c>
      <c r="P382" s="4" t="s">
        <v>491</v>
      </c>
      <c r="Q382" s="23" t="s">
        <v>52</v>
      </c>
      <c r="R382" s="23" t="s">
        <v>190</v>
      </c>
      <c r="S382" s="24" t="str">
        <f t="shared" si="184"/>
        <v>statisticReach{type:"BattleKillMonsterEvent0_1",value:50}</v>
      </c>
      <c r="T382" s="24" t="s">
        <v>52</v>
      </c>
      <c r="U382" s="24" t="s">
        <v>191</v>
      </c>
      <c r="V382" s="24" t="s">
        <v>92</v>
      </c>
      <c r="W382" s="23">
        <f>VLOOKUP(V382,[1]界面跳转!$I:$J,2,FALSE)</f>
        <v>7254</v>
      </c>
      <c r="Y382" s="23" t="s">
        <v>56</v>
      </c>
      <c r="Z382" s="23" t="s">
        <v>57</v>
      </c>
      <c r="AA382" s="23">
        <f t="shared" si="185"/>
        <v>12010</v>
      </c>
      <c r="AB382" s="23">
        <v>6622310</v>
      </c>
      <c r="AD382" s="23">
        <v>12</v>
      </c>
      <c r="AE382" s="23">
        <f t="shared" si="200"/>
        <v>10</v>
      </c>
    </row>
    <row r="383" spans="1:31" s="23" customFormat="1" x14ac:dyDescent="0.45">
      <c r="A383" s="23">
        <f t="shared" ref="A383:A437" si="210">10000000+B383*100000+C383*1000+D383*10</f>
        <v>10013110</v>
      </c>
      <c r="B383" s="23">
        <v>0</v>
      </c>
      <c r="C383" s="23">
        <v>13</v>
      </c>
      <c r="D383" s="23">
        <f t="shared" si="199"/>
        <v>11</v>
      </c>
      <c r="E383" s="23" t="s">
        <v>656</v>
      </c>
      <c r="F383" s="23" t="s">
        <v>666</v>
      </c>
      <c r="G383" s="23" t="s">
        <v>189</v>
      </c>
      <c r="H383" s="23">
        <v>60</v>
      </c>
      <c r="I383" s="23" t="s">
        <v>59</v>
      </c>
      <c r="J383" s="23" t="str">
        <f t="shared" ref="J383:J437" si="211">G383&amp;H383&amp;I383</f>
        <v>清剿任意等级【普通】蛮族60次</v>
      </c>
      <c r="K383" s="23">
        <f t="shared" ref="K383:K437" si="212">A383</f>
        <v>10013110</v>
      </c>
      <c r="L383" s="23" t="s">
        <v>602</v>
      </c>
      <c r="M383" s="23">
        <f t="shared" si="209"/>
        <v>10601010</v>
      </c>
      <c r="N383" s="23" t="s">
        <v>254</v>
      </c>
      <c r="O383" s="23" t="s">
        <v>52</v>
      </c>
      <c r="P383" s="4" t="s">
        <v>491</v>
      </c>
      <c r="Q383" s="23" t="s">
        <v>52</v>
      </c>
      <c r="R383" s="23" t="s">
        <v>190</v>
      </c>
      <c r="S383" s="24" t="str">
        <f t="shared" ref="S383:S437" si="213">SUBSTITUTE(R383,"@@@",H383)</f>
        <v>statisticReach{type:"BattleKillMonsterEvent0_1",value:60}</v>
      </c>
      <c r="T383" s="24" t="s">
        <v>52</v>
      </c>
      <c r="U383" s="24" t="s">
        <v>191</v>
      </c>
      <c r="V383" s="24" t="s">
        <v>92</v>
      </c>
      <c r="W383" s="23">
        <f>VLOOKUP(V383,[1]界面跳转!$I:$J,2,FALSE)</f>
        <v>7254</v>
      </c>
      <c r="Y383" s="23" t="s">
        <v>56</v>
      </c>
      <c r="Z383" s="23" t="s">
        <v>57</v>
      </c>
      <c r="AA383" s="23">
        <f t="shared" ref="AA383:AA437" si="214">AD383*1000+AE383</f>
        <v>12011</v>
      </c>
      <c r="AB383" s="23">
        <v>6622311</v>
      </c>
      <c r="AD383" s="23">
        <v>12</v>
      </c>
      <c r="AE383" s="23">
        <f t="shared" si="200"/>
        <v>11</v>
      </c>
    </row>
    <row r="384" spans="1:31" s="23" customFormat="1" x14ac:dyDescent="0.45">
      <c r="A384" s="23">
        <f t="shared" si="210"/>
        <v>10013120</v>
      </c>
      <c r="B384" s="23">
        <v>0</v>
      </c>
      <c r="C384" s="23">
        <v>13</v>
      </c>
      <c r="D384" s="23">
        <f t="shared" ref="D384:D438" si="215">IF(C384=C383,D383+1,1)</f>
        <v>12</v>
      </c>
      <c r="E384" s="23" t="s">
        <v>656</v>
      </c>
      <c r="F384" s="23" t="s">
        <v>667</v>
      </c>
      <c r="G384" s="23" t="s">
        <v>189</v>
      </c>
      <c r="H384" s="23">
        <v>70</v>
      </c>
      <c r="I384" s="23" t="s">
        <v>59</v>
      </c>
      <c r="J384" s="23" t="str">
        <f t="shared" si="211"/>
        <v>清剿任意等级【普通】蛮族70次</v>
      </c>
      <c r="K384" s="23">
        <f t="shared" si="212"/>
        <v>10013120</v>
      </c>
      <c r="L384" s="23" t="s">
        <v>602</v>
      </c>
      <c r="M384" s="23">
        <f t="shared" si="209"/>
        <v>10601010</v>
      </c>
      <c r="N384" s="23" t="s">
        <v>254</v>
      </c>
      <c r="O384" s="23" t="s">
        <v>52</v>
      </c>
      <c r="P384" s="4" t="s">
        <v>491</v>
      </c>
      <c r="Q384" s="23" t="s">
        <v>52</v>
      </c>
      <c r="R384" s="23" t="s">
        <v>190</v>
      </c>
      <c r="S384" s="24" t="str">
        <f t="shared" si="213"/>
        <v>statisticReach{type:"BattleKillMonsterEvent0_1",value:70}</v>
      </c>
      <c r="T384" s="24" t="s">
        <v>52</v>
      </c>
      <c r="U384" s="24" t="s">
        <v>191</v>
      </c>
      <c r="V384" s="24" t="s">
        <v>92</v>
      </c>
      <c r="W384" s="23">
        <f>VLOOKUP(V384,[1]界面跳转!$I:$J,2,FALSE)</f>
        <v>7254</v>
      </c>
      <c r="Y384" s="23" t="s">
        <v>56</v>
      </c>
      <c r="Z384" s="23" t="s">
        <v>57</v>
      </c>
      <c r="AA384" s="23">
        <f t="shared" si="214"/>
        <v>12012</v>
      </c>
      <c r="AB384" s="23">
        <v>6622312</v>
      </c>
      <c r="AD384" s="23">
        <v>12</v>
      </c>
      <c r="AE384" s="23">
        <f t="shared" si="200"/>
        <v>12</v>
      </c>
    </row>
    <row r="385" spans="1:31" s="23" customFormat="1" x14ac:dyDescent="0.45">
      <c r="A385" s="23">
        <f t="shared" si="210"/>
        <v>10013130</v>
      </c>
      <c r="B385" s="23">
        <v>0</v>
      </c>
      <c r="C385" s="23">
        <v>13</v>
      </c>
      <c r="D385" s="23">
        <f t="shared" si="215"/>
        <v>13</v>
      </c>
      <c r="E385" s="23" t="s">
        <v>656</v>
      </c>
      <c r="F385" s="23" t="s">
        <v>668</v>
      </c>
      <c r="G385" s="23" t="s">
        <v>189</v>
      </c>
      <c r="H385" s="23">
        <v>80</v>
      </c>
      <c r="I385" s="23" t="s">
        <v>59</v>
      </c>
      <c r="J385" s="23" t="str">
        <f t="shared" si="211"/>
        <v>清剿任意等级【普通】蛮族80次</v>
      </c>
      <c r="K385" s="23">
        <f t="shared" si="212"/>
        <v>10013130</v>
      </c>
      <c r="L385" s="23" t="s">
        <v>602</v>
      </c>
      <c r="M385" s="23">
        <f t="shared" si="209"/>
        <v>10601010</v>
      </c>
      <c r="N385" s="23" t="s">
        <v>254</v>
      </c>
      <c r="O385" s="23" t="s">
        <v>52</v>
      </c>
      <c r="P385" s="4" t="s">
        <v>491</v>
      </c>
      <c r="Q385" s="23" t="s">
        <v>52</v>
      </c>
      <c r="R385" s="23" t="s">
        <v>190</v>
      </c>
      <c r="S385" s="24" t="str">
        <f t="shared" si="213"/>
        <v>statisticReach{type:"BattleKillMonsterEvent0_1",value:80}</v>
      </c>
      <c r="T385" s="24" t="s">
        <v>52</v>
      </c>
      <c r="U385" s="24" t="s">
        <v>191</v>
      </c>
      <c r="V385" s="24" t="s">
        <v>92</v>
      </c>
      <c r="W385" s="23">
        <f>VLOOKUP(V385,[1]界面跳转!$I:$J,2,FALSE)</f>
        <v>7254</v>
      </c>
      <c r="Y385" s="23" t="s">
        <v>56</v>
      </c>
      <c r="Z385" s="23" t="s">
        <v>57</v>
      </c>
      <c r="AA385" s="23">
        <f t="shared" si="214"/>
        <v>12013</v>
      </c>
      <c r="AB385" s="23">
        <v>6622313</v>
      </c>
      <c r="AD385" s="23">
        <v>12</v>
      </c>
      <c r="AE385" s="23">
        <f t="shared" si="200"/>
        <v>13</v>
      </c>
    </row>
    <row r="386" spans="1:31" s="23" customFormat="1" x14ac:dyDescent="0.45">
      <c r="A386" s="23">
        <f t="shared" si="210"/>
        <v>10013140</v>
      </c>
      <c r="B386" s="23">
        <v>0</v>
      </c>
      <c r="C386" s="23">
        <v>13</v>
      </c>
      <c r="D386" s="23">
        <f t="shared" si="215"/>
        <v>14</v>
      </c>
      <c r="E386" s="23" t="s">
        <v>656</v>
      </c>
      <c r="F386" s="23" t="s">
        <v>669</v>
      </c>
      <c r="G386" s="23" t="s">
        <v>189</v>
      </c>
      <c r="H386" s="23">
        <v>90</v>
      </c>
      <c r="I386" s="23" t="s">
        <v>59</v>
      </c>
      <c r="J386" s="23" t="str">
        <f t="shared" si="211"/>
        <v>清剿任意等级【普通】蛮族90次</v>
      </c>
      <c r="K386" s="23">
        <f t="shared" si="212"/>
        <v>10013140</v>
      </c>
      <c r="L386" s="23" t="s">
        <v>602</v>
      </c>
      <c r="M386" s="23">
        <f t="shared" si="209"/>
        <v>10601010</v>
      </c>
      <c r="N386" s="23" t="s">
        <v>254</v>
      </c>
      <c r="O386" s="23" t="s">
        <v>52</v>
      </c>
      <c r="P386" s="4" t="s">
        <v>491</v>
      </c>
      <c r="Q386" s="23" t="s">
        <v>52</v>
      </c>
      <c r="R386" s="23" t="s">
        <v>190</v>
      </c>
      <c r="S386" s="24" t="str">
        <f t="shared" si="213"/>
        <v>statisticReach{type:"BattleKillMonsterEvent0_1",value:90}</v>
      </c>
      <c r="T386" s="24" t="s">
        <v>52</v>
      </c>
      <c r="U386" s="24" t="s">
        <v>191</v>
      </c>
      <c r="V386" s="24" t="s">
        <v>92</v>
      </c>
      <c r="W386" s="23">
        <f>VLOOKUP(V386,[1]界面跳转!$I:$J,2,FALSE)</f>
        <v>7254</v>
      </c>
      <c r="Y386" s="23" t="s">
        <v>56</v>
      </c>
      <c r="Z386" s="23" t="s">
        <v>57</v>
      </c>
      <c r="AA386" s="23">
        <f t="shared" si="214"/>
        <v>12014</v>
      </c>
      <c r="AB386" s="23">
        <v>6622314</v>
      </c>
      <c r="AD386" s="23">
        <v>12</v>
      </c>
      <c r="AE386" s="23">
        <f t="shared" si="200"/>
        <v>14</v>
      </c>
    </row>
    <row r="387" spans="1:31" s="23" customFormat="1" x14ac:dyDescent="0.45">
      <c r="A387" s="23">
        <f t="shared" si="210"/>
        <v>10013150</v>
      </c>
      <c r="B387" s="23">
        <v>0</v>
      </c>
      <c r="C387" s="23">
        <v>13</v>
      </c>
      <c r="D387" s="23">
        <f t="shared" si="215"/>
        <v>15</v>
      </c>
      <c r="E387" s="23" t="s">
        <v>656</v>
      </c>
      <c r="F387" s="23" t="s">
        <v>670</v>
      </c>
      <c r="G387" s="23" t="s">
        <v>189</v>
      </c>
      <c r="H387" s="23">
        <v>100</v>
      </c>
      <c r="I387" s="23" t="s">
        <v>59</v>
      </c>
      <c r="J387" s="23" t="str">
        <f t="shared" si="211"/>
        <v>清剿任意等级【普通】蛮族100次</v>
      </c>
      <c r="K387" s="23">
        <f t="shared" si="212"/>
        <v>10013150</v>
      </c>
      <c r="L387" s="23" t="s">
        <v>602</v>
      </c>
      <c r="M387" s="23">
        <f t="shared" si="209"/>
        <v>10601010</v>
      </c>
      <c r="N387" s="23" t="s">
        <v>254</v>
      </c>
      <c r="O387" s="23" t="s">
        <v>52</v>
      </c>
      <c r="P387" s="4" t="s">
        <v>491</v>
      </c>
      <c r="Q387" s="23" t="s">
        <v>52</v>
      </c>
      <c r="R387" s="23" t="s">
        <v>190</v>
      </c>
      <c r="S387" s="24" t="str">
        <f t="shared" si="213"/>
        <v>statisticReach{type:"BattleKillMonsterEvent0_1",value:100}</v>
      </c>
      <c r="T387" s="24" t="s">
        <v>52</v>
      </c>
      <c r="U387" s="24" t="s">
        <v>191</v>
      </c>
      <c r="V387" s="24" t="s">
        <v>92</v>
      </c>
      <c r="W387" s="23">
        <f>VLOOKUP(V387,[1]界面跳转!$I:$J,2,FALSE)</f>
        <v>7254</v>
      </c>
      <c r="Y387" s="23" t="s">
        <v>56</v>
      </c>
      <c r="Z387" s="23" t="s">
        <v>57</v>
      </c>
      <c r="AA387" s="23">
        <f t="shared" si="214"/>
        <v>12015</v>
      </c>
      <c r="AB387" s="23">
        <v>6622315</v>
      </c>
      <c r="AD387" s="23">
        <v>12</v>
      </c>
      <c r="AE387" s="23">
        <f t="shared" ref="AE387:AE441" si="216">IF(AD387=AD386,AE386+1,1)</f>
        <v>15</v>
      </c>
    </row>
    <row r="388" spans="1:31" s="23" customFormat="1" x14ac:dyDescent="0.45">
      <c r="A388" s="23">
        <f t="shared" si="210"/>
        <v>10013160</v>
      </c>
      <c r="B388" s="23">
        <v>0</v>
      </c>
      <c r="C388" s="23">
        <v>13</v>
      </c>
      <c r="D388" s="23">
        <f t="shared" si="215"/>
        <v>16</v>
      </c>
      <c r="E388" s="23" t="s">
        <v>656</v>
      </c>
      <c r="F388" s="23" t="s">
        <v>671</v>
      </c>
      <c r="G388" s="23" t="s">
        <v>189</v>
      </c>
      <c r="H388" s="23">
        <v>120</v>
      </c>
      <c r="I388" s="23" t="s">
        <v>59</v>
      </c>
      <c r="J388" s="23" t="str">
        <f t="shared" si="211"/>
        <v>清剿任意等级【普通】蛮族120次</v>
      </c>
      <c r="K388" s="23">
        <f t="shared" si="212"/>
        <v>10013160</v>
      </c>
      <c r="L388" s="23" t="s">
        <v>602</v>
      </c>
      <c r="M388" s="23">
        <f t="shared" si="209"/>
        <v>10601010</v>
      </c>
      <c r="N388" s="23" t="s">
        <v>254</v>
      </c>
      <c r="O388" s="23" t="s">
        <v>52</v>
      </c>
      <c r="P388" s="4" t="s">
        <v>491</v>
      </c>
      <c r="Q388" s="23" t="s">
        <v>52</v>
      </c>
      <c r="R388" s="23" t="s">
        <v>190</v>
      </c>
      <c r="S388" s="24" t="str">
        <f t="shared" si="213"/>
        <v>statisticReach{type:"BattleKillMonsterEvent0_1",value:120}</v>
      </c>
      <c r="T388" s="24" t="s">
        <v>52</v>
      </c>
      <c r="U388" s="24" t="s">
        <v>191</v>
      </c>
      <c r="V388" s="24" t="s">
        <v>92</v>
      </c>
      <c r="W388" s="23">
        <f>VLOOKUP(V388,[1]界面跳转!$I:$J,2,FALSE)</f>
        <v>7254</v>
      </c>
      <c r="Y388" s="23" t="s">
        <v>56</v>
      </c>
      <c r="Z388" s="23" t="s">
        <v>57</v>
      </c>
      <c r="AA388" s="23">
        <f t="shared" si="214"/>
        <v>12016</v>
      </c>
      <c r="AB388" s="23">
        <v>6622316</v>
      </c>
      <c r="AD388" s="23">
        <v>12</v>
      </c>
      <c r="AE388" s="23">
        <f t="shared" si="216"/>
        <v>16</v>
      </c>
    </row>
    <row r="389" spans="1:31" s="23" customFormat="1" x14ac:dyDescent="0.45">
      <c r="A389" s="23">
        <f t="shared" si="210"/>
        <v>10013170</v>
      </c>
      <c r="B389" s="23">
        <v>0</v>
      </c>
      <c r="C389" s="23">
        <v>13</v>
      </c>
      <c r="D389" s="23">
        <f t="shared" si="215"/>
        <v>17</v>
      </c>
      <c r="E389" s="23" t="s">
        <v>656</v>
      </c>
      <c r="F389" s="23" t="s">
        <v>672</v>
      </c>
      <c r="G389" s="23" t="s">
        <v>189</v>
      </c>
      <c r="H389" s="23">
        <v>140</v>
      </c>
      <c r="I389" s="23" t="s">
        <v>59</v>
      </c>
      <c r="J389" s="23" t="str">
        <f t="shared" si="211"/>
        <v>清剿任意等级【普通】蛮族140次</v>
      </c>
      <c r="K389" s="23">
        <f t="shared" si="212"/>
        <v>10013170</v>
      </c>
      <c r="L389" s="23" t="s">
        <v>602</v>
      </c>
      <c r="M389" s="23">
        <f t="shared" si="209"/>
        <v>10601010</v>
      </c>
      <c r="N389" s="23" t="s">
        <v>254</v>
      </c>
      <c r="O389" s="23" t="s">
        <v>52</v>
      </c>
      <c r="P389" s="4" t="s">
        <v>491</v>
      </c>
      <c r="Q389" s="23" t="s">
        <v>52</v>
      </c>
      <c r="R389" s="23" t="s">
        <v>190</v>
      </c>
      <c r="S389" s="24" t="str">
        <f t="shared" si="213"/>
        <v>statisticReach{type:"BattleKillMonsterEvent0_1",value:140}</v>
      </c>
      <c r="T389" s="24" t="s">
        <v>52</v>
      </c>
      <c r="U389" s="24" t="s">
        <v>191</v>
      </c>
      <c r="V389" s="24" t="s">
        <v>92</v>
      </c>
      <c r="W389" s="23">
        <f>VLOOKUP(V389,[1]界面跳转!$I:$J,2,FALSE)</f>
        <v>7254</v>
      </c>
      <c r="Y389" s="23" t="s">
        <v>56</v>
      </c>
      <c r="Z389" s="23" t="s">
        <v>57</v>
      </c>
      <c r="AA389" s="23">
        <f t="shared" si="214"/>
        <v>12017</v>
      </c>
      <c r="AB389" s="23">
        <v>6622317</v>
      </c>
      <c r="AD389" s="23">
        <v>12</v>
      </c>
      <c r="AE389" s="23">
        <f t="shared" si="216"/>
        <v>17</v>
      </c>
    </row>
    <row r="390" spans="1:31" s="23" customFormat="1" x14ac:dyDescent="0.45">
      <c r="A390" s="23">
        <f t="shared" si="210"/>
        <v>10013180</v>
      </c>
      <c r="B390" s="23">
        <v>0</v>
      </c>
      <c r="C390" s="23">
        <v>13</v>
      </c>
      <c r="D390" s="23">
        <f t="shared" si="215"/>
        <v>18</v>
      </c>
      <c r="E390" s="23" t="s">
        <v>656</v>
      </c>
      <c r="F390" s="23" t="s">
        <v>673</v>
      </c>
      <c r="G390" s="23" t="s">
        <v>189</v>
      </c>
      <c r="H390" s="23">
        <v>160</v>
      </c>
      <c r="I390" s="23" t="s">
        <v>59</v>
      </c>
      <c r="J390" s="23" t="str">
        <f t="shared" si="211"/>
        <v>清剿任意等级【普通】蛮族160次</v>
      </c>
      <c r="K390" s="23">
        <f t="shared" si="212"/>
        <v>10013180</v>
      </c>
      <c r="L390" s="23" t="s">
        <v>602</v>
      </c>
      <c r="M390" s="23">
        <f t="shared" si="209"/>
        <v>10601010</v>
      </c>
      <c r="N390" s="23" t="s">
        <v>254</v>
      </c>
      <c r="O390" s="23" t="s">
        <v>52</v>
      </c>
      <c r="P390" s="4" t="s">
        <v>491</v>
      </c>
      <c r="Q390" s="23" t="s">
        <v>52</v>
      </c>
      <c r="R390" s="23" t="s">
        <v>190</v>
      </c>
      <c r="S390" s="24" t="str">
        <f t="shared" si="213"/>
        <v>statisticReach{type:"BattleKillMonsterEvent0_1",value:160}</v>
      </c>
      <c r="T390" s="24" t="s">
        <v>52</v>
      </c>
      <c r="U390" s="24" t="s">
        <v>191</v>
      </c>
      <c r="V390" s="24" t="s">
        <v>92</v>
      </c>
      <c r="W390" s="23">
        <f>VLOOKUP(V390,[1]界面跳转!$I:$J,2,FALSE)</f>
        <v>7254</v>
      </c>
      <c r="Y390" s="23" t="s">
        <v>56</v>
      </c>
      <c r="Z390" s="23" t="s">
        <v>57</v>
      </c>
      <c r="AA390" s="23">
        <f t="shared" si="214"/>
        <v>12018</v>
      </c>
      <c r="AB390" s="23">
        <v>6622318</v>
      </c>
      <c r="AD390" s="23">
        <v>12</v>
      </c>
      <c r="AE390" s="23">
        <f t="shared" si="216"/>
        <v>18</v>
      </c>
    </row>
    <row r="391" spans="1:31" s="23" customFormat="1" x14ac:dyDescent="0.45">
      <c r="A391" s="23">
        <f t="shared" si="210"/>
        <v>10013190</v>
      </c>
      <c r="B391" s="23">
        <v>0</v>
      </c>
      <c r="C391" s="23">
        <v>13</v>
      </c>
      <c r="D391" s="23">
        <f t="shared" si="215"/>
        <v>19</v>
      </c>
      <c r="E391" s="23" t="s">
        <v>656</v>
      </c>
      <c r="F391" s="23" t="s">
        <v>674</v>
      </c>
      <c r="G391" s="23" t="s">
        <v>189</v>
      </c>
      <c r="H391" s="23">
        <v>180</v>
      </c>
      <c r="I391" s="23" t="s">
        <v>59</v>
      </c>
      <c r="J391" s="23" t="str">
        <f t="shared" si="211"/>
        <v>清剿任意等级【普通】蛮族180次</v>
      </c>
      <c r="K391" s="23">
        <f t="shared" si="212"/>
        <v>10013190</v>
      </c>
      <c r="L391" s="23" t="s">
        <v>602</v>
      </c>
      <c r="M391" s="23">
        <f t="shared" si="209"/>
        <v>10601010</v>
      </c>
      <c r="N391" s="23" t="s">
        <v>254</v>
      </c>
      <c r="O391" s="23" t="s">
        <v>52</v>
      </c>
      <c r="P391" s="4" t="s">
        <v>491</v>
      </c>
      <c r="Q391" s="23" t="s">
        <v>52</v>
      </c>
      <c r="R391" s="23" t="s">
        <v>190</v>
      </c>
      <c r="S391" s="24" t="str">
        <f t="shared" si="213"/>
        <v>statisticReach{type:"BattleKillMonsterEvent0_1",value:180}</v>
      </c>
      <c r="T391" s="24" t="s">
        <v>52</v>
      </c>
      <c r="U391" s="24" t="s">
        <v>191</v>
      </c>
      <c r="V391" s="24" t="s">
        <v>92</v>
      </c>
      <c r="W391" s="23">
        <f>VLOOKUP(V391,[1]界面跳转!$I:$J,2,FALSE)</f>
        <v>7254</v>
      </c>
      <c r="Y391" s="23" t="s">
        <v>56</v>
      </c>
      <c r="Z391" s="23" t="s">
        <v>57</v>
      </c>
      <c r="AA391" s="23">
        <f t="shared" si="214"/>
        <v>12019</v>
      </c>
      <c r="AB391" s="23">
        <v>6622319</v>
      </c>
      <c r="AD391" s="23">
        <v>12</v>
      </c>
      <c r="AE391" s="23">
        <f t="shared" si="216"/>
        <v>19</v>
      </c>
    </row>
    <row r="392" spans="1:31" s="23" customFormat="1" x14ac:dyDescent="0.45">
      <c r="A392" s="23">
        <f t="shared" si="210"/>
        <v>10013200</v>
      </c>
      <c r="B392" s="23">
        <v>0</v>
      </c>
      <c r="C392" s="23">
        <v>13</v>
      </c>
      <c r="D392" s="23">
        <f t="shared" si="215"/>
        <v>20</v>
      </c>
      <c r="E392" s="23" t="s">
        <v>656</v>
      </c>
      <c r="F392" s="23" t="s">
        <v>675</v>
      </c>
      <c r="G392" s="23" t="s">
        <v>189</v>
      </c>
      <c r="H392" s="23">
        <v>200</v>
      </c>
      <c r="I392" s="23" t="s">
        <v>59</v>
      </c>
      <c r="J392" s="23" t="str">
        <f t="shared" si="211"/>
        <v>清剿任意等级【普通】蛮族200次</v>
      </c>
      <c r="K392" s="23">
        <f t="shared" si="212"/>
        <v>10013200</v>
      </c>
      <c r="L392" s="23" t="s">
        <v>602</v>
      </c>
      <c r="M392" s="23">
        <f t="shared" si="209"/>
        <v>10601010</v>
      </c>
      <c r="N392" s="23" t="s">
        <v>254</v>
      </c>
      <c r="O392" s="23" t="s">
        <v>52</v>
      </c>
      <c r="P392" s="4" t="s">
        <v>491</v>
      </c>
      <c r="Q392" s="23" t="s">
        <v>52</v>
      </c>
      <c r="R392" s="23" t="s">
        <v>190</v>
      </c>
      <c r="S392" s="24" t="str">
        <f t="shared" si="213"/>
        <v>statisticReach{type:"BattleKillMonsterEvent0_1",value:200}</v>
      </c>
      <c r="T392" s="24" t="s">
        <v>52</v>
      </c>
      <c r="U392" s="24" t="s">
        <v>191</v>
      </c>
      <c r="V392" s="24" t="s">
        <v>92</v>
      </c>
      <c r="W392" s="23">
        <f>VLOOKUP(V392,[1]界面跳转!$I:$J,2,FALSE)</f>
        <v>7254</v>
      </c>
      <c r="Y392" s="23" t="s">
        <v>56</v>
      </c>
      <c r="Z392" s="23" t="s">
        <v>57</v>
      </c>
      <c r="AA392" s="23">
        <f t="shared" si="214"/>
        <v>12020</v>
      </c>
      <c r="AB392" s="23">
        <v>6622320</v>
      </c>
      <c r="AD392" s="23">
        <v>12</v>
      </c>
      <c r="AE392" s="23">
        <f t="shared" si="216"/>
        <v>20</v>
      </c>
    </row>
    <row r="393" spans="1:31" s="23" customFormat="1" x14ac:dyDescent="0.45">
      <c r="A393" s="23">
        <f t="shared" si="210"/>
        <v>10013210</v>
      </c>
      <c r="B393" s="23">
        <v>0</v>
      </c>
      <c r="C393" s="23">
        <v>13</v>
      </c>
      <c r="D393" s="23">
        <f t="shared" si="215"/>
        <v>21</v>
      </c>
      <c r="E393" s="23" t="s">
        <v>656</v>
      </c>
      <c r="F393" s="23" t="s">
        <v>676</v>
      </c>
      <c r="G393" s="23" t="s">
        <v>189</v>
      </c>
      <c r="H393" s="23">
        <v>230</v>
      </c>
      <c r="I393" s="23" t="s">
        <v>59</v>
      </c>
      <c r="J393" s="23" t="str">
        <f t="shared" si="211"/>
        <v>清剿任意等级【普通】蛮族230次</v>
      </c>
      <c r="K393" s="23">
        <f t="shared" si="212"/>
        <v>10013210</v>
      </c>
      <c r="L393" s="23" t="s">
        <v>602</v>
      </c>
      <c r="M393" s="23">
        <f t="shared" si="209"/>
        <v>10601010</v>
      </c>
      <c r="N393" s="23" t="s">
        <v>254</v>
      </c>
      <c r="O393" s="23" t="s">
        <v>52</v>
      </c>
      <c r="P393" s="4" t="s">
        <v>491</v>
      </c>
      <c r="Q393" s="23" t="s">
        <v>52</v>
      </c>
      <c r="R393" s="23" t="s">
        <v>190</v>
      </c>
      <c r="S393" s="24" t="str">
        <f t="shared" si="213"/>
        <v>statisticReach{type:"BattleKillMonsterEvent0_1",value:230}</v>
      </c>
      <c r="T393" s="24" t="s">
        <v>52</v>
      </c>
      <c r="U393" s="24" t="s">
        <v>191</v>
      </c>
      <c r="V393" s="24" t="s">
        <v>92</v>
      </c>
      <c r="W393" s="23">
        <f>VLOOKUP(V393,[1]界面跳转!$I:$J,2,FALSE)</f>
        <v>7254</v>
      </c>
      <c r="Y393" s="23" t="s">
        <v>56</v>
      </c>
      <c r="Z393" s="23" t="s">
        <v>57</v>
      </c>
      <c r="AA393" s="23">
        <f t="shared" si="214"/>
        <v>12021</v>
      </c>
      <c r="AB393" s="23">
        <v>6622321</v>
      </c>
      <c r="AD393" s="23">
        <v>12</v>
      </c>
      <c r="AE393" s="23">
        <f t="shared" si="216"/>
        <v>21</v>
      </c>
    </row>
    <row r="394" spans="1:31" s="23" customFormat="1" x14ac:dyDescent="0.45">
      <c r="A394" s="23">
        <f t="shared" si="210"/>
        <v>10013220</v>
      </c>
      <c r="B394" s="23">
        <v>0</v>
      </c>
      <c r="C394" s="23">
        <v>13</v>
      </c>
      <c r="D394" s="23">
        <f t="shared" si="215"/>
        <v>22</v>
      </c>
      <c r="E394" s="23" t="s">
        <v>656</v>
      </c>
      <c r="F394" s="23" t="s">
        <v>677</v>
      </c>
      <c r="G394" s="23" t="s">
        <v>189</v>
      </c>
      <c r="H394" s="23">
        <v>260</v>
      </c>
      <c r="I394" s="23" t="s">
        <v>59</v>
      </c>
      <c r="J394" s="23" t="str">
        <f t="shared" si="211"/>
        <v>清剿任意等级【普通】蛮族260次</v>
      </c>
      <c r="K394" s="23">
        <f t="shared" si="212"/>
        <v>10013220</v>
      </c>
      <c r="L394" s="23" t="s">
        <v>602</v>
      </c>
      <c r="M394" s="23">
        <f t="shared" si="209"/>
        <v>10601010</v>
      </c>
      <c r="N394" s="23" t="s">
        <v>254</v>
      </c>
      <c r="O394" s="23" t="s">
        <v>52</v>
      </c>
      <c r="P394" s="4" t="s">
        <v>491</v>
      </c>
      <c r="Q394" s="23" t="s">
        <v>52</v>
      </c>
      <c r="R394" s="23" t="s">
        <v>190</v>
      </c>
      <c r="S394" s="24" t="str">
        <f t="shared" si="213"/>
        <v>statisticReach{type:"BattleKillMonsterEvent0_1",value:260}</v>
      </c>
      <c r="T394" s="24" t="s">
        <v>52</v>
      </c>
      <c r="U394" s="24" t="s">
        <v>191</v>
      </c>
      <c r="V394" s="24" t="s">
        <v>92</v>
      </c>
      <c r="W394" s="23">
        <f>VLOOKUP(V394,[1]界面跳转!$I:$J,2,FALSE)</f>
        <v>7254</v>
      </c>
      <c r="Y394" s="23" t="s">
        <v>56</v>
      </c>
      <c r="Z394" s="23" t="s">
        <v>57</v>
      </c>
      <c r="AA394" s="23">
        <f t="shared" si="214"/>
        <v>12022</v>
      </c>
      <c r="AB394" s="23">
        <v>6622322</v>
      </c>
      <c r="AD394" s="23">
        <v>12</v>
      </c>
      <c r="AE394" s="23">
        <f t="shared" si="216"/>
        <v>22</v>
      </c>
    </row>
    <row r="395" spans="1:31" s="23" customFormat="1" x14ac:dyDescent="0.45">
      <c r="A395" s="23">
        <f t="shared" si="210"/>
        <v>10013230</v>
      </c>
      <c r="B395" s="23">
        <v>0</v>
      </c>
      <c r="C395" s="23">
        <v>13</v>
      </c>
      <c r="D395" s="23">
        <f t="shared" si="215"/>
        <v>23</v>
      </c>
      <c r="E395" s="23" t="s">
        <v>656</v>
      </c>
      <c r="F395" s="23" t="s">
        <v>678</v>
      </c>
      <c r="G395" s="23" t="s">
        <v>189</v>
      </c>
      <c r="H395" s="23">
        <v>300</v>
      </c>
      <c r="I395" s="23" t="s">
        <v>59</v>
      </c>
      <c r="J395" s="23" t="str">
        <f t="shared" si="211"/>
        <v>清剿任意等级【普通】蛮族300次</v>
      </c>
      <c r="K395" s="23">
        <f t="shared" si="212"/>
        <v>10013230</v>
      </c>
      <c r="L395" s="23" t="s">
        <v>602</v>
      </c>
      <c r="M395" s="23">
        <f t="shared" si="209"/>
        <v>10601010</v>
      </c>
      <c r="N395" s="23" t="s">
        <v>254</v>
      </c>
      <c r="O395" s="23" t="s">
        <v>52</v>
      </c>
      <c r="P395" s="4" t="s">
        <v>491</v>
      </c>
      <c r="Q395" s="23" t="s">
        <v>52</v>
      </c>
      <c r="R395" s="23" t="s">
        <v>190</v>
      </c>
      <c r="S395" s="24" t="str">
        <f t="shared" si="213"/>
        <v>statisticReach{type:"BattleKillMonsterEvent0_1",value:300}</v>
      </c>
      <c r="T395" s="24" t="s">
        <v>52</v>
      </c>
      <c r="U395" s="24" t="s">
        <v>191</v>
      </c>
      <c r="V395" s="24" t="s">
        <v>92</v>
      </c>
      <c r="W395" s="23">
        <f>VLOOKUP(V395,[1]界面跳转!$I:$J,2,FALSE)</f>
        <v>7254</v>
      </c>
      <c r="Y395" s="23" t="s">
        <v>56</v>
      </c>
      <c r="Z395" s="23" t="s">
        <v>57</v>
      </c>
      <c r="AA395" s="23">
        <f t="shared" si="214"/>
        <v>12023</v>
      </c>
      <c r="AB395" s="23">
        <v>6622323</v>
      </c>
      <c r="AD395" s="23">
        <v>12</v>
      </c>
      <c r="AE395" s="23">
        <f t="shared" si="216"/>
        <v>23</v>
      </c>
    </row>
    <row r="396" spans="1:31" s="23" customFormat="1" x14ac:dyDescent="0.45">
      <c r="A396" s="23">
        <f t="shared" si="210"/>
        <v>10013240</v>
      </c>
      <c r="B396" s="23">
        <v>0</v>
      </c>
      <c r="C396" s="23">
        <v>13</v>
      </c>
      <c r="D396" s="23">
        <f t="shared" si="215"/>
        <v>24</v>
      </c>
      <c r="E396" s="23" t="s">
        <v>656</v>
      </c>
      <c r="F396" s="23" t="s">
        <v>679</v>
      </c>
      <c r="G396" s="23" t="s">
        <v>189</v>
      </c>
      <c r="H396" s="23">
        <v>350</v>
      </c>
      <c r="I396" s="23" t="s">
        <v>59</v>
      </c>
      <c r="J396" s="23" t="str">
        <f t="shared" si="211"/>
        <v>清剿任意等级【普通】蛮族350次</v>
      </c>
      <c r="K396" s="23">
        <f t="shared" si="212"/>
        <v>10013240</v>
      </c>
      <c r="L396" s="23" t="s">
        <v>602</v>
      </c>
      <c r="M396" s="23">
        <f t="shared" si="209"/>
        <v>10601010</v>
      </c>
      <c r="N396" s="23" t="s">
        <v>254</v>
      </c>
      <c r="O396" s="23" t="s">
        <v>52</v>
      </c>
      <c r="P396" s="4" t="s">
        <v>491</v>
      </c>
      <c r="Q396" s="23" t="s">
        <v>52</v>
      </c>
      <c r="R396" s="23" t="s">
        <v>190</v>
      </c>
      <c r="S396" s="24" t="str">
        <f t="shared" si="213"/>
        <v>statisticReach{type:"BattleKillMonsterEvent0_1",value:350}</v>
      </c>
      <c r="T396" s="24" t="s">
        <v>52</v>
      </c>
      <c r="U396" s="24" t="s">
        <v>191</v>
      </c>
      <c r="V396" s="24" t="s">
        <v>92</v>
      </c>
      <c r="W396" s="23">
        <f>VLOOKUP(V396,[1]界面跳转!$I:$J,2,FALSE)</f>
        <v>7254</v>
      </c>
      <c r="Y396" s="23" t="s">
        <v>56</v>
      </c>
      <c r="Z396" s="23" t="s">
        <v>57</v>
      </c>
      <c r="AA396" s="23">
        <f t="shared" si="214"/>
        <v>12024</v>
      </c>
      <c r="AB396" s="23">
        <v>6622324</v>
      </c>
      <c r="AD396" s="23">
        <v>12</v>
      </c>
      <c r="AE396" s="23">
        <f t="shared" si="216"/>
        <v>24</v>
      </c>
    </row>
    <row r="397" spans="1:31" s="23" customFormat="1" x14ac:dyDescent="0.45">
      <c r="A397" s="23">
        <f t="shared" si="210"/>
        <v>10013250</v>
      </c>
      <c r="B397" s="23">
        <v>0</v>
      </c>
      <c r="C397" s="23">
        <v>13</v>
      </c>
      <c r="D397" s="23">
        <f t="shared" si="215"/>
        <v>25</v>
      </c>
      <c r="E397" s="23" t="s">
        <v>656</v>
      </c>
      <c r="F397" s="23" t="s">
        <v>680</v>
      </c>
      <c r="G397" s="23" t="s">
        <v>189</v>
      </c>
      <c r="H397" s="23">
        <v>400</v>
      </c>
      <c r="I397" s="23" t="s">
        <v>59</v>
      </c>
      <c r="J397" s="23" t="str">
        <f t="shared" si="211"/>
        <v>清剿任意等级【普通】蛮族400次</v>
      </c>
      <c r="K397" s="23">
        <f t="shared" si="212"/>
        <v>10013250</v>
      </c>
      <c r="L397" s="23" t="s">
        <v>602</v>
      </c>
      <c r="M397" s="23">
        <f t="shared" si="209"/>
        <v>10601010</v>
      </c>
      <c r="N397" s="23" t="s">
        <v>254</v>
      </c>
      <c r="O397" s="23" t="s">
        <v>52</v>
      </c>
      <c r="P397" s="4" t="s">
        <v>491</v>
      </c>
      <c r="Q397" s="23" t="s">
        <v>52</v>
      </c>
      <c r="R397" s="23" t="s">
        <v>190</v>
      </c>
      <c r="S397" s="24" t="str">
        <f t="shared" si="213"/>
        <v>statisticReach{type:"BattleKillMonsterEvent0_1",value:400}</v>
      </c>
      <c r="T397" s="24" t="s">
        <v>52</v>
      </c>
      <c r="U397" s="24" t="s">
        <v>191</v>
      </c>
      <c r="V397" s="24" t="s">
        <v>92</v>
      </c>
      <c r="W397" s="23">
        <f>VLOOKUP(V397,[1]界面跳转!$I:$J,2,FALSE)</f>
        <v>7254</v>
      </c>
      <c r="Y397" s="23" t="s">
        <v>56</v>
      </c>
      <c r="Z397" s="23" t="s">
        <v>57</v>
      </c>
      <c r="AA397" s="23">
        <f t="shared" si="214"/>
        <v>12025</v>
      </c>
      <c r="AB397" s="23">
        <v>6622325</v>
      </c>
      <c r="AD397" s="23">
        <v>12</v>
      </c>
      <c r="AE397" s="23">
        <f t="shared" si="216"/>
        <v>25</v>
      </c>
    </row>
    <row r="398" spans="1:31" s="23" customFormat="1" x14ac:dyDescent="0.45">
      <c r="A398" s="23">
        <f t="shared" si="210"/>
        <v>10013260</v>
      </c>
      <c r="B398" s="23">
        <v>0</v>
      </c>
      <c r="C398" s="23">
        <v>13</v>
      </c>
      <c r="D398" s="23">
        <f t="shared" si="215"/>
        <v>26</v>
      </c>
      <c r="E398" s="23" t="s">
        <v>656</v>
      </c>
      <c r="F398" s="23" t="s">
        <v>681</v>
      </c>
      <c r="G398" s="23" t="s">
        <v>189</v>
      </c>
      <c r="H398" s="23">
        <v>450</v>
      </c>
      <c r="I398" s="23" t="s">
        <v>59</v>
      </c>
      <c r="J398" s="23" t="str">
        <f t="shared" si="211"/>
        <v>清剿任意等级【普通】蛮族450次</v>
      </c>
      <c r="K398" s="23">
        <f t="shared" si="212"/>
        <v>10013260</v>
      </c>
      <c r="L398" s="23" t="s">
        <v>602</v>
      </c>
      <c r="M398" s="23">
        <f t="shared" si="209"/>
        <v>10601010</v>
      </c>
      <c r="N398" s="23" t="s">
        <v>254</v>
      </c>
      <c r="O398" s="23" t="s">
        <v>52</v>
      </c>
      <c r="P398" s="4" t="s">
        <v>491</v>
      </c>
      <c r="Q398" s="23" t="s">
        <v>52</v>
      </c>
      <c r="R398" s="23" t="s">
        <v>190</v>
      </c>
      <c r="S398" s="24" t="str">
        <f t="shared" si="213"/>
        <v>statisticReach{type:"BattleKillMonsterEvent0_1",value:450}</v>
      </c>
      <c r="T398" s="24" t="s">
        <v>52</v>
      </c>
      <c r="U398" s="24" t="s">
        <v>191</v>
      </c>
      <c r="V398" s="24" t="s">
        <v>92</v>
      </c>
      <c r="W398" s="23">
        <f>VLOOKUP(V398,[1]界面跳转!$I:$J,2,FALSE)</f>
        <v>7254</v>
      </c>
      <c r="Y398" s="23" t="s">
        <v>56</v>
      </c>
      <c r="Z398" s="23" t="s">
        <v>57</v>
      </c>
      <c r="AA398" s="23">
        <f t="shared" si="214"/>
        <v>12026</v>
      </c>
      <c r="AB398" s="23">
        <v>6622326</v>
      </c>
      <c r="AD398" s="23">
        <v>12</v>
      </c>
      <c r="AE398" s="23">
        <f t="shared" si="216"/>
        <v>26</v>
      </c>
    </row>
    <row r="399" spans="1:31" s="23" customFormat="1" x14ac:dyDescent="0.45">
      <c r="A399" s="23">
        <f t="shared" si="210"/>
        <v>10013270</v>
      </c>
      <c r="B399" s="23">
        <v>0</v>
      </c>
      <c r="C399" s="23">
        <v>13</v>
      </c>
      <c r="D399" s="23">
        <f t="shared" si="215"/>
        <v>27</v>
      </c>
      <c r="E399" s="23" t="s">
        <v>656</v>
      </c>
      <c r="F399" s="23" t="s">
        <v>682</v>
      </c>
      <c r="G399" s="23" t="s">
        <v>189</v>
      </c>
      <c r="H399" s="23">
        <v>500</v>
      </c>
      <c r="I399" s="23" t="s">
        <v>59</v>
      </c>
      <c r="J399" s="23" t="str">
        <f t="shared" si="211"/>
        <v>清剿任意等级【普通】蛮族500次</v>
      </c>
      <c r="K399" s="23">
        <f t="shared" si="212"/>
        <v>10013270</v>
      </c>
      <c r="L399" s="23" t="s">
        <v>602</v>
      </c>
      <c r="M399" s="23">
        <f t="shared" si="209"/>
        <v>10601010</v>
      </c>
      <c r="N399" s="23" t="s">
        <v>254</v>
      </c>
      <c r="O399" s="23" t="s">
        <v>52</v>
      </c>
      <c r="P399" s="4" t="s">
        <v>491</v>
      </c>
      <c r="Q399" s="23" t="s">
        <v>52</v>
      </c>
      <c r="R399" s="23" t="s">
        <v>190</v>
      </c>
      <c r="S399" s="24" t="str">
        <f t="shared" si="213"/>
        <v>statisticReach{type:"BattleKillMonsterEvent0_1",value:500}</v>
      </c>
      <c r="T399" s="24" t="s">
        <v>52</v>
      </c>
      <c r="U399" s="24" t="s">
        <v>191</v>
      </c>
      <c r="V399" s="24" t="s">
        <v>92</v>
      </c>
      <c r="W399" s="23">
        <f>VLOOKUP(V399,[1]界面跳转!$I:$J,2,FALSE)</f>
        <v>7254</v>
      </c>
      <c r="Y399" s="23" t="s">
        <v>56</v>
      </c>
      <c r="Z399" s="23" t="s">
        <v>57</v>
      </c>
      <c r="AA399" s="23">
        <f t="shared" si="214"/>
        <v>12027</v>
      </c>
      <c r="AB399" s="23">
        <v>6622327</v>
      </c>
      <c r="AD399" s="23">
        <v>12</v>
      </c>
      <c r="AE399" s="23">
        <f t="shared" si="216"/>
        <v>27</v>
      </c>
    </row>
    <row r="400" spans="1:31" s="23" customFormat="1" x14ac:dyDescent="0.45">
      <c r="A400" s="23">
        <f t="shared" si="210"/>
        <v>10013280</v>
      </c>
      <c r="B400" s="23">
        <v>0</v>
      </c>
      <c r="C400" s="23">
        <v>13</v>
      </c>
      <c r="D400" s="23">
        <f t="shared" si="215"/>
        <v>28</v>
      </c>
      <c r="E400" s="23" t="s">
        <v>656</v>
      </c>
      <c r="F400" s="23" t="s">
        <v>683</v>
      </c>
      <c r="G400" s="23" t="s">
        <v>189</v>
      </c>
      <c r="H400" s="23">
        <v>550</v>
      </c>
      <c r="I400" s="23" t="s">
        <v>59</v>
      </c>
      <c r="J400" s="23" t="str">
        <f t="shared" si="211"/>
        <v>清剿任意等级【普通】蛮族550次</v>
      </c>
      <c r="K400" s="23">
        <f t="shared" si="212"/>
        <v>10013280</v>
      </c>
      <c r="L400" s="23" t="s">
        <v>602</v>
      </c>
      <c r="M400" s="23">
        <f t="shared" si="209"/>
        <v>10601010</v>
      </c>
      <c r="N400" s="23" t="s">
        <v>254</v>
      </c>
      <c r="O400" s="23" t="s">
        <v>52</v>
      </c>
      <c r="P400" s="4" t="s">
        <v>491</v>
      </c>
      <c r="Q400" s="23" t="s">
        <v>52</v>
      </c>
      <c r="R400" s="23" t="s">
        <v>190</v>
      </c>
      <c r="S400" s="24" t="str">
        <f t="shared" si="213"/>
        <v>statisticReach{type:"BattleKillMonsterEvent0_1",value:550}</v>
      </c>
      <c r="T400" s="24" t="s">
        <v>52</v>
      </c>
      <c r="U400" s="24" t="s">
        <v>191</v>
      </c>
      <c r="V400" s="24" t="s">
        <v>92</v>
      </c>
      <c r="W400" s="23">
        <f>VLOOKUP(V400,[1]界面跳转!$I:$J,2,FALSE)</f>
        <v>7254</v>
      </c>
      <c r="Y400" s="23" t="s">
        <v>56</v>
      </c>
      <c r="Z400" s="23" t="s">
        <v>57</v>
      </c>
      <c r="AA400" s="23">
        <f t="shared" si="214"/>
        <v>12028</v>
      </c>
      <c r="AB400" s="23">
        <v>6622328</v>
      </c>
      <c r="AD400" s="23">
        <v>12</v>
      </c>
      <c r="AE400" s="23">
        <f t="shared" si="216"/>
        <v>28</v>
      </c>
    </row>
    <row r="401" spans="1:31" s="23" customFormat="1" x14ac:dyDescent="0.45">
      <c r="A401" s="23">
        <f t="shared" si="210"/>
        <v>10013290</v>
      </c>
      <c r="B401" s="23">
        <v>0</v>
      </c>
      <c r="C401" s="23">
        <v>13</v>
      </c>
      <c r="D401" s="23">
        <f t="shared" si="215"/>
        <v>29</v>
      </c>
      <c r="E401" s="23" t="s">
        <v>656</v>
      </c>
      <c r="F401" s="23" t="s">
        <v>684</v>
      </c>
      <c r="G401" s="23" t="s">
        <v>189</v>
      </c>
      <c r="H401" s="23">
        <v>600</v>
      </c>
      <c r="I401" s="23" t="s">
        <v>59</v>
      </c>
      <c r="J401" s="23" t="str">
        <f t="shared" si="211"/>
        <v>清剿任意等级【普通】蛮族600次</v>
      </c>
      <c r="K401" s="23">
        <f t="shared" si="212"/>
        <v>10013290</v>
      </c>
      <c r="L401" s="23" t="s">
        <v>602</v>
      </c>
      <c r="M401" s="23">
        <f t="shared" si="209"/>
        <v>10601010</v>
      </c>
      <c r="N401" s="23" t="s">
        <v>254</v>
      </c>
      <c r="O401" s="23" t="s">
        <v>52</v>
      </c>
      <c r="P401" s="4" t="s">
        <v>491</v>
      </c>
      <c r="Q401" s="23" t="s">
        <v>52</v>
      </c>
      <c r="R401" s="23" t="s">
        <v>190</v>
      </c>
      <c r="S401" s="24" t="str">
        <f t="shared" si="213"/>
        <v>statisticReach{type:"BattleKillMonsterEvent0_1",value:600}</v>
      </c>
      <c r="T401" s="24" t="s">
        <v>52</v>
      </c>
      <c r="U401" s="24" t="s">
        <v>191</v>
      </c>
      <c r="V401" s="24" t="s">
        <v>92</v>
      </c>
      <c r="W401" s="23">
        <f>VLOOKUP(V401,[1]界面跳转!$I:$J,2,FALSE)</f>
        <v>7254</v>
      </c>
      <c r="Y401" s="23" t="s">
        <v>56</v>
      </c>
      <c r="Z401" s="23" t="s">
        <v>57</v>
      </c>
      <c r="AA401" s="23">
        <f t="shared" si="214"/>
        <v>12029</v>
      </c>
      <c r="AB401" s="23">
        <v>6622329</v>
      </c>
      <c r="AD401" s="23">
        <v>12</v>
      </c>
      <c r="AE401" s="23">
        <f t="shared" si="216"/>
        <v>29</v>
      </c>
    </row>
    <row r="402" spans="1:31" s="23" customFormat="1" x14ac:dyDescent="0.45">
      <c r="A402" s="23">
        <f t="shared" si="210"/>
        <v>10013300</v>
      </c>
      <c r="B402" s="23">
        <v>0</v>
      </c>
      <c r="C402" s="23">
        <v>13</v>
      </c>
      <c r="D402" s="23">
        <f t="shared" si="215"/>
        <v>30</v>
      </c>
      <c r="E402" s="23" t="s">
        <v>656</v>
      </c>
      <c r="F402" s="23" t="s">
        <v>685</v>
      </c>
      <c r="G402" s="23" t="s">
        <v>189</v>
      </c>
      <c r="H402" s="23">
        <v>650</v>
      </c>
      <c r="I402" s="23" t="s">
        <v>59</v>
      </c>
      <c r="J402" s="23" t="str">
        <f t="shared" si="211"/>
        <v>清剿任意等级【普通】蛮族650次</v>
      </c>
      <c r="K402" s="23">
        <f t="shared" si="212"/>
        <v>10013300</v>
      </c>
      <c r="L402" s="23" t="s">
        <v>602</v>
      </c>
      <c r="M402" s="23">
        <f t="shared" si="209"/>
        <v>10601010</v>
      </c>
      <c r="N402" s="23" t="s">
        <v>254</v>
      </c>
      <c r="O402" s="23" t="s">
        <v>52</v>
      </c>
      <c r="P402" s="4" t="s">
        <v>491</v>
      </c>
      <c r="Q402" s="23" t="s">
        <v>52</v>
      </c>
      <c r="R402" s="23" t="s">
        <v>190</v>
      </c>
      <c r="S402" s="24" t="str">
        <f t="shared" si="213"/>
        <v>statisticReach{type:"BattleKillMonsterEvent0_1",value:650}</v>
      </c>
      <c r="T402" s="24" t="s">
        <v>52</v>
      </c>
      <c r="U402" s="24" t="s">
        <v>191</v>
      </c>
      <c r="V402" s="24" t="s">
        <v>92</v>
      </c>
      <c r="W402" s="23">
        <f>VLOOKUP(V402,[1]界面跳转!$I:$J,2,FALSE)</f>
        <v>7254</v>
      </c>
      <c r="Y402" s="23" t="s">
        <v>56</v>
      </c>
      <c r="Z402" s="23" t="s">
        <v>57</v>
      </c>
      <c r="AA402" s="23">
        <f t="shared" si="214"/>
        <v>12030</v>
      </c>
      <c r="AB402" s="23">
        <v>6622330</v>
      </c>
      <c r="AD402" s="23">
        <v>12</v>
      </c>
      <c r="AE402" s="23">
        <f t="shared" si="216"/>
        <v>30</v>
      </c>
    </row>
    <row r="403" spans="1:31" s="23" customFormat="1" x14ac:dyDescent="0.45">
      <c r="A403" s="23">
        <f t="shared" si="210"/>
        <v>10013310</v>
      </c>
      <c r="B403" s="23">
        <v>0</v>
      </c>
      <c r="C403" s="23">
        <v>13</v>
      </c>
      <c r="D403" s="23">
        <f t="shared" si="215"/>
        <v>31</v>
      </c>
      <c r="E403" s="23" t="s">
        <v>656</v>
      </c>
      <c r="F403" s="23" t="s">
        <v>686</v>
      </c>
      <c r="G403" s="23" t="s">
        <v>189</v>
      </c>
      <c r="H403" s="23">
        <v>700</v>
      </c>
      <c r="I403" s="23" t="s">
        <v>59</v>
      </c>
      <c r="J403" s="23" t="str">
        <f t="shared" si="211"/>
        <v>清剿任意等级【普通】蛮族700次</v>
      </c>
      <c r="K403" s="23">
        <f t="shared" si="212"/>
        <v>10013310</v>
      </c>
      <c r="L403" s="23" t="s">
        <v>602</v>
      </c>
      <c r="M403" s="23">
        <f t="shared" ref="M403:M434" si="217">VLOOKUP(L403,J:K,2,FALSE)</f>
        <v>10601010</v>
      </c>
      <c r="N403" s="23" t="s">
        <v>254</v>
      </c>
      <c r="O403" s="23" t="s">
        <v>52</v>
      </c>
      <c r="P403" s="4" t="s">
        <v>491</v>
      </c>
      <c r="Q403" s="23" t="s">
        <v>52</v>
      </c>
      <c r="R403" s="23" t="s">
        <v>190</v>
      </c>
      <c r="S403" s="24" t="str">
        <f t="shared" si="213"/>
        <v>statisticReach{type:"BattleKillMonsterEvent0_1",value:700}</v>
      </c>
      <c r="T403" s="24" t="s">
        <v>52</v>
      </c>
      <c r="U403" s="24" t="s">
        <v>191</v>
      </c>
      <c r="V403" s="24" t="s">
        <v>92</v>
      </c>
      <c r="W403" s="23">
        <f>VLOOKUP(V403,[1]界面跳转!$I:$J,2,FALSE)</f>
        <v>7254</v>
      </c>
      <c r="Y403" s="23" t="s">
        <v>56</v>
      </c>
      <c r="Z403" s="23" t="s">
        <v>57</v>
      </c>
      <c r="AA403" s="23">
        <f t="shared" si="214"/>
        <v>12031</v>
      </c>
      <c r="AB403" s="23">
        <v>6622331</v>
      </c>
      <c r="AD403" s="23">
        <v>12</v>
      </c>
      <c r="AE403" s="23">
        <f t="shared" si="216"/>
        <v>31</v>
      </c>
    </row>
    <row r="404" spans="1:31" s="23" customFormat="1" x14ac:dyDescent="0.45">
      <c r="A404" s="23">
        <f t="shared" si="210"/>
        <v>10013320</v>
      </c>
      <c r="B404" s="23">
        <v>0</v>
      </c>
      <c r="C404" s="23">
        <v>13</v>
      </c>
      <c r="D404" s="23">
        <f t="shared" si="215"/>
        <v>32</v>
      </c>
      <c r="E404" s="23" t="s">
        <v>656</v>
      </c>
      <c r="F404" s="23" t="s">
        <v>687</v>
      </c>
      <c r="G404" s="23" t="s">
        <v>189</v>
      </c>
      <c r="H404" s="23">
        <v>750</v>
      </c>
      <c r="I404" s="23" t="s">
        <v>59</v>
      </c>
      <c r="J404" s="23" t="str">
        <f t="shared" si="211"/>
        <v>清剿任意等级【普通】蛮族750次</v>
      </c>
      <c r="K404" s="23">
        <f t="shared" si="212"/>
        <v>10013320</v>
      </c>
      <c r="L404" s="23" t="s">
        <v>602</v>
      </c>
      <c r="M404" s="23">
        <f t="shared" si="217"/>
        <v>10601010</v>
      </c>
      <c r="N404" s="23" t="s">
        <v>254</v>
      </c>
      <c r="O404" s="23" t="s">
        <v>52</v>
      </c>
      <c r="P404" s="4" t="s">
        <v>491</v>
      </c>
      <c r="Q404" s="23" t="s">
        <v>52</v>
      </c>
      <c r="R404" s="23" t="s">
        <v>190</v>
      </c>
      <c r="S404" s="24" t="str">
        <f t="shared" si="213"/>
        <v>statisticReach{type:"BattleKillMonsterEvent0_1",value:750}</v>
      </c>
      <c r="T404" s="24" t="s">
        <v>52</v>
      </c>
      <c r="U404" s="24" t="s">
        <v>191</v>
      </c>
      <c r="V404" s="24" t="s">
        <v>92</v>
      </c>
      <c r="W404" s="23">
        <f>VLOOKUP(V404,[1]界面跳转!$I:$J,2,FALSE)</f>
        <v>7254</v>
      </c>
      <c r="Y404" s="23" t="s">
        <v>56</v>
      </c>
      <c r="Z404" s="23" t="s">
        <v>57</v>
      </c>
      <c r="AA404" s="23">
        <f t="shared" si="214"/>
        <v>12032</v>
      </c>
      <c r="AB404" s="23">
        <v>6622332</v>
      </c>
      <c r="AD404" s="23">
        <v>12</v>
      </c>
      <c r="AE404" s="23">
        <f t="shared" si="216"/>
        <v>32</v>
      </c>
    </row>
    <row r="405" spans="1:31" s="23" customFormat="1" x14ac:dyDescent="0.45">
      <c r="A405" s="23">
        <f t="shared" si="210"/>
        <v>10013330</v>
      </c>
      <c r="B405" s="23">
        <v>0</v>
      </c>
      <c r="C405" s="23">
        <v>13</v>
      </c>
      <c r="D405" s="23">
        <f t="shared" si="215"/>
        <v>33</v>
      </c>
      <c r="E405" s="23" t="s">
        <v>656</v>
      </c>
      <c r="F405" s="23" t="s">
        <v>688</v>
      </c>
      <c r="G405" s="23" t="s">
        <v>189</v>
      </c>
      <c r="H405" s="23">
        <v>800</v>
      </c>
      <c r="I405" s="23" t="s">
        <v>59</v>
      </c>
      <c r="J405" s="23" t="str">
        <f t="shared" si="211"/>
        <v>清剿任意等级【普通】蛮族800次</v>
      </c>
      <c r="K405" s="23">
        <f t="shared" si="212"/>
        <v>10013330</v>
      </c>
      <c r="L405" s="23" t="s">
        <v>602</v>
      </c>
      <c r="M405" s="23">
        <f t="shared" si="217"/>
        <v>10601010</v>
      </c>
      <c r="N405" s="23" t="s">
        <v>254</v>
      </c>
      <c r="O405" s="23" t="s">
        <v>52</v>
      </c>
      <c r="P405" s="4" t="s">
        <v>491</v>
      </c>
      <c r="Q405" s="23" t="s">
        <v>52</v>
      </c>
      <c r="R405" s="23" t="s">
        <v>190</v>
      </c>
      <c r="S405" s="24" t="str">
        <f t="shared" si="213"/>
        <v>statisticReach{type:"BattleKillMonsterEvent0_1",value:800}</v>
      </c>
      <c r="T405" s="24" t="s">
        <v>52</v>
      </c>
      <c r="U405" s="24" t="s">
        <v>191</v>
      </c>
      <c r="V405" s="24" t="s">
        <v>92</v>
      </c>
      <c r="W405" s="23">
        <f>VLOOKUP(V405,[1]界面跳转!$I:$J,2,FALSE)</f>
        <v>7254</v>
      </c>
      <c r="Y405" s="23" t="s">
        <v>56</v>
      </c>
      <c r="Z405" s="23" t="s">
        <v>57</v>
      </c>
      <c r="AA405" s="23">
        <f t="shared" si="214"/>
        <v>12033</v>
      </c>
      <c r="AB405" s="23">
        <v>6622333</v>
      </c>
      <c r="AD405" s="23">
        <v>12</v>
      </c>
      <c r="AE405" s="23">
        <f t="shared" si="216"/>
        <v>33</v>
      </c>
    </row>
    <row r="406" spans="1:31" s="23" customFormat="1" x14ac:dyDescent="0.45">
      <c r="A406" s="23">
        <f t="shared" si="210"/>
        <v>10013340</v>
      </c>
      <c r="B406" s="23">
        <v>0</v>
      </c>
      <c r="C406" s="23">
        <v>13</v>
      </c>
      <c r="D406" s="23">
        <f t="shared" si="215"/>
        <v>34</v>
      </c>
      <c r="E406" s="23" t="s">
        <v>656</v>
      </c>
      <c r="F406" s="23" t="s">
        <v>689</v>
      </c>
      <c r="G406" s="23" t="s">
        <v>189</v>
      </c>
      <c r="H406" s="23">
        <v>850</v>
      </c>
      <c r="I406" s="23" t="s">
        <v>59</v>
      </c>
      <c r="J406" s="23" t="str">
        <f t="shared" si="211"/>
        <v>清剿任意等级【普通】蛮族850次</v>
      </c>
      <c r="K406" s="23">
        <f t="shared" si="212"/>
        <v>10013340</v>
      </c>
      <c r="L406" s="23" t="s">
        <v>602</v>
      </c>
      <c r="M406" s="23">
        <f t="shared" si="217"/>
        <v>10601010</v>
      </c>
      <c r="N406" s="23" t="s">
        <v>254</v>
      </c>
      <c r="O406" s="23" t="s">
        <v>52</v>
      </c>
      <c r="P406" s="4" t="s">
        <v>491</v>
      </c>
      <c r="Q406" s="23" t="s">
        <v>52</v>
      </c>
      <c r="R406" s="23" t="s">
        <v>190</v>
      </c>
      <c r="S406" s="24" t="str">
        <f t="shared" si="213"/>
        <v>statisticReach{type:"BattleKillMonsterEvent0_1",value:850}</v>
      </c>
      <c r="T406" s="24" t="s">
        <v>52</v>
      </c>
      <c r="U406" s="24" t="s">
        <v>191</v>
      </c>
      <c r="V406" s="24" t="s">
        <v>92</v>
      </c>
      <c r="W406" s="23">
        <f>VLOOKUP(V406,[1]界面跳转!$I:$J,2,FALSE)</f>
        <v>7254</v>
      </c>
      <c r="Y406" s="23" t="s">
        <v>56</v>
      </c>
      <c r="Z406" s="23" t="s">
        <v>57</v>
      </c>
      <c r="AA406" s="23">
        <f t="shared" si="214"/>
        <v>12034</v>
      </c>
      <c r="AB406" s="23">
        <v>6622334</v>
      </c>
      <c r="AD406" s="23">
        <v>12</v>
      </c>
      <c r="AE406" s="23">
        <f t="shared" si="216"/>
        <v>34</v>
      </c>
    </row>
    <row r="407" spans="1:31" s="23" customFormat="1" x14ac:dyDescent="0.45">
      <c r="A407" s="23">
        <f t="shared" si="210"/>
        <v>10013350</v>
      </c>
      <c r="B407" s="23">
        <v>0</v>
      </c>
      <c r="C407" s="23">
        <v>13</v>
      </c>
      <c r="D407" s="23">
        <f t="shared" si="215"/>
        <v>35</v>
      </c>
      <c r="E407" s="23" t="s">
        <v>656</v>
      </c>
      <c r="F407" s="23" t="s">
        <v>690</v>
      </c>
      <c r="G407" s="23" t="s">
        <v>189</v>
      </c>
      <c r="H407" s="23">
        <v>900</v>
      </c>
      <c r="I407" s="23" t="s">
        <v>59</v>
      </c>
      <c r="J407" s="23" t="str">
        <f t="shared" si="211"/>
        <v>清剿任意等级【普通】蛮族900次</v>
      </c>
      <c r="K407" s="23">
        <f t="shared" si="212"/>
        <v>10013350</v>
      </c>
      <c r="L407" s="23" t="s">
        <v>602</v>
      </c>
      <c r="M407" s="23">
        <f t="shared" si="217"/>
        <v>10601010</v>
      </c>
      <c r="N407" s="23" t="s">
        <v>254</v>
      </c>
      <c r="O407" s="23" t="s">
        <v>52</v>
      </c>
      <c r="P407" s="4" t="s">
        <v>491</v>
      </c>
      <c r="Q407" s="23" t="s">
        <v>52</v>
      </c>
      <c r="R407" s="23" t="s">
        <v>190</v>
      </c>
      <c r="S407" s="24" t="str">
        <f t="shared" si="213"/>
        <v>statisticReach{type:"BattleKillMonsterEvent0_1",value:900}</v>
      </c>
      <c r="T407" s="24" t="s">
        <v>52</v>
      </c>
      <c r="U407" s="24" t="s">
        <v>191</v>
      </c>
      <c r="V407" s="24" t="s">
        <v>92</v>
      </c>
      <c r="W407" s="23">
        <f>VLOOKUP(V407,[1]界面跳转!$I:$J,2,FALSE)</f>
        <v>7254</v>
      </c>
      <c r="Y407" s="23" t="s">
        <v>56</v>
      </c>
      <c r="Z407" s="23" t="s">
        <v>57</v>
      </c>
      <c r="AA407" s="23">
        <f t="shared" si="214"/>
        <v>12035</v>
      </c>
      <c r="AB407" s="23">
        <v>6622335</v>
      </c>
      <c r="AD407" s="23">
        <v>12</v>
      </c>
      <c r="AE407" s="23">
        <f t="shared" si="216"/>
        <v>35</v>
      </c>
    </row>
    <row r="408" spans="1:31" s="23" customFormat="1" x14ac:dyDescent="0.45">
      <c r="A408" s="23">
        <f t="shared" si="210"/>
        <v>10013360</v>
      </c>
      <c r="B408" s="23">
        <v>0</v>
      </c>
      <c r="C408" s="23">
        <v>13</v>
      </c>
      <c r="D408" s="23">
        <f t="shared" si="215"/>
        <v>36</v>
      </c>
      <c r="E408" s="23" t="s">
        <v>656</v>
      </c>
      <c r="F408" s="23" t="s">
        <v>691</v>
      </c>
      <c r="G408" s="23" t="s">
        <v>189</v>
      </c>
      <c r="H408" s="23">
        <v>950</v>
      </c>
      <c r="I408" s="23" t="s">
        <v>59</v>
      </c>
      <c r="J408" s="23" t="str">
        <f t="shared" si="211"/>
        <v>清剿任意等级【普通】蛮族950次</v>
      </c>
      <c r="K408" s="23">
        <f t="shared" si="212"/>
        <v>10013360</v>
      </c>
      <c r="L408" s="23" t="s">
        <v>602</v>
      </c>
      <c r="M408" s="23">
        <f t="shared" si="217"/>
        <v>10601010</v>
      </c>
      <c r="N408" s="23" t="s">
        <v>254</v>
      </c>
      <c r="O408" s="23" t="s">
        <v>52</v>
      </c>
      <c r="P408" s="4" t="s">
        <v>491</v>
      </c>
      <c r="Q408" s="23" t="s">
        <v>52</v>
      </c>
      <c r="R408" s="23" t="s">
        <v>190</v>
      </c>
      <c r="S408" s="24" t="str">
        <f t="shared" si="213"/>
        <v>statisticReach{type:"BattleKillMonsterEvent0_1",value:950}</v>
      </c>
      <c r="T408" s="24" t="s">
        <v>52</v>
      </c>
      <c r="U408" s="24" t="s">
        <v>191</v>
      </c>
      <c r="V408" s="24" t="s">
        <v>92</v>
      </c>
      <c r="W408" s="23">
        <f>VLOOKUP(V408,[1]界面跳转!$I:$J,2,FALSE)</f>
        <v>7254</v>
      </c>
      <c r="Y408" s="23" t="s">
        <v>56</v>
      </c>
      <c r="Z408" s="23" t="s">
        <v>57</v>
      </c>
      <c r="AA408" s="23">
        <f t="shared" si="214"/>
        <v>12036</v>
      </c>
      <c r="AB408" s="23">
        <v>6622336</v>
      </c>
      <c r="AD408" s="23">
        <v>12</v>
      </c>
      <c r="AE408" s="23">
        <f t="shared" si="216"/>
        <v>36</v>
      </c>
    </row>
    <row r="409" spans="1:31" s="23" customFormat="1" x14ac:dyDescent="0.45">
      <c r="A409" s="23">
        <f t="shared" si="210"/>
        <v>10013370</v>
      </c>
      <c r="B409" s="23">
        <v>0</v>
      </c>
      <c r="C409" s="23">
        <v>13</v>
      </c>
      <c r="D409" s="23">
        <f t="shared" si="215"/>
        <v>37</v>
      </c>
      <c r="E409" s="23" t="s">
        <v>656</v>
      </c>
      <c r="F409" s="23" t="s">
        <v>692</v>
      </c>
      <c r="G409" s="23" t="s">
        <v>189</v>
      </c>
      <c r="H409" s="23">
        <v>1000</v>
      </c>
      <c r="I409" s="23" t="s">
        <v>59</v>
      </c>
      <c r="J409" s="23" t="str">
        <f t="shared" si="211"/>
        <v>清剿任意等级【普通】蛮族1000次</v>
      </c>
      <c r="K409" s="23">
        <f t="shared" si="212"/>
        <v>10013370</v>
      </c>
      <c r="L409" s="23" t="s">
        <v>602</v>
      </c>
      <c r="M409" s="23">
        <f t="shared" si="217"/>
        <v>10601010</v>
      </c>
      <c r="N409" s="23" t="s">
        <v>254</v>
      </c>
      <c r="O409" s="23" t="s">
        <v>52</v>
      </c>
      <c r="P409" s="4" t="s">
        <v>491</v>
      </c>
      <c r="Q409" s="23" t="s">
        <v>52</v>
      </c>
      <c r="R409" s="23" t="s">
        <v>190</v>
      </c>
      <c r="S409" s="24" t="str">
        <f t="shared" si="213"/>
        <v>statisticReach{type:"BattleKillMonsterEvent0_1",value:1000}</v>
      </c>
      <c r="T409" s="24" t="s">
        <v>52</v>
      </c>
      <c r="U409" s="24" t="s">
        <v>191</v>
      </c>
      <c r="V409" s="24" t="s">
        <v>92</v>
      </c>
      <c r="W409" s="23">
        <f>VLOOKUP(V409,[1]界面跳转!$I:$J,2,FALSE)</f>
        <v>7254</v>
      </c>
      <c r="Y409" s="23" t="s">
        <v>56</v>
      </c>
      <c r="Z409" s="23" t="s">
        <v>57</v>
      </c>
      <c r="AA409" s="23">
        <f t="shared" si="214"/>
        <v>12037</v>
      </c>
      <c r="AB409" s="23">
        <v>6622337</v>
      </c>
      <c r="AD409" s="23">
        <v>12</v>
      </c>
      <c r="AE409" s="23">
        <f t="shared" si="216"/>
        <v>37</v>
      </c>
    </row>
    <row r="410" spans="1:31" s="26" customFormat="1" ht="16.149999999999999" customHeight="1" x14ac:dyDescent="0.45">
      <c r="A410" s="26">
        <f t="shared" si="210"/>
        <v>10014010</v>
      </c>
      <c r="B410" s="26">
        <v>0</v>
      </c>
      <c r="C410" s="26">
        <v>14</v>
      </c>
      <c r="D410" s="26">
        <f t="shared" si="215"/>
        <v>1</v>
      </c>
      <c r="E410" s="26" t="s">
        <v>693</v>
      </c>
      <c r="F410" s="63" t="s">
        <v>3291</v>
      </c>
      <c r="G410" s="54" t="s">
        <v>695</v>
      </c>
      <c r="H410" s="54">
        <v>10</v>
      </c>
      <c r="I410" s="54" t="s">
        <v>63</v>
      </c>
      <c r="J410" s="26" t="str">
        <f t="shared" si="211"/>
        <v>任意2个英雄等级提升至10级</v>
      </c>
      <c r="K410" s="26">
        <f t="shared" si="212"/>
        <v>10014010</v>
      </c>
      <c r="L410" s="26" t="s">
        <v>696</v>
      </c>
      <c r="M410" s="26">
        <f t="shared" si="217"/>
        <v>10901020</v>
      </c>
      <c r="N410" s="26" t="s">
        <v>254</v>
      </c>
      <c r="O410" s="26" t="s">
        <v>52</v>
      </c>
      <c r="P410" s="4" t="s">
        <v>491</v>
      </c>
      <c r="Q410" s="26" t="s">
        <v>52</v>
      </c>
      <c r="R410" s="26" t="s">
        <v>697</v>
      </c>
      <c r="S410" s="56" t="str">
        <f t="shared" si="213"/>
        <v>heroLevel{level:10,count:2}</v>
      </c>
      <c r="T410" s="48" t="s">
        <v>52</v>
      </c>
      <c r="U410" s="48" t="s">
        <v>61</v>
      </c>
      <c r="V410" s="48" t="s">
        <v>112</v>
      </c>
      <c r="W410" s="26">
        <v>100357</v>
      </c>
      <c r="Y410" s="26" t="s">
        <v>56</v>
      </c>
      <c r="Z410" s="26" t="s">
        <v>57</v>
      </c>
      <c r="AA410" s="26">
        <f t="shared" si="214"/>
        <v>10001</v>
      </c>
      <c r="AB410" s="26">
        <v>6622301</v>
      </c>
      <c r="AD410" s="26">
        <v>10</v>
      </c>
      <c r="AE410" s="26">
        <f t="shared" si="216"/>
        <v>1</v>
      </c>
    </row>
    <row r="411" spans="1:31" s="26" customFormat="1" ht="16.149999999999999" customHeight="1" x14ac:dyDescent="0.45">
      <c r="A411" s="26">
        <f t="shared" si="210"/>
        <v>10014020</v>
      </c>
      <c r="B411" s="26">
        <v>0</v>
      </c>
      <c r="C411" s="26">
        <v>14</v>
      </c>
      <c r="D411" s="26">
        <f t="shared" si="215"/>
        <v>2</v>
      </c>
      <c r="E411" s="26" t="s">
        <v>693</v>
      </c>
      <c r="F411" s="26" t="s">
        <v>698</v>
      </c>
      <c r="G411" s="54" t="s">
        <v>695</v>
      </c>
      <c r="H411" s="54">
        <v>15</v>
      </c>
      <c r="I411" s="54" t="s">
        <v>63</v>
      </c>
      <c r="J411" s="26" t="str">
        <f t="shared" si="211"/>
        <v>任意2个英雄等级提升至15级</v>
      </c>
      <c r="K411" s="26">
        <f t="shared" si="212"/>
        <v>10014020</v>
      </c>
      <c r="L411" s="26" t="s">
        <v>696</v>
      </c>
      <c r="M411" s="26">
        <f t="shared" si="217"/>
        <v>10901020</v>
      </c>
      <c r="N411" s="26" t="s">
        <v>254</v>
      </c>
      <c r="O411" s="26" t="s">
        <v>52</v>
      </c>
      <c r="P411" s="4" t="s">
        <v>491</v>
      </c>
      <c r="Q411" s="26" t="s">
        <v>52</v>
      </c>
      <c r="R411" s="26" t="s">
        <v>697</v>
      </c>
      <c r="S411" s="56" t="str">
        <f t="shared" si="213"/>
        <v>heroLevel{level:15,count:2}</v>
      </c>
      <c r="T411" s="48" t="s">
        <v>52</v>
      </c>
      <c r="U411" s="48" t="s">
        <v>61</v>
      </c>
      <c r="V411" s="48" t="s">
        <v>112</v>
      </c>
      <c r="W411" s="26">
        <v>100358</v>
      </c>
      <c r="Y411" s="26" t="s">
        <v>56</v>
      </c>
      <c r="Z411" s="26" t="s">
        <v>57</v>
      </c>
      <c r="AA411" s="26">
        <f t="shared" si="214"/>
        <v>10002</v>
      </c>
      <c r="AB411" s="26">
        <v>6622302</v>
      </c>
      <c r="AD411" s="26">
        <v>10</v>
      </c>
      <c r="AE411" s="26">
        <f t="shared" si="216"/>
        <v>2</v>
      </c>
    </row>
    <row r="412" spans="1:31" s="26" customFormat="1" ht="16.149999999999999" customHeight="1" x14ac:dyDescent="0.45">
      <c r="A412" s="26">
        <f t="shared" si="210"/>
        <v>10014030</v>
      </c>
      <c r="B412" s="26">
        <v>0</v>
      </c>
      <c r="C412" s="26">
        <v>14</v>
      </c>
      <c r="D412" s="26">
        <f t="shared" si="215"/>
        <v>3</v>
      </c>
      <c r="E412" s="26" t="s">
        <v>693</v>
      </c>
      <c r="F412" s="26" t="s">
        <v>699</v>
      </c>
      <c r="G412" s="54" t="s">
        <v>695</v>
      </c>
      <c r="H412" s="54">
        <v>20</v>
      </c>
      <c r="I412" s="54" t="s">
        <v>63</v>
      </c>
      <c r="J412" s="26" t="str">
        <f t="shared" si="211"/>
        <v>任意2个英雄等级提升至20级</v>
      </c>
      <c r="K412" s="26">
        <f t="shared" si="212"/>
        <v>10014030</v>
      </c>
      <c r="L412" s="26" t="s">
        <v>696</v>
      </c>
      <c r="M412" s="26">
        <f t="shared" si="217"/>
        <v>10901020</v>
      </c>
      <c r="N412" s="26" t="s">
        <v>254</v>
      </c>
      <c r="O412" s="26" t="s">
        <v>52</v>
      </c>
      <c r="P412" s="4" t="s">
        <v>491</v>
      </c>
      <c r="Q412" s="26" t="s">
        <v>52</v>
      </c>
      <c r="R412" s="26" t="s">
        <v>697</v>
      </c>
      <c r="S412" s="56" t="str">
        <f t="shared" si="213"/>
        <v>heroLevel{level:20,count:2}</v>
      </c>
      <c r="T412" s="48" t="s">
        <v>52</v>
      </c>
      <c r="U412" s="48" t="s">
        <v>61</v>
      </c>
      <c r="V412" s="48" t="s">
        <v>112</v>
      </c>
      <c r="W412" s="26">
        <v>100359</v>
      </c>
      <c r="Y412" s="26" t="s">
        <v>56</v>
      </c>
      <c r="Z412" s="26" t="s">
        <v>57</v>
      </c>
      <c r="AA412" s="26">
        <f t="shared" si="214"/>
        <v>10003</v>
      </c>
      <c r="AB412" s="26">
        <v>6622303</v>
      </c>
      <c r="AD412" s="26">
        <v>10</v>
      </c>
      <c r="AE412" s="26">
        <f t="shared" si="216"/>
        <v>3</v>
      </c>
    </row>
    <row r="413" spans="1:31" s="26" customFormat="1" ht="16.149999999999999" customHeight="1" x14ac:dyDescent="0.45">
      <c r="A413" s="26">
        <f t="shared" si="210"/>
        <v>10014040</v>
      </c>
      <c r="B413" s="26">
        <v>0</v>
      </c>
      <c r="C413" s="26">
        <v>14</v>
      </c>
      <c r="D413" s="26">
        <f t="shared" si="215"/>
        <v>4</v>
      </c>
      <c r="E413" s="26" t="s">
        <v>693</v>
      </c>
      <c r="F413" s="26" t="s">
        <v>700</v>
      </c>
      <c r="G413" s="54" t="s">
        <v>695</v>
      </c>
      <c r="H413" s="54">
        <v>25</v>
      </c>
      <c r="I413" s="54" t="s">
        <v>63</v>
      </c>
      <c r="J413" s="26" t="str">
        <f t="shared" si="211"/>
        <v>任意2个英雄等级提升至25级</v>
      </c>
      <c r="K413" s="26">
        <f t="shared" si="212"/>
        <v>10014040</v>
      </c>
      <c r="L413" s="26" t="s">
        <v>696</v>
      </c>
      <c r="M413" s="26">
        <f t="shared" si="217"/>
        <v>10901020</v>
      </c>
      <c r="N413" s="26" t="s">
        <v>254</v>
      </c>
      <c r="O413" s="26" t="s">
        <v>52</v>
      </c>
      <c r="P413" s="4" t="s">
        <v>491</v>
      </c>
      <c r="Q413" s="26" t="s">
        <v>52</v>
      </c>
      <c r="R413" s="26" t="s">
        <v>697</v>
      </c>
      <c r="S413" s="56" t="str">
        <f t="shared" si="213"/>
        <v>heroLevel{level:25,count:2}</v>
      </c>
      <c r="T413" s="48" t="s">
        <v>52</v>
      </c>
      <c r="U413" s="48" t="s">
        <v>61</v>
      </c>
      <c r="V413" s="48" t="s">
        <v>112</v>
      </c>
      <c r="W413" s="26">
        <v>100360</v>
      </c>
      <c r="Y413" s="26" t="s">
        <v>56</v>
      </c>
      <c r="Z413" s="26" t="s">
        <v>57</v>
      </c>
      <c r="AA413" s="26">
        <f t="shared" si="214"/>
        <v>10004</v>
      </c>
      <c r="AB413" s="26">
        <v>6622304</v>
      </c>
      <c r="AD413" s="26">
        <v>10</v>
      </c>
      <c r="AE413" s="26">
        <f t="shared" si="216"/>
        <v>4</v>
      </c>
    </row>
    <row r="414" spans="1:31" s="26" customFormat="1" ht="16.149999999999999" customHeight="1" x14ac:dyDescent="0.45">
      <c r="A414" s="26">
        <f t="shared" si="210"/>
        <v>10014050</v>
      </c>
      <c r="B414" s="26">
        <v>0</v>
      </c>
      <c r="C414" s="26">
        <v>14</v>
      </c>
      <c r="D414" s="26">
        <f t="shared" si="215"/>
        <v>5</v>
      </c>
      <c r="E414" s="26" t="s">
        <v>693</v>
      </c>
      <c r="F414" s="26" t="s">
        <v>701</v>
      </c>
      <c r="G414" s="54" t="s">
        <v>695</v>
      </c>
      <c r="H414" s="54">
        <v>30</v>
      </c>
      <c r="I414" s="54" t="s">
        <v>63</v>
      </c>
      <c r="J414" s="26" t="str">
        <f t="shared" si="211"/>
        <v>任意2个英雄等级提升至30级</v>
      </c>
      <c r="K414" s="26">
        <f t="shared" si="212"/>
        <v>10014050</v>
      </c>
      <c r="L414" s="26" t="s">
        <v>696</v>
      </c>
      <c r="M414" s="26">
        <f t="shared" si="217"/>
        <v>10901020</v>
      </c>
      <c r="N414" s="26" t="s">
        <v>254</v>
      </c>
      <c r="O414" s="26" t="s">
        <v>52</v>
      </c>
      <c r="P414" s="4" t="s">
        <v>491</v>
      </c>
      <c r="Q414" s="26" t="s">
        <v>52</v>
      </c>
      <c r="R414" s="26" t="s">
        <v>697</v>
      </c>
      <c r="S414" s="56" t="str">
        <f t="shared" si="213"/>
        <v>heroLevel{level:30,count:2}</v>
      </c>
      <c r="T414" s="48" t="s">
        <v>52</v>
      </c>
      <c r="U414" s="48" t="s">
        <v>61</v>
      </c>
      <c r="V414" s="48" t="s">
        <v>112</v>
      </c>
      <c r="W414" s="26">
        <v>100361</v>
      </c>
      <c r="Y414" s="26" t="s">
        <v>56</v>
      </c>
      <c r="Z414" s="26" t="s">
        <v>57</v>
      </c>
      <c r="AA414" s="26">
        <f t="shared" si="214"/>
        <v>10005</v>
      </c>
      <c r="AB414" s="26">
        <v>6622305</v>
      </c>
      <c r="AD414" s="26">
        <v>10</v>
      </c>
      <c r="AE414" s="26">
        <f t="shared" si="216"/>
        <v>5</v>
      </c>
    </row>
    <row r="415" spans="1:31" s="26" customFormat="1" ht="16.149999999999999" customHeight="1" x14ac:dyDescent="0.45">
      <c r="A415" s="26">
        <f t="shared" si="210"/>
        <v>10014060</v>
      </c>
      <c r="B415" s="26">
        <v>0</v>
      </c>
      <c r="C415" s="26">
        <v>14</v>
      </c>
      <c r="D415" s="26">
        <f t="shared" si="215"/>
        <v>6</v>
      </c>
      <c r="E415" s="26" t="s">
        <v>693</v>
      </c>
      <c r="F415" s="26" t="s">
        <v>702</v>
      </c>
      <c r="G415" s="54" t="s">
        <v>695</v>
      </c>
      <c r="H415" s="54">
        <v>35</v>
      </c>
      <c r="I415" s="54" t="s">
        <v>63</v>
      </c>
      <c r="J415" s="26" t="str">
        <f t="shared" si="211"/>
        <v>任意2个英雄等级提升至35级</v>
      </c>
      <c r="K415" s="26">
        <f t="shared" si="212"/>
        <v>10014060</v>
      </c>
      <c r="L415" s="26" t="s">
        <v>696</v>
      </c>
      <c r="M415" s="26">
        <f t="shared" si="217"/>
        <v>10901020</v>
      </c>
      <c r="N415" s="26" t="s">
        <v>254</v>
      </c>
      <c r="O415" s="26" t="s">
        <v>52</v>
      </c>
      <c r="P415" s="4" t="s">
        <v>491</v>
      </c>
      <c r="Q415" s="26" t="s">
        <v>52</v>
      </c>
      <c r="R415" s="26" t="s">
        <v>697</v>
      </c>
      <c r="S415" s="56" t="str">
        <f t="shared" si="213"/>
        <v>heroLevel{level:35,count:2}</v>
      </c>
      <c r="T415" s="48" t="s">
        <v>52</v>
      </c>
      <c r="U415" s="48" t="s">
        <v>61</v>
      </c>
      <c r="V415" s="48" t="s">
        <v>112</v>
      </c>
      <c r="W415" s="26">
        <v>100362</v>
      </c>
      <c r="Y415" s="26" t="s">
        <v>56</v>
      </c>
      <c r="Z415" s="26" t="s">
        <v>57</v>
      </c>
      <c r="AA415" s="26">
        <f t="shared" si="214"/>
        <v>10006</v>
      </c>
      <c r="AB415" s="26">
        <v>6622306</v>
      </c>
      <c r="AD415" s="26">
        <v>10</v>
      </c>
      <c r="AE415" s="26">
        <f t="shared" si="216"/>
        <v>6</v>
      </c>
    </row>
    <row r="416" spans="1:31" s="26" customFormat="1" ht="16.149999999999999" customHeight="1" x14ac:dyDescent="0.45">
      <c r="A416" s="26">
        <f t="shared" si="210"/>
        <v>10014070</v>
      </c>
      <c r="B416" s="26">
        <v>0</v>
      </c>
      <c r="C416" s="26">
        <v>14</v>
      </c>
      <c r="D416" s="26">
        <f t="shared" si="215"/>
        <v>7</v>
      </c>
      <c r="E416" s="26" t="s">
        <v>693</v>
      </c>
      <c r="F416" s="26" t="s">
        <v>703</v>
      </c>
      <c r="G416" s="54" t="s">
        <v>695</v>
      </c>
      <c r="H416" s="54">
        <v>40</v>
      </c>
      <c r="I416" s="54" t="s">
        <v>63</v>
      </c>
      <c r="J416" s="26" t="str">
        <f t="shared" si="211"/>
        <v>任意2个英雄等级提升至40级</v>
      </c>
      <c r="K416" s="26">
        <f t="shared" si="212"/>
        <v>10014070</v>
      </c>
      <c r="L416" s="26" t="s">
        <v>696</v>
      </c>
      <c r="M416" s="26">
        <f t="shared" si="217"/>
        <v>10901020</v>
      </c>
      <c r="N416" s="26" t="s">
        <v>254</v>
      </c>
      <c r="O416" s="26" t="s">
        <v>52</v>
      </c>
      <c r="P416" s="4" t="s">
        <v>491</v>
      </c>
      <c r="Q416" s="26" t="s">
        <v>52</v>
      </c>
      <c r="R416" s="26" t="s">
        <v>697</v>
      </c>
      <c r="S416" s="56" t="str">
        <f t="shared" si="213"/>
        <v>heroLevel{level:40,count:2}</v>
      </c>
      <c r="T416" s="48" t="s">
        <v>52</v>
      </c>
      <c r="U416" s="48" t="s">
        <v>61</v>
      </c>
      <c r="V416" s="48" t="s">
        <v>112</v>
      </c>
      <c r="W416" s="26">
        <v>100363</v>
      </c>
      <c r="Y416" s="26" t="s">
        <v>56</v>
      </c>
      <c r="Z416" s="26" t="s">
        <v>57</v>
      </c>
      <c r="AA416" s="26">
        <f t="shared" si="214"/>
        <v>10007</v>
      </c>
      <c r="AB416" s="26">
        <v>6622307</v>
      </c>
      <c r="AD416" s="26">
        <v>10</v>
      </c>
      <c r="AE416" s="26">
        <f t="shared" si="216"/>
        <v>7</v>
      </c>
    </row>
    <row r="417" spans="1:31" s="26" customFormat="1" ht="16.149999999999999" customHeight="1" x14ac:dyDescent="0.45">
      <c r="A417" s="26">
        <f t="shared" si="210"/>
        <v>10014080</v>
      </c>
      <c r="B417" s="26">
        <v>0</v>
      </c>
      <c r="C417" s="26">
        <v>14</v>
      </c>
      <c r="D417" s="26">
        <f t="shared" si="215"/>
        <v>8</v>
      </c>
      <c r="E417" s="26" t="s">
        <v>693</v>
      </c>
      <c r="F417" s="26" t="s">
        <v>704</v>
      </c>
      <c r="G417" s="54" t="s">
        <v>695</v>
      </c>
      <c r="H417" s="54">
        <v>45</v>
      </c>
      <c r="I417" s="54" t="s">
        <v>63</v>
      </c>
      <c r="J417" s="26" t="str">
        <f t="shared" si="211"/>
        <v>任意2个英雄等级提升至45级</v>
      </c>
      <c r="K417" s="26">
        <f t="shared" si="212"/>
        <v>10014080</v>
      </c>
      <c r="L417" s="26" t="s">
        <v>696</v>
      </c>
      <c r="M417" s="26">
        <f t="shared" si="217"/>
        <v>10901020</v>
      </c>
      <c r="N417" s="26" t="s">
        <v>254</v>
      </c>
      <c r="O417" s="26" t="s">
        <v>52</v>
      </c>
      <c r="P417" s="4" t="s">
        <v>491</v>
      </c>
      <c r="Q417" s="26" t="s">
        <v>52</v>
      </c>
      <c r="R417" s="26" t="s">
        <v>697</v>
      </c>
      <c r="S417" s="56" t="str">
        <f t="shared" si="213"/>
        <v>heroLevel{level:45,count:2}</v>
      </c>
      <c r="T417" s="48" t="s">
        <v>52</v>
      </c>
      <c r="U417" s="48" t="s">
        <v>61</v>
      </c>
      <c r="V417" s="48" t="s">
        <v>112</v>
      </c>
      <c r="W417" s="26">
        <v>100364</v>
      </c>
      <c r="Y417" s="26" t="s">
        <v>56</v>
      </c>
      <c r="Z417" s="26" t="s">
        <v>57</v>
      </c>
      <c r="AA417" s="26">
        <f t="shared" si="214"/>
        <v>10008</v>
      </c>
      <c r="AB417" s="26">
        <v>6622308</v>
      </c>
      <c r="AD417" s="26">
        <v>10</v>
      </c>
      <c r="AE417" s="26">
        <f t="shared" si="216"/>
        <v>8</v>
      </c>
    </row>
    <row r="418" spans="1:31" s="26" customFormat="1" ht="16.149999999999999" customHeight="1" x14ac:dyDescent="0.45">
      <c r="A418" s="26">
        <f t="shared" si="210"/>
        <v>10014090</v>
      </c>
      <c r="B418" s="26">
        <v>0</v>
      </c>
      <c r="C418" s="26">
        <v>14</v>
      </c>
      <c r="D418" s="26">
        <f t="shared" si="215"/>
        <v>9</v>
      </c>
      <c r="E418" s="26" t="s">
        <v>693</v>
      </c>
      <c r="F418" s="26" t="s">
        <v>705</v>
      </c>
      <c r="G418" s="54" t="s">
        <v>695</v>
      </c>
      <c r="H418" s="54">
        <v>50</v>
      </c>
      <c r="I418" s="54" t="s">
        <v>63</v>
      </c>
      <c r="J418" s="26" t="str">
        <f t="shared" si="211"/>
        <v>任意2个英雄等级提升至50级</v>
      </c>
      <c r="K418" s="26">
        <f t="shared" si="212"/>
        <v>10014090</v>
      </c>
      <c r="L418" s="26" t="s">
        <v>696</v>
      </c>
      <c r="M418" s="26">
        <f t="shared" si="217"/>
        <v>10901020</v>
      </c>
      <c r="N418" s="26" t="s">
        <v>254</v>
      </c>
      <c r="O418" s="26" t="s">
        <v>52</v>
      </c>
      <c r="P418" s="4" t="s">
        <v>491</v>
      </c>
      <c r="Q418" s="26" t="s">
        <v>52</v>
      </c>
      <c r="R418" s="26" t="s">
        <v>697</v>
      </c>
      <c r="S418" s="56" t="str">
        <f t="shared" si="213"/>
        <v>heroLevel{level:50,count:2}</v>
      </c>
      <c r="T418" s="48" t="s">
        <v>52</v>
      </c>
      <c r="U418" s="48" t="s">
        <v>61</v>
      </c>
      <c r="V418" s="48" t="s">
        <v>112</v>
      </c>
      <c r="W418" s="26">
        <v>100365</v>
      </c>
      <c r="Y418" s="26" t="s">
        <v>56</v>
      </c>
      <c r="Z418" s="26" t="s">
        <v>57</v>
      </c>
      <c r="AA418" s="26">
        <f t="shared" si="214"/>
        <v>10009</v>
      </c>
      <c r="AB418" s="26">
        <v>6622309</v>
      </c>
      <c r="AD418" s="26">
        <v>10</v>
      </c>
      <c r="AE418" s="26">
        <f t="shared" si="216"/>
        <v>9</v>
      </c>
    </row>
    <row r="419" spans="1:31" s="26" customFormat="1" ht="16.149999999999999" customHeight="1" x14ac:dyDescent="0.45">
      <c r="A419" s="26">
        <f t="shared" si="210"/>
        <v>10014100</v>
      </c>
      <c r="B419" s="26">
        <v>0</v>
      </c>
      <c r="C419" s="26">
        <v>14</v>
      </c>
      <c r="D419" s="26">
        <f t="shared" si="215"/>
        <v>10</v>
      </c>
      <c r="E419" s="26" t="s">
        <v>693</v>
      </c>
      <c r="F419" s="26" t="s">
        <v>706</v>
      </c>
      <c r="G419" s="54" t="s">
        <v>695</v>
      </c>
      <c r="H419" s="54">
        <v>55</v>
      </c>
      <c r="I419" s="54" t="s">
        <v>63</v>
      </c>
      <c r="J419" s="26" t="str">
        <f t="shared" si="211"/>
        <v>任意2个英雄等级提升至55级</v>
      </c>
      <c r="K419" s="26">
        <f t="shared" si="212"/>
        <v>10014100</v>
      </c>
      <c r="L419" s="26" t="s">
        <v>696</v>
      </c>
      <c r="M419" s="26">
        <f t="shared" si="217"/>
        <v>10901020</v>
      </c>
      <c r="N419" s="26" t="s">
        <v>254</v>
      </c>
      <c r="O419" s="26" t="s">
        <v>52</v>
      </c>
      <c r="P419" s="4" t="s">
        <v>491</v>
      </c>
      <c r="Q419" s="26" t="s">
        <v>52</v>
      </c>
      <c r="R419" s="26" t="s">
        <v>697</v>
      </c>
      <c r="S419" s="56" t="str">
        <f t="shared" si="213"/>
        <v>heroLevel{level:55,count:2}</v>
      </c>
      <c r="T419" s="48" t="s">
        <v>52</v>
      </c>
      <c r="U419" s="48" t="s">
        <v>61</v>
      </c>
      <c r="V419" s="48" t="s">
        <v>112</v>
      </c>
      <c r="W419" s="26">
        <v>100366</v>
      </c>
      <c r="Y419" s="26" t="s">
        <v>56</v>
      </c>
      <c r="Z419" s="26" t="s">
        <v>57</v>
      </c>
      <c r="AA419" s="26">
        <f t="shared" si="214"/>
        <v>10010</v>
      </c>
      <c r="AB419" s="26">
        <v>6622310</v>
      </c>
      <c r="AD419" s="26">
        <v>10</v>
      </c>
      <c r="AE419" s="26">
        <f t="shared" si="216"/>
        <v>10</v>
      </c>
    </row>
    <row r="420" spans="1:31" s="26" customFormat="1" ht="16.149999999999999" customHeight="1" x14ac:dyDescent="0.45">
      <c r="A420" s="26">
        <f t="shared" si="210"/>
        <v>10014110</v>
      </c>
      <c r="B420" s="26">
        <v>0</v>
      </c>
      <c r="C420" s="26">
        <v>14</v>
      </c>
      <c r="D420" s="26">
        <f t="shared" si="215"/>
        <v>11</v>
      </c>
      <c r="E420" s="26" t="s">
        <v>693</v>
      </c>
      <c r="F420" s="26" t="s">
        <v>707</v>
      </c>
      <c r="G420" s="54" t="s">
        <v>695</v>
      </c>
      <c r="H420" s="54">
        <v>60</v>
      </c>
      <c r="I420" s="54" t="s">
        <v>63</v>
      </c>
      <c r="J420" s="26" t="str">
        <f t="shared" si="211"/>
        <v>任意2个英雄等级提升至60级</v>
      </c>
      <c r="K420" s="26">
        <f t="shared" si="212"/>
        <v>10014110</v>
      </c>
      <c r="L420" s="26" t="s">
        <v>696</v>
      </c>
      <c r="M420" s="26">
        <f t="shared" si="217"/>
        <v>10901020</v>
      </c>
      <c r="N420" s="26" t="s">
        <v>254</v>
      </c>
      <c r="O420" s="26" t="s">
        <v>52</v>
      </c>
      <c r="P420" s="4" t="s">
        <v>491</v>
      </c>
      <c r="Q420" s="26" t="s">
        <v>52</v>
      </c>
      <c r="R420" s="26" t="s">
        <v>697</v>
      </c>
      <c r="S420" s="56" t="str">
        <f t="shared" si="213"/>
        <v>heroLevel{level:60,count:2}</v>
      </c>
      <c r="T420" s="48" t="s">
        <v>52</v>
      </c>
      <c r="U420" s="48" t="s">
        <v>61</v>
      </c>
      <c r="V420" s="48" t="s">
        <v>112</v>
      </c>
      <c r="W420" s="26">
        <v>100367</v>
      </c>
      <c r="Y420" s="26" t="s">
        <v>56</v>
      </c>
      <c r="Z420" s="26" t="s">
        <v>57</v>
      </c>
      <c r="AA420" s="26">
        <f t="shared" si="214"/>
        <v>10011</v>
      </c>
      <c r="AB420" s="26">
        <v>6622311</v>
      </c>
      <c r="AD420" s="26">
        <v>10</v>
      </c>
      <c r="AE420" s="26">
        <f t="shared" si="216"/>
        <v>11</v>
      </c>
    </row>
    <row r="421" spans="1:31" s="26" customFormat="1" ht="16.149999999999999" customHeight="1" x14ac:dyDescent="0.45">
      <c r="A421" s="26">
        <f t="shared" si="210"/>
        <v>10014120</v>
      </c>
      <c r="B421" s="26">
        <v>0</v>
      </c>
      <c r="C421" s="26">
        <v>14</v>
      </c>
      <c r="D421" s="26">
        <f t="shared" si="215"/>
        <v>12</v>
      </c>
      <c r="E421" s="26" t="s">
        <v>693</v>
      </c>
      <c r="F421" s="26" t="s">
        <v>708</v>
      </c>
      <c r="G421" s="54" t="s">
        <v>695</v>
      </c>
      <c r="H421" s="54">
        <v>65</v>
      </c>
      <c r="I421" s="54" t="s">
        <v>63</v>
      </c>
      <c r="J421" s="26" t="str">
        <f t="shared" si="211"/>
        <v>任意2个英雄等级提升至65级</v>
      </c>
      <c r="K421" s="26">
        <f t="shared" si="212"/>
        <v>10014120</v>
      </c>
      <c r="L421" s="26" t="s">
        <v>696</v>
      </c>
      <c r="M421" s="26">
        <f t="shared" si="217"/>
        <v>10901020</v>
      </c>
      <c r="N421" s="26" t="s">
        <v>254</v>
      </c>
      <c r="O421" s="26" t="s">
        <v>52</v>
      </c>
      <c r="P421" s="4" t="s">
        <v>491</v>
      </c>
      <c r="Q421" s="26" t="s">
        <v>52</v>
      </c>
      <c r="R421" s="26" t="s">
        <v>697</v>
      </c>
      <c r="S421" s="56" t="str">
        <f t="shared" si="213"/>
        <v>heroLevel{level:65,count:2}</v>
      </c>
      <c r="T421" s="48" t="s">
        <v>52</v>
      </c>
      <c r="U421" s="48" t="s">
        <v>61</v>
      </c>
      <c r="V421" s="48" t="s">
        <v>112</v>
      </c>
      <c r="W421" s="26">
        <v>100368</v>
      </c>
      <c r="Y421" s="26" t="s">
        <v>56</v>
      </c>
      <c r="Z421" s="26" t="s">
        <v>57</v>
      </c>
      <c r="AA421" s="26">
        <f t="shared" si="214"/>
        <v>10012</v>
      </c>
      <c r="AB421" s="26">
        <v>6622312</v>
      </c>
      <c r="AD421" s="26">
        <v>10</v>
      </c>
      <c r="AE421" s="26">
        <f t="shared" si="216"/>
        <v>12</v>
      </c>
    </row>
    <row r="422" spans="1:31" s="26" customFormat="1" ht="16.149999999999999" customHeight="1" x14ac:dyDescent="0.45">
      <c r="A422" s="26">
        <f t="shared" si="210"/>
        <v>10014130</v>
      </c>
      <c r="B422" s="26">
        <v>0</v>
      </c>
      <c r="C422" s="26">
        <v>14</v>
      </c>
      <c r="D422" s="26">
        <f t="shared" si="215"/>
        <v>13</v>
      </c>
      <c r="E422" s="26" t="s">
        <v>693</v>
      </c>
      <c r="F422" s="26" t="s">
        <v>709</v>
      </c>
      <c r="G422" s="54" t="s">
        <v>695</v>
      </c>
      <c r="H422" s="54">
        <v>70</v>
      </c>
      <c r="I422" s="54" t="s">
        <v>63</v>
      </c>
      <c r="J422" s="26" t="str">
        <f t="shared" si="211"/>
        <v>任意2个英雄等级提升至70级</v>
      </c>
      <c r="K422" s="26">
        <f t="shared" si="212"/>
        <v>10014130</v>
      </c>
      <c r="L422" s="26" t="s">
        <v>696</v>
      </c>
      <c r="M422" s="26">
        <f t="shared" si="217"/>
        <v>10901020</v>
      </c>
      <c r="N422" s="26" t="s">
        <v>254</v>
      </c>
      <c r="O422" s="26" t="s">
        <v>52</v>
      </c>
      <c r="P422" s="4" t="s">
        <v>491</v>
      </c>
      <c r="Q422" s="26" t="s">
        <v>52</v>
      </c>
      <c r="R422" s="26" t="s">
        <v>697</v>
      </c>
      <c r="S422" s="56" t="str">
        <f t="shared" si="213"/>
        <v>heroLevel{level:70,count:2}</v>
      </c>
      <c r="T422" s="48" t="s">
        <v>52</v>
      </c>
      <c r="U422" s="48" t="s">
        <v>61</v>
      </c>
      <c r="V422" s="48" t="s">
        <v>112</v>
      </c>
      <c r="W422" s="26">
        <v>100369</v>
      </c>
      <c r="Y422" s="26" t="s">
        <v>56</v>
      </c>
      <c r="Z422" s="26" t="s">
        <v>57</v>
      </c>
      <c r="AA422" s="26">
        <f t="shared" si="214"/>
        <v>10013</v>
      </c>
      <c r="AB422" s="26">
        <v>6622313</v>
      </c>
      <c r="AD422" s="26">
        <v>10</v>
      </c>
      <c r="AE422" s="26">
        <f t="shared" si="216"/>
        <v>13</v>
      </c>
    </row>
    <row r="423" spans="1:31" s="26" customFormat="1" ht="16.149999999999999" customHeight="1" x14ac:dyDescent="0.45">
      <c r="A423" s="26">
        <f t="shared" si="210"/>
        <v>10014140</v>
      </c>
      <c r="B423" s="26">
        <v>0</v>
      </c>
      <c r="C423" s="26">
        <v>14</v>
      </c>
      <c r="D423" s="26">
        <f t="shared" si="215"/>
        <v>14</v>
      </c>
      <c r="E423" s="26" t="s">
        <v>693</v>
      </c>
      <c r="F423" s="63" t="s">
        <v>3206</v>
      </c>
      <c r="G423" s="54" t="s">
        <v>711</v>
      </c>
      <c r="H423" s="54">
        <v>75</v>
      </c>
      <c r="I423" s="54" t="s">
        <v>63</v>
      </c>
      <c r="J423" s="26" t="str">
        <f t="shared" si="211"/>
        <v>任意3个英雄等级提升至75级</v>
      </c>
      <c r="K423" s="26">
        <f t="shared" si="212"/>
        <v>10014140</v>
      </c>
      <c r="L423" s="26" t="s">
        <v>696</v>
      </c>
      <c r="M423" s="26">
        <f t="shared" si="217"/>
        <v>10901020</v>
      </c>
      <c r="N423" s="26" t="s">
        <v>254</v>
      </c>
      <c r="O423" s="26" t="s">
        <v>52</v>
      </c>
      <c r="P423" s="4" t="s">
        <v>491</v>
      </c>
      <c r="Q423" s="26" t="s">
        <v>52</v>
      </c>
      <c r="R423" s="26" t="s">
        <v>712</v>
      </c>
      <c r="S423" s="56" t="str">
        <f t="shared" si="213"/>
        <v>heroLevel{level:75,count:3}</v>
      </c>
      <c r="T423" s="48" t="s">
        <v>52</v>
      </c>
      <c r="U423" s="48" t="s">
        <v>61</v>
      </c>
      <c r="V423" s="48" t="s">
        <v>112</v>
      </c>
      <c r="W423" s="26">
        <v>100370</v>
      </c>
      <c r="Y423" s="26" t="s">
        <v>56</v>
      </c>
      <c r="Z423" s="26" t="s">
        <v>57</v>
      </c>
      <c r="AA423" s="26">
        <f t="shared" si="214"/>
        <v>10014</v>
      </c>
      <c r="AB423" s="26">
        <v>6622314</v>
      </c>
      <c r="AD423" s="26">
        <v>10</v>
      </c>
      <c r="AE423" s="26">
        <f t="shared" si="216"/>
        <v>14</v>
      </c>
    </row>
    <row r="424" spans="1:31" s="26" customFormat="1" ht="16.149999999999999" customHeight="1" x14ac:dyDescent="0.45">
      <c r="A424" s="26">
        <f t="shared" si="210"/>
        <v>10014150</v>
      </c>
      <c r="B424" s="26">
        <v>0</v>
      </c>
      <c r="C424" s="26">
        <v>14</v>
      </c>
      <c r="D424" s="26">
        <f t="shared" si="215"/>
        <v>15</v>
      </c>
      <c r="E424" s="26" t="s">
        <v>693</v>
      </c>
      <c r="F424" s="26" t="s">
        <v>713</v>
      </c>
      <c r="G424" s="54" t="s">
        <v>711</v>
      </c>
      <c r="H424" s="54">
        <v>80</v>
      </c>
      <c r="I424" s="54" t="s">
        <v>63</v>
      </c>
      <c r="J424" s="26" t="str">
        <f t="shared" si="211"/>
        <v>任意3个英雄等级提升至80级</v>
      </c>
      <c r="K424" s="26">
        <f t="shared" si="212"/>
        <v>10014150</v>
      </c>
      <c r="L424" s="26" t="s">
        <v>696</v>
      </c>
      <c r="M424" s="26">
        <f t="shared" si="217"/>
        <v>10901020</v>
      </c>
      <c r="N424" s="26" t="s">
        <v>254</v>
      </c>
      <c r="O424" s="26" t="s">
        <v>52</v>
      </c>
      <c r="P424" s="4" t="s">
        <v>491</v>
      </c>
      <c r="Q424" s="26" t="s">
        <v>52</v>
      </c>
      <c r="R424" s="26" t="s">
        <v>712</v>
      </c>
      <c r="S424" s="56" t="str">
        <f t="shared" si="213"/>
        <v>heroLevel{level:80,count:3}</v>
      </c>
      <c r="T424" s="48" t="s">
        <v>52</v>
      </c>
      <c r="U424" s="48" t="s">
        <v>61</v>
      </c>
      <c r="V424" s="48" t="s">
        <v>112</v>
      </c>
      <c r="W424" s="26">
        <v>100371</v>
      </c>
      <c r="Y424" s="26" t="s">
        <v>56</v>
      </c>
      <c r="Z424" s="26" t="s">
        <v>57</v>
      </c>
      <c r="AA424" s="26">
        <f t="shared" si="214"/>
        <v>10015</v>
      </c>
      <c r="AB424" s="26">
        <v>6622315</v>
      </c>
      <c r="AD424" s="26">
        <v>10</v>
      </c>
      <c r="AE424" s="26">
        <f t="shared" si="216"/>
        <v>15</v>
      </c>
    </row>
    <row r="425" spans="1:31" s="26" customFormat="1" ht="16.149999999999999" customHeight="1" x14ac:dyDescent="0.45">
      <c r="A425" s="26">
        <f t="shared" si="210"/>
        <v>10014160</v>
      </c>
      <c r="B425" s="26">
        <v>0</v>
      </c>
      <c r="C425" s="26">
        <v>14</v>
      </c>
      <c r="D425" s="26">
        <f t="shared" si="215"/>
        <v>16</v>
      </c>
      <c r="E425" s="26" t="s">
        <v>693</v>
      </c>
      <c r="F425" s="26" t="s">
        <v>714</v>
      </c>
      <c r="G425" s="54" t="s">
        <v>711</v>
      </c>
      <c r="H425" s="54">
        <v>85</v>
      </c>
      <c r="I425" s="54" t="s">
        <v>63</v>
      </c>
      <c r="J425" s="26" t="str">
        <f t="shared" si="211"/>
        <v>任意3个英雄等级提升至85级</v>
      </c>
      <c r="K425" s="26">
        <f t="shared" si="212"/>
        <v>10014160</v>
      </c>
      <c r="L425" s="26" t="s">
        <v>696</v>
      </c>
      <c r="M425" s="26">
        <f t="shared" si="217"/>
        <v>10901020</v>
      </c>
      <c r="N425" s="26" t="s">
        <v>254</v>
      </c>
      <c r="O425" s="26" t="s">
        <v>52</v>
      </c>
      <c r="P425" s="4" t="s">
        <v>491</v>
      </c>
      <c r="Q425" s="26" t="s">
        <v>52</v>
      </c>
      <c r="R425" s="26" t="s">
        <v>712</v>
      </c>
      <c r="S425" s="56" t="str">
        <f t="shared" si="213"/>
        <v>heroLevel{level:85,count:3}</v>
      </c>
      <c r="T425" s="48" t="s">
        <v>52</v>
      </c>
      <c r="U425" s="48" t="s">
        <v>61</v>
      </c>
      <c r="V425" s="48" t="s">
        <v>112</v>
      </c>
      <c r="W425" s="26">
        <v>100372</v>
      </c>
      <c r="Y425" s="26" t="s">
        <v>56</v>
      </c>
      <c r="Z425" s="26" t="s">
        <v>57</v>
      </c>
      <c r="AA425" s="26">
        <f t="shared" si="214"/>
        <v>10016</v>
      </c>
      <c r="AB425" s="26">
        <v>6622316</v>
      </c>
      <c r="AD425" s="26">
        <v>10</v>
      </c>
      <c r="AE425" s="26">
        <f t="shared" si="216"/>
        <v>16</v>
      </c>
    </row>
    <row r="426" spans="1:31" s="26" customFormat="1" ht="16.149999999999999" customHeight="1" x14ac:dyDescent="0.45">
      <c r="A426" s="26">
        <f t="shared" si="210"/>
        <v>10014170</v>
      </c>
      <c r="B426" s="26">
        <v>0</v>
      </c>
      <c r="C426" s="26">
        <v>14</v>
      </c>
      <c r="D426" s="26">
        <f t="shared" si="215"/>
        <v>17</v>
      </c>
      <c r="E426" s="26" t="s">
        <v>693</v>
      </c>
      <c r="F426" s="26" t="s">
        <v>715</v>
      </c>
      <c r="G426" s="54" t="s">
        <v>711</v>
      </c>
      <c r="H426" s="54">
        <v>90</v>
      </c>
      <c r="I426" s="54" t="s">
        <v>63</v>
      </c>
      <c r="J426" s="26" t="str">
        <f t="shared" si="211"/>
        <v>任意3个英雄等级提升至90级</v>
      </c>
      <c r="K426" s="26">
        <f t="shared" si="212"/>
        <v>10014170</v>
      </c>
      <c r="L426" s="26" t="s">
        <v>696</v>
      </c>
      <c r="M426" s="26">
        <f t="shared" si="217"/>
        <v>10901020</v>
      </c>
      <c r="N426" s="26" t="s">
        <v>254</v>
      </c>
      <c r="O426" s="26" t="s">
        <v>52</v>
      </c>
      <c r="P426" s="4" t="s">
        <v>491</v>
      </c>
      <c r="Q426" s="26" t="s">
        <v>52</v>
      </c>
      <c r="R426" s="26" t="s">
        <v>712</v>
      </c>
      <c r="S426" s="56" t="str">
        <f t="shared" si="213"/>
        <v>heroLevel{level:90,count:3}</v>
      </c>
      <c r="T426" s="48" t="s">
        <v>52</v>
      </c>
      <c r="U426" s="48" t="s">
        <v>61</v>
      </c>
      <c r="V426" s="48" t="s">
        <v>112</v>
      </c>
      <c r="W426" s="26">
        <v>100373</v>
      </c>
      <c r="Y426" s="26" t="s">
        <v>56</v>
      </c>
      <c r="Z426" s="26" t="s">
        <v>57</v>
      </c>
      <c r="AA426" s="26">
        <f t="shared" si="214"/>
        <v>10017</v>
      </c>
      <c r="AB426" s="26">
        <v>6622317</v>
      </c>
      <c r="AD426" s="26">
        <v>10</v>
      </c>
      <c r="AE426" s="26">
        <f t="shared" si="216"/>
        <v>17</v>
      </c>
    </row>
    <row r="427" spans="1:31" s="26" customFormat="1" ht="16.149999999999999" customHeight="1" x14ac:dyDescent="0.45">
      <c r="A427" s="26">
        <f t="shared" si="210"/>
        <v>10014180</v>
      </c>
      <c r="B427" s="26">
        <v>0</v>
      </c>
      <c r="C427" s="26">
        <v>14</v>
      </c>
      <c r="D427" s="26">
        <f t="shared" si="215"/>
        <v>18</v>
      </c>
      <c r="E427" s="26" t="s">
        <v>693</v>
      </c>
      <c r="F427" s="26" t="s">
        <v>716</v>
      </c>
      <c r="G427" s="54" t="s">
        <v>711</v>
      </c>
      <c r="H427" s="54">
        <v>95</v>
      </c>
      <c r="I427" s="54" t="s">
        <v>63</v>
      </c>
      <c r="J427" s="26" t="str">
        <f t="shared" si="211"/>
        <v>任意3个英雄等级提升至95级</v>
      </c>
      <c r="K427" s="26">
        <f t="shared" si="212"/>
        <v>10014180</v>
      </c>
      <c r="L427" s="26" t="s">
        <v>696</v>
      </c>
      <c r="M427" s="26">
        <f t="shared" si="217"/>
        <v>10901020</v>
      </c>
      <c r="N427" s="26" t="s">
        <v>254</v>
      </c>
      <c r="O427" s="26" t="s">
        <v>52</v>
      </c>
      <c r="P427" s="4" t="s">
        <v>491</v>
      </c>
      <c r="Q427" s="26" t="s">
        <v>52</v>
      </c>
      <c r="R427" s="26" t="s">
        <v>712</v>
      </c>
      <c r="S427" s="56" t="str">
        <f t="shared" si="213"/>
        <v>heroLevel{level:95,count:3}</v>
      </c>
      <c r="T427" s="48" t="s">
        <v>52</v>
      </c>
      <c r="U427" s="48" t="s">
        <v>61</v>
      </c>
      <c r="V427" s="48" t="s">
        <v>112</v>
      </c>
      <c r="W427" s="26">
        <v>100374</v>
      </c>
      <c r="Y427" s="26" t="s">
        <v>56</v>
      </c>
      <c r="Z427" s="26" t="s">
        <v>57</v>
      </c>
      <c r="AA427" s="26">
        <f t="shared" si="214"/>
        <v>10018</v>
      </c>
      <c r="AB427" s="26">
        <v>6622318</v>
      </c>
      <c r="AD427" s="26">
        <v>10</v>
      </c>
      <c r="AE427" s="26">
        <f t="shared" si="216"/>
        <v>18</v>
      </c>
    </row>
    <row r="428" spans="1:31" s="26" customFormat="1" ht="16.149999999999999" customHeight="1" x14ac:dyDescent="0.45">
      <c r="A428" s="26">
        <f t="shared" si="210"/>
        <v>10014190</v>
      </c>
      <c r="B428" s="26">
        <v>0</v>
      </c>
      <c r="C428" s="26">
        <v>14</v>
      </c>
      <c r="D428" s="26">
        <f t="shared" si="215"/>
        <v>19</v>
      </c>
      <c r="E428" s="26" t="s">
        <v>693</v>
      </c>
      <c r="F428" s="26" t="s">
        <v>717</v>
      </c>
      <c r="G428" s="54" t="s">
        <v>711</v>
      </c>
      <c r="H428" s="54">
        <v>100</v>
      </c>
      <c r="I428" s="54" t="s">
        <v>63</v>
      </c>
      <c r="J428" s="26" t="str">
        <f t="shared" si="211"/>
        <v>任意3个英雄等级提升至100级</v>
      </c>
      <c r="K428" s="26">
        <f t="shared" si="212"/>
        <v>10014190</v>
      </c>
      <c r="L428" s="26" t="s">
        <v>696</v>
      </c>
      <c r="M428" s="26">
        <f t="shared" si="217"/>
        <v>10901020</v>
      </c>
      <c r="N428" s="26" t="s">
        <v>254</v>
      </c>
      <c r="O428" s="26" t="s">
        <v>52</v>
      </c>
      <c r="P428" s="4" t="s">
        <v>491</v>
      </c>
      <c r="Q428" s="26" t="s">
        <v>52</v>
      </c>
      <c r="R428" s="26" t="s">
        <v>712</v>
      </c>
      <c r="S428" s="56" t="str">
        <f t="shared" si="213"/>
        <v>heroLevel{level:100,count:3}</v>
      </c>
      <c r="T428" s="48" t="s">
        <v>52</v>
      </c>
      <c r="U428" s="48" t="s">
        <v>61</v>
      </c>
      <c r="V428" s="48" t="s">
        <v>112</v>
      </c>
      <c r="W428" s="26">
        <v>100375</v>
      </c>
      <c r="Y428" s="26" t="s">
        <v>56</v>
      </c>
      <c r="Z428" s="26" t="s">
        <v>57</v>
      </c>
      <c r="AA428" s="26">
        <f t="shared" si="214"/>
        <v>10019</v>
      </c>
      <c r="AB428" s="26">
        <v>6622319</v>
      </c>
      <c r="AD428" s="26">
        <v>10</v>
      </c>
      <c r="AE428" s="26">
        <f t="shared" si="216"/>
        <v>19</v>
      </c>
    </row>
    <row r="429" spans="1:31" s="23" customFormat="1" ht="16.149999999999999" customHeight="1" x14ac:dyDescent="0.45">
      <c r="A429" s="23">
        <f t="shared" si="210"/>
        <v>10015010</v>
      </c>
      <c r="B429" s="23">
        <v>0</v>
      </c>
      <c r="C429" s="23">
        <v>15</v>
      </c>
      <c r="D429" s="23">
        <f t="shared" si="215"/>
        <v>1</v>
      </c>
      <c r="E429" s="23" t="s">
        <v>718</v>
      </c>
      <c r="F429" s="23" t="s">
        <v>719</v>
      </c>
      <c r="G429" s="23" t="s">
        <v>720</v>
      </c>
      <c r="H429" s="23">
        <v>1</v>
      </c>
      <c r="I429" s="23" t="s">
        <v>721</v>
      </c>
      <c r="J429" s="23" t="str">
        <f t="shared" si="211"/>
        <v>城外攻占1级或更高级资源点</v>
      </c>
      <c r="K429" s="23">
        <f t="shared" si="212"/>
        <v>10015010</v>
      </c>
      <c r="L429" s="23" t="s">
        <v>515</v>
      </c>
      <c r="M429" s="23">
        <f t="shared" si="217"/>
        <v>10601030</v>
      </c>
      <c r="N429" s="23" t="s">
        <v>254</v>
      </c>
      <c r="O429" s="23" t="s">
        <v>52</v>
      </c>
      <c r="P429" s="4" t="s">
        <v>491</v>
      </c>
      <c r="Q429" s="23" t="s">
        <v>52</v>
      </c>
      <c r="R429" s="23" t="s">
        <v>86</v>
      </c>
      <c r="S429" s="57" t="str">
        <f t="shared" si="213"/>
        <v>occupyResourceLand{level:1,occupyNum:1,needTrace:true}</v>
      </c>
      <c r="T429" s="24" t="s">
        <v>52</v>
      </c>
      <c r="U429" s="24" t="s">
        <v>722</v>
      </c>
      <c r="V429" s="24" t="s">
        <v>723</v>
      </c>
      <c r="W429" s="23">
        <f>VLOOKUP(V429,[1]界面跳转!$I:$J,2,FALSE)</f>
        <v>7219</v>
      </c>
      <c r="Y429" s="23" t="s">
        <v>56</v>
      </c>
      <c r="Z429" s="23" t="s">
        <v>57</v>
      </c>
      <c r="AA429" s="23">
        <f t="shared" si="214"/>
        <v>15001</v>
      </c>
      <c r="AB429" s="23">
        <v>6622301</v>
      </c>
      <c r="AD429" s="23">
        <v>15</v>
      </c>
      <c r="AE429" s="23">
        <f t="shared" si="216"/>
        <v>1</v>
      </c>
    </row>
    <row r="430" spans="1:31" s="23" customFormat="1" ht="16.149999999999999" customHeight="1" x14ac:dyDescent="0.45">
      <c r="A430" s="23">
        <f t="shared" si="210"/>
        <v>10015020</v>
      </c>
      <c r="B430" s="23">
        <v>0</v>
      </c>
      <c r="C430" s="23">
        <v>15</v>
      </c>
      <c r="D430" s="23">
        <f t="shared" si="215"/>
        <v>2</v>
      </c>
      <c r="E430" s="23" t="s">
        <v>718</v>
      </c>
      <c r="F430" s="23" t="s">
        <v>724</v>
      </c>
      <c r="G430" s="23" t="s">
        <v>720</v>
      </c>
      <c r="H430" s="23">
        <v>2</v>
      </c>
      <c r="I430" s="23" t="s">
        <v>721</v>
      </c>
      <c r="J430" s="23" t="str">
        <f t="shared" si="211"/>
        <v>城外攻占2级或更高级资源点</v>
      </c>
      <c r="K430" s="23">
        <f t="shared" si="212"/>
        <v>10015020</v>
      </c>
      <c r="L430" s="23" t="s">
        <v>515</v>
      </c>
      <c r="M430" s="23">
        <f t="shared" si="217"/>
        <v>10601030</v>
      </c>
      <c r="N430" s="23" t="s">
        <v>254</v>
      </c>
      <c r="O430" s="23" t="s">
        <v>52</v>
      </c>
      <c r="P430" s="4" t="s">
        <v>491</v>
      </c>
      <c r="Q430" s="23" t="s">
        <v>52</v>
      </c>
      <c r="R430" s="23" t="s">
        <v>86</v>
      </c>
      <c r="S430" s="57" t="str">
        <f t="shared" si="213"/>
        <v>occupyResourceLand{level:2,occupyNum:1,needTrace:true}</v>
      </c>
      <c r="T430" s="24" t="s">
        <v>52</v>
      </c>
      <c r="U430" s="24" t="s">
        <v>725</v>
      </c>
      <c r="V430" s="24" t="s">
        <v>726</v>
      </c>
      <c r="W430" s="23">
        <f>VLOOKUP(V430,[1]界面跳转!$I:$J,2,FALSE)</f>
        <v>7220</v>
      </c>
      <c r="Y430" s="23" t="s">
        <v>56</v>
      </c>
      <c r="Z430" s="23" t="s">
        <v>57</v>
      </c>
      <c r="AA430" s="23">
        <f t="shared" si="214"/>
        <v>15002</v>
      </c>
      <c r="AB430" s="23">
        <v>6622302</v>
      </c>
      <c r="AD430" s="23">
        <v>15</v>
      </c>
      <c r="AE430" s="23">
        <f t="shared" si="216"/>
        <v>2</v>
      </c>
    </row>
    <row r="431" spans="1:31" s="23" customFormat="1" ht="16.149999999999999" customHeight="1" x14ac:dyDescent="0.45">
      <c r="A431" s="23">
        <f t="shared" si="210"/>
        <v>10015030</v>
      </c>
      <c r="B431" s="23">
        <v>0</v>
      </c>
      <c r="C431" s="23">
        <v>15</v>
      </c>
      <c r="D431" s="23">
        <f t="shared" si="215"/>
        <v>3</v>
      </c>
      <c r="E431" s="23" t="s">
        <v>718</v>
      </c>
      <c r="F431" s="23" t="s">
        <v>727</v>
      </c>
      <c r="G431" s="23" t="s">
        <v>720</v>
      </c>
      <c r="H431" s="23">
        <v>3</v>
      </c>
      <c r="I431" s="23" t="s">
        <v>721</v>
      </c>
      <c r="J431" s="23" t="str">
        <f t="shared" si="211"/>
        <v>城外攻占3级或更高级资源点</v>
      </c>
      <c r="K431" s="23">
        <f t="shared" si="212"/>
        <v>10015030</v>
      </c>
      <c r="L431" s="23" t="s">
        <v>515</v>
      </c>
      <c r="M431" s="23">
        <f t="shared" si="217"/>
        <v>10601030</v>
      </c>
      <c r="N431" s="23" t="s">
        <v>254</v>
      </c>
      <c r="O431" s="23" t="s">
        <v>52</v>
      </c>
      <c r="P431" s="4" t="s">
        <v>491</v>
      </c>
      <c r="Q431" s="23" t="s">
        <v>52</v>
      </c>
      <c r="R431" s="23" t="s">
        <v>86</v>
      </c>
      <c r="S431" s="57" t="str">
        <f t="shared" si="213"/>
        <v>occupyResourceLand{level:3,occupyNum:1,needTrace:true}</v>
      </c>
      <c r="T431" s="24" t="s">
        <v>52</v>
      </c>
      <c r="U431" s="24" t="s">
        <v>728</v>
      </c>
      <c r="V431" s="24" t="s">
        <v>729</v>
      </c>
      <c r="W431" s="23">
        <f>VLOOKUP(V431,[1]界面跳转!$I:$J,2,FALSE)</f>
        <v>7221</v>
      </c>
      <c r="Y431" s="23" t="s">
        <v>56</v>
      </c>
      <c r="Z431" s="23" t="s">
        <v>57</v>
      </c>
      <c r="AA431" s="23">
        <f t="shared" si="214"/>
        <v>15003</v>
      </c>
      <c r="AB431" s="23">
        <v>6622303</v>
      </c>
      <c r="AD431" s="23">
        <v>15</v>
      </c>
      <c r="AE431" s="23">
        <f t="shared" si="216"/>
        <v>3</v>
      </c>
    </row>
    <row r="432" spans="1:31" s="23" customFormat="1" ht="16.149999999999999" customHeight="1" x14ac:dyDescent="0.45">
      <c r="A432" s="23">
        <f t="shared" si="210"/>
        <v>10015040</v>
      </c>
      <c r="B432" s="23">
        <v>0</v>
      </c>
      <c r="C432" s="23">
        <v>15</v>
      </c>
      <c r="D432" s="23">
        <f t="shared" si="215"/>
        <v>4</v>
      </c>
      <c r="E432" s="23" t="s">
        <v>718</v>
      </c>
      <c r="F432" s="23" t="s">
        <v>730</v>
      </c>
      <c r="G432" s="23" t="s">
        <v>720</v>
      </c>
      <c r="H432" s="23">
        <v>4</v>
      </c>
      <c r="I432" s="23" t="s">
        <v>721</v>
      </c>
      <c r="J432" s="23" t="str">
        <f t="shared" si="211"/>
        <v>城外攻占4级或更高级资源点</v>
      </c>
      <c r="K432" s="23">
        <f t="shared" si="212"/>
        <v>10015040</v>
      </c>
      <c r="L432" s="23" t="s">
        <v>515</v>
      </c>
      <c r="M432" s="23">
        <f t="shared" si="217"/>
        <v>10601030</v>
      </c>
      <c r="N432" s="23" t="s">
        <v>254</v>
      </c>
      <c r="O432" s="23" t="s">
        <v>52</v>
      </c>
      <c r="P432" s="4" t="s">
        <v>491</v>
      </c>
      <c r="Q432" s="23" t="s">
        <v>52</v>
      </c>
      <c r="R432" s="23" t="s">
        <v>86</v>
      </c>
      <c r="S432" s="57" t="str">
        <f t="shared" si="213"/>
        <v>occupyResourceLand{level:4,occupyNum:1,needTrace:true}</v>
      </c>
      <c r="T432" s="24" t="s">
        <v>52</v>
      </c>
      <c r="U432" s="24" t="s">
        <v>731</v>
      </c>
      <c r="V432" s="24" t="s">
        <v>732</v>
      </c>
      <c r="W432" s="23">
        <f>VLOOKUP(V432,[1]界面跳转!$I:$J,2,FALSE)</f>
        <v>7222</v>
      </c>
      <c r="Y432" s="23" t="s">
        <v>56</v>
      </c>
      <c r="Z432" s="23" t="s">
        <v>57</v>
      </c>
      <c r="AA432" s="23">
        <f t="shared" si="214"/>
        <v>15004</v>
      </c>
      <c r="AB432" s="23">
        <v>6622304</v>
      </c>
      <c r="AD432" s="23">
        <v>15</v>
      </c>
      <c r="AE432" s="23">
        <f t="shared" si="216"/>
        <v>4</v>
      </c>
    </row>
    <row r="433" spans="1:31" s="23" customFormat="1" ht="16.149999999999999" customHeight="1" x14ac:dyDescent="0.45">
      <c r="A433" s="23">
        <f t="shared" si="210"/>
        <v>10015050</v>
      </c>
      <c r="B433" s="23">
        <v>0</v>
      </c>
      <c r="C433" s="23">
        <v>15</v>
      </c>
      <c r="D433" s="23">
        <f t="shared" si="215"/>
        <v>5</v>
      </c>
      <c r="E433" s="23" t="s">
        <v>718</v>
      </c>
      <c r="F433" s="23" t="s">
        <v>733</v>
      </c>
      <c r="G433" s="23" t="s">
        <v>720</v>
      </c>
      <c r="H433" s="23">
        <v>5</v>
      </c>
      <c r="I433" s="23" t="s">
        <v>721</v>
      </c>
      <c r="J433" s="23" t="str">
        <f t="shared" si="211"/>
        <v>城外攻占5级或更高级资源点</v>
      </c>
      <c r="K433" s="23">
        <f t="shared" si="212"/>
        <v>10015050</v>
      </c>
      <c r="L433" s="23" t="s">
        <v>515</v>
      </c>
      <c r="M433" s="23">
        <f t="shared" si="217"/>
        <v>10601030</v>
      </c>
      <c r="N433" s="23" t="s">
        <v>254</v>
      </c>
      <c r="O433" s="23" t="s">
        <v>52</v>
      </c>
      <c r="P433" s="4" t="s">
        <v>491</v>
      </c>
      <c r="Q433" s="23" t="s">
        <v>52</v>
      </c>
      <c r="R433" s="23" t="s">
        <v>86</v>
      </c>
      <c r="S433" s="57" t="str">
        <f t="shared" si="213"/>
        <v>occupyResourceLand{level:5,occupyNum:1,needTrace:true}</v>
      </c>
      <c r="T433" s="24" t="s">
        <v>52</v>
      </c>
      <c r="U433" s="24" t="s">
        <v>734</v>
      </c>
      <c r="V433" s="24" t="s">
        <v>735</v>
      </c>
      <c r="W433" s="23">
        <f>VLOOKUP(V433,[1]界面跳转!$I:$J,2,FALSE)</f>
        <v>7223</v>
      </c>
      <c r="Y433" s="23" t="s">
        <v>56</v>
      </c>
      <c r="Z433" s="23" t="s">
        <v>57</v>
      </c>
      <c r="AA433" s="23">
        <f t="shared" si="214"/>
        <v>15005</v>
      </c>
      <c r="AB433" s="23">
        <v>6622305</v>
      </c>
      <c r="AD433" s="23">
        <v>15</v>
      </c>
      <c r="AE433" s="23">
        <f t="shared" si="216"/>
        <v>5</v>
      </c>
    </row>
    <row r="434" spans="1:31" s="23" customFormat="1" ht="16.149999999999999" customHeight="1" x14ac:dyDescent="0.45">
      <c r="A434" s="23">
        <f t="shared" si="210"/>
        <v>10015060</v>
      </c>
      <c r="B434" s="23">
        <v>0</v>
      </c>
      <c r="C434" s="23">
        <v>15</v>
      </c>
      <c r="D434" s="23">
        <f t="shared" si="215"/>
        <v>6</v>
      </c>
      <c r="E434" s="23" t="s">
        <v>718</v>
      </c>
      <c r="F434" s="23" t="s">
        <v>736</v>
      </c>
      <c r="G434" s="23" t="s">
        <v>720</v>
      </c>
      <c r="H434" s="23">
        <v>6</v>
      </c>
      <c r="I434" s="23" t="s">
        <v>721</v>
      </c>
      <c r="J434" s="23" t="str">
        <f t="shared" si="211"/>
        <v>城外攻占6级或更高级资源点</v>
      </c>
      <c r="K434" s="23">
        <f t="shared" si="212"/>
        <v>10015060</v>
      </c>
      <c r="L434" s="23" t="s">
        <v>515</v>
      </c>
      <c r="M434" s="23">
        <f t="shared" si="217"/>
        <v>10601030</v>
      </c>
      <c r="N434" s="23" t="s">
        <v>254</v>
      </c>
      <c r="O434" s="23" t="s">
        <v>52</v>
      </c>
      <c r="P434" s="4" t="s">
        <v>491</v>
      </c>
      <c r="Q434" s="23" t="s">
        <v>52</v>
      </c>
      <c r="R434" s="23" t="s">
        <v>86</v>
      </c>
      <c r="S434" s="57" t="str">
        <f t="shared" si="213"/>
        <v>occupyResourceLand{level:6,occupyNum:1,needTrace:true}</v>
      </c>
      <c r="T434" s="24" t="s">
        <v>52</v>
      </c>
      <c r="U434" s="24" t="s">
        <v>737</v>
      </c>
      <c r="V434" s="24" t="s">
        <v>738</v>
      </c>
      <c r="W434" s="23">
        <f>VLOOKUP(V434,[1]界面跳转!$I:$J,2,FALSE)</f>
        <v>7224</v>
      </c>
      <c r="Y434" s="23" t="s">
        <v>56</v>
      </c>
      <c r="Z434" s="23" t="s">
        <v>57</v>
      </c>
      <c r="AA434" s="23">
        <f t="shared" si="214"/>
        <v>15006</v>
      </c>
      <c r="AB434" s="23">
        <v>6622306</v>
      </c>
      <c r="AD434" s="23">
        <v>15</v>
      </c>
      <c r="AE434" s="23">
        <f t="shared" si="216"/>
        <v>6</v>
      </c>
    </row>
    <row r="435" spans="1:31" s="25" customFormat="1" ht="16.149999999999999" customHeight="1" x14ac:dyDescent="0.45">
      <c r="A435" s="25">
        <f t="shared" si="210"/>
        <v>10016010</v>
      </c>
      <c r="B435" s="25">
        <v>0</v>
      </c>
      <c r="C435" s="25">
        <v>16</v>
      </c>
      <c r="D435" s="25">
        <f t="shared" si="215"/>
        <v>1</v>
      </c>
      <c r="E435" s="25" t="s">
        <v>739</v>
      </c>
      <c r="F435" s="25" t="s">
        <v>740</v>
      </c>
      <c r="G435" s="25" t="s">
        <v>186</v>
      </c>
      <c r="H435" s="25">
        <v>7</v>
      </c>
      <c r="I435" s="25" t="s">
        <v>59</v>
      </c>
      <c r="J435" s="25" t="str">
        <f t="shared" si="211"/>
        <v>采集任意资源点7次</v>
      </c>
      <c r="K435" s="25">
        <f t="shared" si="212"/>
        <v>10016010</v>
      </c>
      <c r="L435" s="25" t="s">
        <v>515</v>
      </c>
      <c r="M435" s="25">
        <v>11401070</v>
      </c>
      <c r="N435" s="25" t="s">
        <v>254</v>
      </c>
      <c r="O435" s="25" t="s">
        <v>52</v>
      </c>
      <c r="P435" s="4" t="s">
        <v>491</v>
      </c>
      <c r="Q435" s="25" t="s">
        <v>52</v>
      </c>
      <c r="R435" s="25" t="s">
        <v>187</v>
      </c>
      <c r="S435" s="57" t="str">
        <f t="shared" si="213"/>
        <v>occupyAnyResourceLand{count:7}</v>
      </c>
      <c r="T435" s="52" t="s">
        <v>52</v>
      </c>
      <c r="U435" s="52"/>
      <c r="V435" s="52" t="s">
        <v>188</v>
      </c>
      <c r="W435" s="25">
        <f>VLOOKUP(V435,[1]界面跳转!$I:$J,2,FALSE)</f>
        <v>7253</v>
      </c>
      <c r="Y435" s="25" t="s">
        <v>56</v>
      </c>
      <c r="Z435" s="25" t="s">
        <v>57</v>
      </c>
      <c r="AA435" s="25">
        <f t="shared" si="214"/>
        <v>16001</v>
      </c>
      <c r="AB435" s="25">
        <v>6622301</v>
      </c>
      <c r="AD435" s="25">
        <v>16</v>
      </c>
      <c r="AE435" s="25">
        <f t="shared" si="216"/>
        <v>1</v>
      </c>
    </row>
    <row r="436" spans="1:31" s="25" customFormat="1" ht="16.149999999999999" customHeight="1" x14ac:dyDescent="0.45">
      <c r="A436" s="25">
        <f t="shared" si="210"/>
        <v>10016020</v>
      </c>
      <c r="B436" s="25">
        <v>0</v>
      </c>
      <c r="C436" s="25">
        <v>16</v>
      </c>
      <c r="D436" s="25">
        <f t="shared" si="215"/>
        <v>2</v>
      </c>
      <c r="E436" s="25" t="s">
        <v>739</v>
      </c>
      <c r="F436" s="25" t="s">
        <v>741</v>
      </c>
      <c r="G436" s="25" t="s">
        <v>186</v>
      </c>
      <c r="H436" s="25">
        <v>8</v>
      </c>
      <c r="I436" s="25" t="s">
        <v>59</v>
      </c>
      <c r="J436" s="25" t="str">
        <f t="shared" si="211"/>
        <v>采集任意资源点8次</v>
      </c>
      <c r="K436" s="25">
        <f t="shared" si="212"/>
        <v>10016020</v>
      </c>
      <c r="L436" s="25" t="s">
        <v>515</v>
      </c>
      <c r="M436" s="25">
        <v>11401070</v>
      </c>
      <c r="N436" s="25" t="s">
        <v>254</v>
      </c>
      <c r="O436" s="25" t="s">
        <v>52</v>
      </c>
      <c r="P436" s="4" t="s">
        <v>491</v>
      </c>
      <c r="Q436" s="25" t="s">
        <v>52</v>
      </c>
      <c r="R436" s="25" t="s">
        <v>187</v>
      </c>
      <c r="S436" s="57" t="str">
        <f t="shared" si="213"/>
        <v>occupyAnyResourceLand{count:8}</v>
      </c>
      <c r="T436" s="52" t="s">
        <v>52</v>
      </c>
      <c r="U436" s="52"/>
      <c r="V436" s="52" t="s">
        <v>188</v>
      </c>
      <c r="W436" s="25">
        <f>VLOOKUP(V436,[1]界面跳转!$I:$J,2,FALSE)</f>
        <v>7253</v>
      </c>
      <c r="Y436" s="25" t="s">
        <v>56</v>
      </c>
      <c r="Z436" s="25" t="s">
        <v>57</v>
      </c>
      <c r="AA436" s="25">
        <f t="shared" si="214"/>
        <v>16002</v>
      </c>
      <c r="AB436" s="25">
        <v>6622302</v>
      </c>
      <c r="AD436" s="25">
        <v>16</v>
      </c>
      <c r="AE436" s="25">
        <f t="shared" si="216"/>
        <v>2</v>
      </c>
    </row>
    <row r="437" spans="1:31" s="25" customFormat="1" ht="16.149999999999999" customHeight="1" x14ac:dyDescent="0.45">
      <c r="A437" s="25">
        <f t="shared" si="210"/>
        <v>10016030</v>
      </c>
      <c r="B437" s="25">
        <v>0</v>
      </c>
      <c r="C437" s="25">
        <v>16</v>
      </c>
      <c r="D437" s="25">
        <f t="shared" si="215"/>
        <v>3</v>
      </c>
      <c r="E437" s="25" t="s">
        <v>739</v>
      </c>
      <c r="F437" s="25" t="s">
        <v>742</v>
      </c>
      <c r="G437" s="25" t="s">
        <v>186</v>
      </c>
      <c r="H437" s="25">
        <v>9</v>
      </c>
      <c r="I437" s="25" t="s">
        <v>59</v>
      </c>
      <c r="J437" s="25" t="str">
        <f t="shared" si="211"/>
        <v>采集任意资源点9次</v>
      </c>
      <c r="K437" s="25">
        <f t="shared" si="212"/>
        <v>10016030</v>
      </c>
      <c r="L437" s="25" t="s">
        <v>515</v>
      </c>
      <c r="M437" s="25">
        <v>11401070</v>
      </c>
      <c r="N437" s="25" t="s">
        <v>254</v>
      </c>
      <c r="O437" s="25" t="s">
        <v>52</v>
      </c>
      <c r="P437" s="4" t="s">
        <v>491</v>
      </c>
      <c r="Q437" s="25" t="s">
        <v>52</v>
      </c>
      <c r="R437" s="25" t="s">
        <v>187</v>
      </c>
      <c r="S437" s="57" t="str">
        <f t="shared" si="213"/>
        <v>occupyAnyResourceLand{count:9}</v>
      </c>
      <c r="T437" s="52" t="s">
        <v>52</v>
      </c>
      <c r="U437" s="52"/>
      <c r="V437" s="52" t="s">
        <v>188</v>
      </c>
      <c r="W437" s="25">
        <f>VLOOKUP(V437,[1]界面跳转!$I:$J,2,FALSE)</f>
        <v>7253</v>
      </c>
      <c r="Y437" s="25" t="s">
        <v>56</v>
      </c>
      <c r="Z437" s="25" t="s">
        <v>57</v>
      </c>
      <c r="AA437" s="25">
        <f t="shared" si="214"/>
        <v>16003</v>
      </c>
      <c r="AB437" s="25">
        <v>6622303</v>
      </c>
      <c r="AD437" s="25">
        <v>16</v>
      </c>
      <c r="AE437" s="25">
        <f t="shared" si="216"/>
        <v>3</v>
      </c>
    </row>
    <row r="438" spans="1:31" s="25" customFormat="1" ht="16.149999999999999" customHeight="1" x14ac:dyDescent="0.45">
      <c r="A438" s="25">
        <f t="shared" ref="A438:A486" si="218">10000000+B438*100000+C438*1000+D438*10</f>
        <v>10016040</v>
      </c>
      <c r="B438" s="25">
        <v>0</v>
      </c>
      <c r="C438" s="25">
        <v>16</v>
      </c>
      <c r="D438" s="25">
        <f t="shared" si="215"/>
        <v>4</v>
      </c>
      <c r="E438" s="25" t="s">
        <v>739</v>
      </c>
      <c r="F438" s="25" t="s">
        <v>743</v>
      </c>
      <c r="G438" s="25" t="s">
        <v>186</v>
      </c>
      <c r="H438" s="25">
        <v>10</v>
      </c>
      <c r="I438" s="25" t="s">
        <v>59</v>
      </c>
      <c r="J438" s="25" t="str">
        <f t="shared" ref="J438:J486" si="219">G438&amp;H438&amp;I438</f>
        <v>采集任意资源点10次</v>
      </c>
      <c r="K438" s="25">
        <f t="shared" ref="K438:K486" si="220">A438</f>
        <v>10016040</v>
      </c>
      <c r="L438" s="25" t="s">
        <v>515</v>
      </c>
      <c r="M438" s="25">
        <v>11401070</v>
      </c>
      <c r="N438" s="25" t="s">
        <v>254</v>
      </c>
      <c r="O438" s="25" t="s">
        <v>52</v>
      </c>
      <c r="P438" s="4" t="s">
        <v>491</v>
      </c>
      <c r="Q438" s="25" t="s">
        <v>52</v>
      </c>
      <c r="R438" s="25" t="s">
        <v>187</v>
      </c>
      <c r="S438" s="57" t="str">
        <f t="shared" ref="S438:S486" si="221">SUBSTITUTE(R438,"@@@",H438)</f>
        <v>occupyAnyResourceLand{count:10}</v>
      </c>
      <c r="T438" s="52" t="s">
        <v>52</v>
      </c>
      <c r="U438" s="52"/>
      <c r="V438" s="52" t="s">
        <v>188</v>
      </c>
      <c r="W438" s="25">
        <f>VLOOKUP(V438,[1]界面跳转!$I:$J,2,FALSE)</f>
        <v>7253</v>
      </c>
      <c r="Y438" s="25" t="s">
        <v>56</v>
      </c>
      <c r="Z438" s="25" t="s">
        <v>57</v>
      </c>
      <c r="AA438" s="25">
        <f t="shared" ref="AA438:AA486" si="222">AD438*1000+AE438</f>
        <v>16004</v>
      </c>
      <c r="AB438" s="25">
        <v>6622304</v>
      </c>
      <c r="AD438" s="25">
        <v>16</v>
      </c>
      <c r="AE438" s="25">
        <f t="shared" si="216"/>
        <v>4</v>
      </c>
    </row>
    <row r="439" spans="1:31" s="25" customFormat="1" ht="16.149999999999999" customHeight="1" x14ac:dyDescent="0.45">
      <c r="A439" s="25">
        <f t="shared" si="218"/>
        <v>10016050</v>
      </c>
      <c r="B439" s="25">
        <v>0</v>
      </c>
      <c r="C439" s="25">
        <v>16</v>
      </c>
      <c r="D439" s="25">
        <f t="shared" ref="D439:D487" si="223">IF(C439=C438,D438+1,1)</f>
        <v>5</v>
      </c>
      <c r="E439" s="25" t="s">
        <v>739</v>
      </c>
      <c r="F439" s="25" t="s">
        <v>744</v>
      </c>
      <c r="G439" s="25" t="s">
        <v>186</v>
      </c>
      <c r="H439" s="25">
        <v>15</v>
      </c>
      <c r="I439" s="25" t="s">
        <v>59</v>
      </c>
      <c r="J439" s="25" t="str">
        <f t="shared" si="219"/>
        <v>采集任意资源点15次</v>
      </c>
      <c r="K439" s="25">
        <f t="shared" si="220"/>
        <v>10016050</v>
      </c>
      <c r="L439" s="25" t="s">
        <v>515</v>
      </c>
      <c r="M439" s="25">
        <v>11401070</v>
      </c>
      <c r="N439" s="25" t="s">
        <v>254</v>
      </c>
      <c r="O439" s="25" t="s">
        <v>52</v>
      </c>
      <c r="P439" s="4" t="s">
        <v>491</v>
      </c>
      <c r="Q439" s="25" t="s">
        <v>52</v>
      </c>
      <c r="R439" s="25" t="s">
        <v>187</v>
      </c>
      <c r="S439" s="57" t="str">
        <f t="shared" si="221"/>
        <v>occupyAnyResourceLand{count:15}</v>
      </c>
      <c r="T439" s="52" t="s">
        <v>52</v>
      </c>
      <c r="U439" s="52"/>
      <c r="V439" s="52" t="s">
        <v>188</v>
      </c>
      <c r="W439" s="25">
        <f>VLOOKUP(V439,[1]界面跳转!$I:$J,2,FALSE)</f>
        <v>7253</v>
      </c>
      <c r="Y439" s="25" t="s">
        <v>56</v>
      </c>
      <c r="Z439" s="25" t="s">
        <v>57</v>
      </c>
      <c r="AA439" s="25">
        <f t="shared" si="222"/>
        <v>16005</v>
      </c>
      <c r="AB439" s="25">
        <v>6622305</v>
      </c>
      <c r="AD439" s="25">
        <v>16</v>
      </c>
      <c r="AE439" s="25">
        <f t="shared" si="216"/>
        <v>5</v>
      </c>
    </row>
    <row r="440" spans="1:31" s="25" customFormat="1" ht="16.149999999999999" customHeight="1" x14ac:dyDescent="0.45">
      <c r="A440" s="25">
        <f t="shared" si="218"/>
        <v>10016060</v>
      </c>
      <c r="B440" s="25">
        <v>0</v>
      </c>
      <c r="C440" s="25">
        <v>16</v>
      </c>
      <c r="D440" s="25">
        <f t="shared" si="223"/>
        <v>6</v>
      </c>
      <c r="E440" s="25" t="s">
        <v>739</v>
      </c>
      <c r="F440" s="25" t="s">
        <v>745</v>
      </c>
      <c r="G440" s="25" t="s">
        <v>186</v>
      </c>
      <c r="H440" s="25">
        <v>20</v>
      </c>
      <c r="I440" s="25" t="s">
        <v>59</v>
      </c>
      <c r="J440" s="25" t="str">
        <f t="shared" si="219"/>
        <v>采集任意资源点20次</v>
      </c>
      <c r="K440" s="25">
        <f t="shared" si="220"/>
        <v>10016060</v>
      </c>
      <c r="L440" s="25" t="s">
        <v>515</v>
      </c>
      <c r="M440" s="25">
        <v>11401070</v>
      </c>
      <c r="N440" s="25" t="s">
        <v>254</v>
      </c>
      <c r="O440" s="25" t="s">
        <v>52</v>
      </c>
      <c r="P440" s="4" t="s">
        <v>491</v>
      </c>
      <c r="Q440" s="25" t="s">
        <v>52</v>
      </c>
      <c r="R440" s="25" t="s">
        <v>187</v>
      </c>
      <c r="S440" s="57" t="str">
        <f t="shared" si="221"/>
        <v>occupyAnyResourceLand{count:20}</v>
      </c>
      <c r="T440" s="52" t="s">
        <v>52</v>
      </c>
      <c r="U440" s="52"/>
      <c r="V440" s="52" t="s">
        <v>188</v>
      </c>
      <c r="W440" s="25">
        <f>VLOOKUP(V440,[1]界面跳转!$I:$J,2,FALSE)</f>
        <v>7253</v>
      </c>
      <c r="Y440" s="25" t="s">
        <v>56</v>
      </c>
      <c r="Z440" s="25" t="s">
        <v>57</v>
      </c>
      <c r="AA440" s="25">
        <f t="shared" si="222"/>
        <v>16006</v>
      </c>
      <c r="AB440" s="25">
        <v>6622306</v>
      </c>
      <c r="AD440" s="25">
        <v>16</v>
      </c>
      <c r="AE440" s="25">
        <f t="shared" si="216"/>
        <v>6</v>
      </c>
    </row>
    <row r="441" spans="1:31" s="25" customFormat="1" ht="16.149999999999999" customHeight="1" x14ac:dyDescent="0.45">
      <c r="A441" s="25">
        <f t="shared" si="218"/>
        <v>10016070</v>
      </c>
      <c r="B441" s="25">
        <v>0</v>
      </c>
      <c r="C441" s="25">
        <v>16</v>
      </c>
      <c r="D441" s="25">
        <f t="shared" si="223"/>
        <v>7</v>
      </c>
      <c r="E441" s="25" t="s">
        <v>739</v>
      </c>
      <c r="F441" s="25" t="s">
        <v>746</v>
      </c>
      <c r="G441" s="25" t="s">
        <v>186</v>
      </c>
      <c r="H441" s="25">
        <v>25</v>
      </c>
      <c r="I441" s="25" t="s">
        <v>59</v>
      </c>
      <c r="J441" s="25" t="str">
        <f t="shared" si="219"/>
        <v>采集任意资源点25次</v>
      </c>
      <c r="K441" s="25">
        <f t="shared" si="220"/>
        <v>10016070</v>
      </c>
      <c r="L441" s="25" t="s">
        <v>515</v>
      </c>
      <c r="M441" s="25">
        <v>11401070</v>
      </c>
      <c r="N441" s="25" t="s">
        <v>254</v>
      </c>
      <c r="O441" s="25" t="s">
        <v>52</v>
      </c>
      <c r="P441" s="4" t="s">
        <v>491</v>
      </c>
      <c r="Q441" s="25" t="s">
        <v>52</v>
      </c>
      <c r="R441" s="25" t="s">
        <v>187</v>
      </c>
      <c r="S441" s="57" t="str">
        <f t="shared" si="221"/>
        <v>occupyAnyResourceLand{count:25}</v>
      </c>
      <c r="T441" s="52" t="s">
        <v>52</v>
      </c>
      <c r="U441" s="52"/>
      <c r="V441" s="52" t="s">
        <v>188</v>
      </c>
      <c r="W441" s="25">
        <f>VLOOKUP(V441,[1]界面跳转!$I:$J,2,FALSE)</f>
        <v>7253</v>
      </c>
      <c r="Y441" s="25" t="s">
        <v>56</v>
      </c>
      <c r="Z441" s="25" t="s">
        <v>57</v>
      </c>
      <c r="AA441" s="25">
        <f t="shared" si="222"/>
        <v>16007</v>
      </c>
      <c r="AB441" s="25">
        <v>6622307</v>
      </c>
      <c r="AD441" s="25">
        <v>16</v>
      </c>
      <c r="AE441" s="25">
        <f t="shared" si="216"/>
        <v>7</v>
      </c>
    </row>
    <row r="442" spans="1:31" s="25" customFormat="1" ht="16.149999999999999" customHeight="1" x14ac:dyDescent="0.45">
      <c r="A442" s="25">
        <f t="shared" si="218"/>
        <v>10016080</v>
      </c>
      <c r="B442" s="25">
        <v>0</v>
      </c>
      <c r="C442" s="25">
        <v>16</v>
      </c>
      <c r="D442" s="25">
        <f t="shared" si="223"/>
        <v>8</v>
      </c>
      <c r="E442" s="25" t="s">
        <v>739</v>
      </c>
      <c r="F442" s="25" t="s">
        <v>747</v>
      </c>
      <c r="G442" s="25" t="s">
        <v>186</v>
      </c>
      <c r="H442" s="25">
        <v>30</v>
      </c>
      <c r="I442" s="25" t="s">
        <v>59</v>
      </c>
      <c r="J442" s="25" t="str">
        <f t="shared" si="219"/>
        <v>采集任意资源点30次</v>
      </c>
      <c r="K442" s="25">
        <f t="shared" si="220"/>
        <v>10016080</v>
      </c>
      <c r="L442" s="25" t="s">
        <v>515</v>
      </c>
      <c r="M442" s="25">
        <v>11401070</v>
      </c>
      <c r="N442" s="25" t="s">
        <v>254</v>
      </c>
      <c r="O442" s="25" t="s">
        <v>52</v>
      </c>
      <c r="P442" s="4" t="s">
        <v>491</v>
      </c>
      <c r="Q442" s="25" t="s">
        <v>52</v>
      </c>
      <c r="R442" s="25" t="s">
        <v>187</v>
      </c>
      <c r="S442" s="57" t="str">
        <f t="shared" si="221"/>
        <v>occupyAnyResourceLand{count:30}</v>
      </c>
      <c r="T442" s="52" t="s">
        <v>52</v>
      </c>
      <c r="U442" s="52"/>
      <c r="V442" s="52" t="s">
        <v>188</v>
      </c>
      <c r="W442" s="25">
        <f>VLOOKUP(V442,[1]界面跳转!$I:$J,2,FALSE)</f>
        <v>7253</v>
      </c>
      <c r="Y442" s="25" t="s">
        <v>56</v>
      </c>
      <c r="Z442" s="25" t="s">
        <v>57</v>
      </c>
      <c r="AA442" s="25">
        <f t="shared" si="222"/>
        <v>16008</v>
      </c>
      <c r="AB442" s="25">
        <v>6622308</v>
      </c>
      <c r="AD442" s="25">
        <v>16</v>
      </c>
      <c r="AE442" s="25">
        <f t="shared" ref="AE442:AE490" si="224">IF(AD442=AD441,AE441+1,1)</f>
        <v>8</v>
      </c>
    </row>
    <row r="443" spans="1:31" s="25" customFormat="1" ht="16.149999999999999" customHeight="1" x14ac:dyDescent="0.45">
      <c r="A443" s="25">
        <f t="shared" si="218"/>
        <v>10016090</v>
      </c>
      <c r="B443" s="25">
        <v>0</v>
      </c>
      <c r="C443" s="25">
        <v>16</v>
      </c>
      <c r="D443" s="25">
        <f t="shared" si="223"/>
        <v>9</v>
      </c>
      <c r="E443" s="25" t="s">
        <v>739</v>
      </c>
      <c r="F443" s="25" t="s">
        <v>748</v>
      </c>
      <c r="G443" s="25" t="s">
        <v>186</v>
      </c>
      <c r="H443" s="25">
        <v>35</v>
      </c>
      <c r="I443" s="25" t="s">
        <v>59</v>
      </c>
      <c r="J443" s="25" t="str">
        <f t="shared" si="219"/>
        <v>采集任意资源点35次</v>
      </c>
      <c r="K443" s="25">
        <f t="shared" si="220"/>
        <v>10016090</v>
      </c>
      <c r="L443" s="25" t="s">
        <v>515</v>
      </c>
      <c r="M443" s="25">
        <v>11401070</v>
      </c>
      <c r="N443" s="25" t="s">
        <v>254</v>
      </c>
      <c r="O443" s="25" t="s">
        <v>52</v>
      </c>
      <c r="P443" s="4" t="s">
        <v>491</v>
      </c>
      <c r="Q443" s="25" t="s">
        <v>52</v>
      </c>
      <c r="R443" s="25" t="s">
        <v>187</v>
      </c>
      <c r="S443" s="57" t="str">
        <f t="shared" si="221"/>
        <v>occupyAnyResourceLand{count:35}</v>
      </c>
      <c r="T443" s="52" t="s">
        <v>52</v>
      </c>
      <c r="U443" s="52"/>
      <c r="V443" s="52" t="s">
        <v>188</v>
      </c>
      <c r="W443" s="25">
        <f>VLOOKUP(V443,[1]界面跳转!$I:$J,2,FALSE)</f>
        <v>7253</v>
      </c>
      <c r="Y443" s="25" t="s">
        <v>56</v>
      </c>
      <c r="Z443" s="25" t="s">
        <v>57</v>
      </c>
      <c r="AA443" s="25">
        <f t="shared" si="222"/>
        <v>16009</v>
      </c>
      <c r="AB443" s="25">
        <v>6622309</v>
      </c>
      <c r="AD443" s="25">
        <v>16</v>
      </c>
      <c r="AE443" s="25">
        <f t="shared" si="224"/>
        <v>9</v>
      </c>
    </row>
    <row r="444" spans="1:31" s="25" customFormat="1" ht="16.149999999999999" customHeight="1" x14ac:dyDescent="0.45">
      <c r="A444" s="25">
        <f t="shared" si="218"/>
        <v>10016100</v>
      </c>
      <c r="B444" s="25">
        <v>0</v>
      </c>
      <c r="C444" s="25">
        <v>16</v>
      </c>
      <c r="D444" s="25">
        <f t="shared" si="223"/>
        <v>10</v>
      </c>
      <c r="E444" s="25" t="s">
        <v>739</v>
      </c>
      <c r="F444" s="25" t="s">
        <v>749</v>
      </c>
      <c r="G444" s="25" t="s">
        <v>186</v>
      </c>
      <c r="H444" s="25">
        <v>40</v>
      </c>
      <c r="I444" s="25" t="s">
        <v>59</v>
      </c>
      <c r="J444" s="25" t="str">
        <f t="shared" si="219"/>
        <v>采集任意资源点40次</v>
      </c>
      <c r="K444" s="25">
        <f t="shared" si="220"/>
        <v>10016100</v>
      </c>
      <c r="L444" s="25" t="s">
        <v>515</v>
      </c>
      <c r="M444" s="25">
        <v>11401070</v>
      </c>
      <c r="N444" s="25" t="s">
        <v>254</v>
      </c>
      <c r="O444" s="25" t="s">
        <v>52</v>
      </c>
      <c r="P444" s="4" t="s">
        <v>491</v>
      </c>
      <c r="Q444" s="25" t="s">
        <v>52</v>
      </c>
      <c r="R444" s="25" t="s">
        <v>187</v>
      </c>
      <c r="S444" s="57" t="str">
        <f t="shared" si="221"/>
        <v>occupyAnyResourceLand{count:40}</v>
      </c>
      <c r="T444" s="52" t="s">
        <v>52</v>
      </c>
      <c r="U444" s="52"/>
      <c r="V444" s="52" t="s">
        <v>188</v>
      </c>
      <c r="W444" s="25">
        <f>VLOOKUP(V444,[1]界面跳转!$I:$J,2,FALSE)</f>
        <v>7253</v>
      </c>
      <c r="Y444" s="25" t="s">
        <v>56</v>
      </c>
      <c r="Z444" s="25" t="s">
        <v>57</v>
      </c>
      <c r="AA444" s="25">
        <f t="shared" si="222"/>
        <v>16010</v>
      </c>
      <c r="AB444" s="25">
        <v>6622310</v>
      </c>
      <c r="AD444" s="25">
        <v>16</v>
      </c>
      <c r="AE444" s="25">
        <f t="shared" si="224"/>
        <v>10</v>
      </c>
    </row>
    <row r="445" spans="1:31" s="25" customFormat="1" ht="16.149999999999999" customHeight="1" x14ac:dyDescent="0.45">
      <c r="A445" s="25">
        <f t="shared" si="218"/>
        <v>10016110</v>
      </c>
      <c r="B445" s="25">
        <v>0</v>
      </c>
      <c r="C445" s="25">
        <v>16</v>
      </c>
      <c r="D445" s="25">
        <f t="shared" si="223"/>
        <v>11</v>
      </c>
      <c r="E445" s="25" t="s">
        <v>739</v>
      </c>
      <c r="F445" s="25" t="s">
        <v>750</v>
      </c>
      <c r="G445" s="25" t="s">
        <v>186</v>
      </c>
      <c r="H445" s="25">
        <v>45</v>
      </c>
      <c r="I445" s="25" t="s">
        <v>59</v>
      </c>
      <c r="J445" s="25" t="str">
        <f t="shared" si="219"/>
        <v>采集任意资源点45次</v>
      </c>
      <c r="K445" s="25">
        <f t="shared" si="220"/>
        <v>10016110</v>
      </c>
      <c r="L445" s="25" t="s">
        <v>515</v>
      </c>
      <c r="M445" s="25">
        <v>11401070</v>
      </c>
      <c r="N445" s="25" t="s">
        <v>254</v>
      </c>
      <c r="O445" s="25" t="s">
        <v>52</v>
      </c>
      <c r="P445" s="4" t="s">
        <v>491</v>
      </c>
      <c r="Q445" s="25" t="s">
        <v>52</v>
      </c>
      <c r="R445" s="25" t="s">
        <v>187</v>
      </c>
      <c r="S445" s="57" t="str">
        <f t="shared" si="221"/>
        <v>occupyAnyResourceLand{count:45}</v>
      </c>
      <c r="T445" s="52" t="s">
        <v>52</v>
      </c>
      <c r="U445" s="52"/>
      <c r="V445" s="52" t="s">
        <v>188</v>
      </c>
      <c r="W445" s="25">
        <f>VLOOKUP(V445,[1]界面跳转!$I:$J,2,FALSE)</f>
        <v>7253</v>
      </c>
      <c r="Y445" s="25" t="s">
        <v>56</v>
      </c>
      <c r="Z445" s="25" t="s">
        <v>57</v>
      </c>
      <c r="AA445" s="25">
        <f t="shared" si="222"/>
        <v>16011</v>
      </c>
      <c r="AB445" s="25">
        <v>6622311</v>
      </c>
      <c r="AD445" s="25">
        <v>16</v>
      </c>
      <c r="AE445" s="25">
        <f t="shared" si="224"/>
        <v>11</v>
      </c>
    </row>
    <row r="446" spans="1:31" s="25" customFormat="1" ht="16.149999999999999" customHeight="1" x14ac:dyDescent="0.45">
      <c r="A446" s="25">
        <f t="shared" si="218"/>
        <v>10016120</v>
      </c>
      <c r="B446" s="25">
        <v>0</v>
      </c>
      <c r="C446" s="25">
        <v>16</v>
      </c>
      <c r="D446" s="25">
        <f t="shared" si="223"/>
        <v>12</v>
      </c>
      <c r="E446" s="25" t="s">
        <v>739</v>
      </c>
      <c r="F446" s="25" t="s">
        <v>751</v>
      </c>
      <c r="G446" s="25" t="s">
        <v>186</v>
      </c>
      <c r="H446" s="25">
        <v>50</v>
      </c>
      <c r="I446" s="25" t="s">
        <v>59</v>
      </c>
      <c r="J446" s="25" t="str">
        <f t="shared" si="219"/>
        <v>采集任意资源点50次</v>
      </c>
      <c r="K446" s="25">
        <f t="shared" si="220"/>
        <v>10016120</v>
      </c>
      <c r="L446" s="25" t="s">
        <v>515</v>
      </c>
      <c r="M446" s="25">
        <v>11401070</v>
      </c>
      <c r="N446" s="25" t="s">
        <v>254</v>
      </c>
      <c r="O446" s="25" t="s">
        <v>52</v>
      </c>
      <c r="P446" s="4" t="s">
        <v>491</v>
      </c>
      <c r="Q446" s="25" t="s">
        <v>52</v>
      </c>
      <c r="R446" s="25" t="s">
        <v>187</v>
      </c>
      <c r="S446" s="57" t="str">
        <f t="shared" si="221"/>
        <v>occupyAnyResourceLand{count:50}</v>
      </c>
      <c r="T446" s="52" t="s">
        <v>52</v>
      </c>
      <c r="U446" s="52"/>
      <c r="V446" s="52" t="s">
        <v>188</v>
      </c>
      <c r="W446" s="25">
        <f>VLOOKUP(V446,[1]界面跳转!$I:$J,2,FALSE)</f>
        <v>7253</v>
      </c>
      <c r="Y446" s="25" t="s">
        <v>56</v>
      </c>
      <c r="Z446" s="25" t="s">
        <v>57</v>
      </c>
      <c r="AA446" s="25">
        <f t="shared" si="222"/>
        <v>16012</v>
      </c>
      <c r="AB446" s="25">
        <v>6622312</v>
      </c>
      <c r="AD446" s="25">
        <v>16</v>
      </c>
      <c r="AE446" s="25">
        <f t="shared" si="224"/>
        <v>12</v>
      </c>
    </row>
    <row r="447" spans="1:31" s="25" customFormat="1" ht="16.149999999999999" customHeight="1" x14ac:dyDescent="0.45">
      <c r="A447" s="25">
        <f t="shared" si="218"/>
        <v>10016130</v>
      </c>
      <c r="B447" s="25">
        <v>0</v>
      </c>
      <c r="C447" s="25">
        <v>16</v>
      </c>
      <c r="D447" s="25">
        <f t="shared" si="223"/>
        <v>13</v>
      </c>
      <c r="E447" s="25" t="s">
        <v>739</v>
      </c>
      <c r="F447" s="25" t="s">
        <v>752</v>
      </c>
      <c r="G447" s="25" t="s">
        <v>186</v>
      </c>
      <c r="H447" s="25">
        <v>55</v>
      </c>
      <c r="I447" s="25" t="s">
        <v>59</v>
      </c>
      <c r="J447" s="25" t="str">
        <f t="shared" si="219"/>
        <v>采集任意资源点55次</v>
      </c>
      <c r="K447" s="25">
        <f t="shared" si="220"/>
        <v>10016130</v>
      </c>
      <c r="L447" s="25" t="s">
        <v>515</v>
      </c>
      <c r="M447" s="25">
        <v>11401070</v>
      </c>
      <c r="N447" s="25" t="s">
        <v>254</v>
      </c>
      <c r="O447" s="25" t="s">
        <v>52</v>
      </c>
      <c r="P447" s="4" t="s">
        <v>491</v>
      </c>
      <c r="Q447" s="25" t="s">
        <v>52</v>
      </c>
      <c r="R447" s="25" t="s">
        <v>187</v>
      </c>
      <c r="S447" s="57" t="str">
        <f t="shared" si="221"/>
        <v>occupyAnyResourceLand{count:55}</v>
      </c>
      <c r="T447" s="52" t="s">
        <v>52</v>
      </c>
      <c r="U447" s="52"/>
      <c r="V447" s="52" t="s">
        <v>188</v>
      </c>
      <c r="W447" s="25">
        <f>VLOOKUP(V447,[1]界面跳转!$I:$J,2,FALSE)</f>
        <v>7253</v>
      </c>
      <c r="Y447" s="25" t="s">
        <v>56</v>
      </c>
      <c r="Z447" s="25" t="s">
        <v>57</v>
      </c>
      <c r="AA447" s="25">
        <f t="shared" si="222"/>
        <v>16013</v>
      </c>
      <c r="AB447" s="25">
        <v>6622313</v>
      </c>
      <c r="AD447" s="25">
        <v>16</v>
      </c>
      <c r="AE447" s="25">
        <f t="shared" si="224"/>
        <v>13</v>
      </c>
    </row>
    <row r="448" spans="1:31" s="25" customFormat="1" ht="16.149999999999999" customHeight="1" x14ac:dyDescent="0.45">
      <c r="A448" s="25">
        <f t="shared" si="218"/>
        <v>10016140</v>
      </c>
      <c r="B448" s="25">
        <v>0</v>
      </c>
      <c r="C448" s="25">
        <v>16</v>
      </c>
      <c r="D448" s="25">
        <f t="shared" si="223"/>
        <v>14</v>
      </c>
      <c r="E448" s="25" t="s">
        <v>739</v>
      </c>
      <c r="F448" s="25" t="s">
        <v>753</v>
      </c>
      <c r="G448" s="25" t="s">
        <v>186</v>
      </c>
      <c r="H448" s="25">
        <v>60</v>
      </c>
      <c r="I448" s="25" t="s">
        <v>59</v>
      </c>
      <c r="J448" s="25" t="str">
        <f t="shared" si="219"/>
        <v>采集任意资源点60次</v>
      </c>
      <c r="K448" s="25">
        <f t="shared" si="220"/>
        <v>10016140</v>
      </c>
      <c r="L448" s="25" t="s">
        <v>515</v>
      </c>
      <c r="M448" s="25">
        <v>11401070</v>
      </c>
      <c r="N448" s="25" t="s">
        <v>254</v>
      </c>
      <c r="O448" s="25" t="s">
        <v>52</v>
      </c>
      <c r="P448" s="4" t="s">
        <v>491</v>
      </c>
      <c r="Q448" s="25" t="s">
        <v>52</v>
      </c>
      <c r="R448" s="25" t="s">
        <v>187</v>
      </c>
      <c r="S448" s="57" t="str">
        <f t="shared" si="221"/>
        <v>occupyAnyResourceLand{count:60}</v>
      </c>
      <c r="T448" s="52" t="s">
        <v>52</v>
      </c>
      <c r="U448" s="52"/>
      <c r="V448" s="52" t="s">
        <v>188</v>
      </c>
      <c r="W448" s="25">
        <f>VLOOKUP(V448,[1]界面跳转!$I:$J,2,FALSE)</f>
        <v>7253</v>
      </c>
      <c r="Y448" s="25" t="s">
        <v>56</v>
      </c>
      <c r="Z448" s="25" t="s">
        <v>57</v>
      </c>
      <c r="AA448" s="25">
        <f t="shared" si="222"/>
        <v>16014</v>
      </c>
      <c r="AB448" s="25">
        <v>6622314</v>
      </c>
      <c r="AD448" s="25">
        <v>16</v>
      </c>
      <c r="AE448" s="25">
        <f t="shared" si="224"/>
        <v>14</v>
      </c>
    </row>
    <row r="449" spans="1:31" s="25" customFormat="1" ht="16.149999999999999" customHeight="1" x14ac:dyDescent="0.45">
      <c r="A449" s="25">
        <f t="shared" si="218"/>
        <v>10016150</v>
      </c>
      <c r="B449" s="25">
        <v>0</v>
      </c>
      <c r="C449" s="25">
        <v>16</v>
      </c>
      <c r="D449" s="25">
        <f t="shared" si="223"/>
        <v>15</v>
      </c>
      <c r="E449" s="25" t="s">
        <v>739</v>
      </c>
      <c r="F449" s="25" t="s">
        <v>754</v>
      </c>
      <c r="G449" s="25" t="s">
        <v>186</v>
      </c>
      <c r="H449" s="25">
        <v>65</v>
      </c>
      <c r="I449" s="25" t="s">
        <v>59</v>
      </c>
      <c r="J449" s="25" t="str">
        <f t="shared" si="219"/>
        <v>采集任意资源点65次</v>
      </c>
      <c r="K449" s="25">
        <f t="shared" si="220"/>
        <v>10016150</v>
      </c>
      <c r="L449" s="25" t="s">
        <v>515</v>
      </c>
      <c r="M449" s="25">
        <v>11401070</v>
      </c>
      <c r="N449" s="25" t="s">
        <v>254</v>
      </c>
      <c r="O449" s="25" t="s">
        <v>52</v>
      </c>
      <c r="P449" s="4" t="s">
        <v>491</v>
      </c>
      <c r="Q449" s="25" t="s">
        <v>52</v>
      </c>
      <c r="R449" s="25" t="s">
        <v>187</v>
      </c>
      <c r="S449" s="57" t="str">
        <f t="shared" si="221"/>
        <v>occupyAnyResourceLand{count:65}</v>
      </c>
      <c r="T449" s="52" t="s">
        <v>52</v>
      </c>
      <c r="U449" s="52"/>
      <c r="V449" s="52" t="s">
        <v>188</v>
      </c>
      <c r="W449" s="25">
        <f>VLOOKUP(V449,[1]界面跳转!$I:$J,2,FALSE)</f>
        <v>7253</v>
      </c>
      <c r="Y449" s="25" t="s">
        <v>56</v>
      </c>
      <c r="Z449" s="25" t="s">
        <v>57</v>
      </c>
      <c r="AA449" s="25">
        <f t="shared" si="222"/>
        <v>16015</v>
      </c>
      <c r="AB449" s="25">
        <v>6622315</v>
      </c>
      <c r="AD449" s="25">
        <v>16</v>
      </c>
      <c r="AE449" s="25">
        <f t="shared" si="224"/>
        <v>15</v>
      </c>
    </row>
    <row r="450" spans="1:31" s="25" customFormat="1" ht="16.149999999999999" customHeight="1" x14ac:dyDescent="0.45">
      <c r="A450" s="25">
        <f t="shared" si="218"/>
        <v>10016160</v>
      </c>
      <c r="B450" s="25">
        <v>0</v>
      </c>
      <c r="C450" s="25">
        <v>16</v>
      </c>
      <c r="D450" s="25">
        <f t="shared" si="223"/>
        <v>16</v>
      </c>
      <c r="E450" s="25" t="s">
        <v>739</v>
      </c>
      <c r="F450" s="25" t="s">
        <v>755</v>
      </c>
      <c r="G450" s="25" t="s">
        <v>186</v>
      </c>
      <c r="H450" s="25">
        <v>70</v>
      </c>
      <c r="I450" s="25" t="s">
        <v>59</v>
      </c>
      <c r="J450" s="25" t="str">
        <f t="shared" si="219"/>
        <v>采集任意资源点70次</v>
      </c>
      <c r="K450" s="25">
        <f t="shared" si="220"/>
        <v>10016160</v>
      </c>
      <c r="L450" s="25" t="s">
        <v>515</v>
      </c>
      <c r="M450" s="25">
        <v>11401070</v>
      </c>
      <c r="N450" s="25" t="s">
        <v>254</v>
      </c>
      <c r="O450" s="25" t="s">
        <v>52</v>
      </c>
      <c r="P450" s="4" t="s">
        <v>491</v>
      </c>
      <c r="Q450" s="25" t="s">
        <v>52</v>
      </c>
      <c r="R450" s="25" t="s">
        <v>187</v>
      </c>
      <c r="S450" s="57" t="str">
        <f t="shared" si="221"/>
        <v>occupyAnyResourceLand{count:70}</v>
      </c>
      <c r="T450" s="52" t="s">
        <v>52</v>
      </c>
      <c r="U450" s="52"/>
      <c r="V450" s="52" t="s">
        <v>188</v>
      </c>
      <c r="W450" s="25">
        <f>VLOOKUP(V450,[1]界面跳转!$I:$J,2,FALSE)</f>
        <v>7253</v>
      </c>
      <c r="Y450" s="25" t="s">
        <v>56</v>
      </c>
      <c r="Z450" s="25" t="s">
        <v>57</v>
      </c>
      <c r="AA450" s="25">
        <f t="shared" si="222"/>
        <v>16016</v>
      </c>
      <c r="AB450" s="25">
        <v>6622316</v>
      </c>
      <c r="AD450" s="25">
        <v>16</v>
      </c>
      <c r="AE450" s="25">
        <f t="shared" si="224"/>
        <v>16</v>
      </c>
    </row>
    <row r="451" spans="1:31" s="25" customFormat="1" ht="16.149999999999999" customHeight="1" x14ac:dyDescent="0.45">
      <c r="A451" s="25">
        <f t="shared" si="218"/>
        <v>10016170</v>
      </c>
      <c r="B451" s="25">
        <v>0</v>
      </c>
      <c r="C451" s="25">
        <v>16</v>
      </c>
      <c r="D451" s="25">
        <f t="shared" si="223"/>
        <v>17</v>
      </c>
      <c r="E451" s="25" t="s">
        <v>739</v>
      </c>
      <c r="F451" s="25" t="s">
        <v>756</v>
      </c>
      <c r="G451" s="25" t="s">
        <v>186</v>
      </c>
      <c r="H451" s="25">
        <v>75</v>
      </c>
      <c r="I451" s="25" t="s">
        <v>59</v>
      </c>
      <c r="J451" s="25" t="str">
        <f t="shared" si="219"/>
        <v>采集任意资源点75次</v>
      </c>
      <c r="K451" s="25">
        <f t="shared" si="220"/>
        <v>10016170</v>
      </c>
      <c r="L451" s="25" t="s">
        <v>515</v>
      </c>
      <c r="M451" s="25">
        <v>11401070</v>
      </c>
      <c r="N451" s="25" t="s">
        <v>254</v>
      </c>
      <c r="O451" s="25" t="s">
        <v>52</v>
      </c>
      <c r="P451" s="4" t="s">
        <v>491</v>
      </c>
      <c r="Q451" s="25" t="s">
        <v>52</v>
      </c>
      <c r="R451" s="25" t="s">
        <v>187</v>
      </c>
      <c r="S451" s="57" t="str">
        <f t="shared" si="221"/>
        <v>occupyAnyResourceLand{count:75}</v>
      </c>
      <c r="T451" s="52" t="s">
        <v>52</v>
      </c>
      <c r="U451" s="52"/>
      <c r="V451" s="52" t="s">
        <v>188</v>
      </c>
      <c r="W451" s="25">
        <f>VLOOKUP(V451,[1]界面跳转!$I:$J,2,FALSE)</f>
        <v>7253</v>
      </c>
      <c r="Y451" s="25" t="s">
        <v>56</v>
      </c>
      <c r="Z451" s="25" t="s">
        <v>57</v>
      </c>
      <c r="AA451" s="25">
        <f t="shared" si="222"/>
        <v>16017</v>
      </c>
      <c r="AB451" s="25">
        <v>6622317</v>
      </c>
      <c r="AD451" s="25">
        <v>16</v>
      </c>
      <c r="AE451" s="25">
        <f t="shared" si="224"/>
        <v>17</v>
      </c>
    </row>
    <row r="452" spans="1:31" s="25" customFormat="1" ht="16.149999999999999" customHeight="1" x14ac:dyDescent="0.45">
      <c r="A452" s="25">
        <f t="shared" si="218"/>
        <v>10016180</v>
      </c>
      <c r="B452" s="25">
        <v>0</v>
      </c>
      <c r="C452" s="25">
        <v>16</v>
      </c>
      <c r="D452" s="25">
        <f t="shared" si="223"/>
        <v>18</v>
      </c>
      <c r="E452" s="25" t="s">
        <v>739</v>
      </c>
      <c r="F452" s="25" t="s">
        <v>757</v>
      </c>
      <c r="G452" s="25" t="s">
        <v>186</v>
      </c>
      <c r="H452" s="25">
        <v>80</v>
      </c>
      <c r="I452" s="25" t="s">
        <v>59</v>
      </c>
      <c r="J452" s="25" t="str">
        <f t="shared" si="219"/>
        <v>采集任意资源点80次</v>
      </c>
      <c r="K452" s="25">
        <f t="shared" si="220"/>
        <v>10016180</v>
      </c>
      <c r="L452" s="25" t="s">
        <v>515</v>
      </c>
      <c r="M452" s="25">
        <v>11401070</v>
      </c>
      <c r="N452" s="25" t="s">
        <v>254</v>
      </c>
      <c r="O452" s="25" t="s">
        <v>52</v>
      </c>
      <c r="P452" s="4" t="s">
        <v>491</v>
      </c>
      <c r="Q452" s="25" t="s">
        <v>52</v>
      </c>
      <c r="R452" s="25" t="s">
        <v>187</v>
      </c>
      <c r="S452" s="57" t="str">
        <f t="shared" si="221"/>
        <v>occupyAnyResourceLand{count:80}</v>
      </c>
      <c r="T452" s="52" t="s">
        <v>52</v>
      </c>
      <c r="U452" s="52"/>
      <c r="V452" s="52" t="s">
        <v>188</v>
      </c>
      <c r="W452" s="25">
        <f>VLOOKUP(V452,[1]界面跳转!$I:$J,2,FALSE)</f>
        <v>7253</v>
      </c>
      <c r="Y452" s="25" t="s">
        <v>56</v>
      </c>
      <c r="Z452" s="25" t="s">
        <v>57</v>
      </c>
      <c r="AA452" s="25">
        <f t="shared" si="222"/>
        <v>16018</v>
      </c>
      <c r="AB452" s="25">
        <v>6622318</v>
      </c>
      <c r="AD452" s="25">
        <v>16</v>
      </c>
      <c r="AE452" s="25">
        <f t="shared" si="224"/>
        <v>18</v>
      </c>
    </row>
    <row r="453" spans="1:31" s="25" customFormat="1" ht="16.149999999999999" customHeight="1" x14ac:dyDescent="0.45">
      <c r="A453" s="25">
        <f t="shared" si="218"/>
        <v>10016190</v>
      </c>
      <c r="B453" s="25">
        <v>0</v>
      </c>
      <c r="C453" s="25">
        <v>16</v>
      </c>
      <c r="D453" s="25">
        <f t="shared" si="223"/>
        <v>19</v>
      </c>
      <c r="E453" s="25" t="s">
        <v>739</v>
      </c>
      <c r="F453" s="25" t="s">
        <v>758</v>
      </c>
      <c r="G453" s="25" t="s">
        <v>186</v>
      </c>
      <c r="H453" s="25">
        <v>85</v>
      </c>
      <c r="I453" s="25" t="s">
        <v>59</v>
      </c>
      <c r="J453" s="25" t="str">
        <f t="shared" si="219"/>
        <v>采集任意资源点85次</v>
      </c>
      <c r="K453" s="25">
        <f t="shared" si="220"/>
        <v>10016190</v>
      </c>
      <c r="L453" s="25" t="s">
        <v>515</v>
      </c>
      <c r="M453" s="25">
        <v>11401070</v>
      </c>
      <c r="N453" s="25" t="s">
        <v>254</v>
      </c>
      <c r="O453" s="25" t="s">
        <v>52</v>
      </c>
      <c r="P453" s="4" t="s">
        <v>491</v>
      </c>
      <c r="Q453" s="25" t="s">
        <v>52</v>
      </c>
      <c r="R453" s="25" t="s">
        <v>187</v>
      </c>
      <c r="S453" s="57" t="str">
        <f t="shared" si="221"/>
        <v>occupyAnyResourceLand{count:85}</v>
      </c>
      <c r="T453" s="52" t="s">
        <v>52</v>
      </c>
      <c r="U453" s="52"/>
      <c r="V453" s="52" t="s">
        <v>188</v>
      </c>
      <c r="W453" s="25">
        <f>VLOOKUP(V453,[1]界面跳转!$I:$J,2,FALSE)</f>
        <v>7253</v>
      </c>
      <c r="Y453" s="25" t="s">
        <v>56</v>
      </c>
      <c r="Z453" s="25" t="s">
        <v>57</v>
      </c>
      <c r="AA453" s="25">
        <f t="shared" si="222"/>
        <v>16019</v>
      </c>
      <c r="AB453" s="25">
        <v>6622319</v>
      </c>
      <c r="AD453" s="25">
        <v>16</v>
      </c>
      <c r="AE453" s="25">
        <f t="shared" si="224"/>
        <v>19</v>
      </c>
    </row>
    <row r="454" spans="1:31" s="25" customFormat="1" ht="16.149999999999999" customHeight="1" x14ac:dyDescent="0.45">
      <c r="A454" s="25">
        <f t="shared" si="218"/>
        <v>10016200</v>
      </c>
      <c r="B454" s="25">
        <v>0</v>
      </c>
      <c r="C454" s="25">
        <v>16</v>
      </c>
      <c r="D454" s="25">
        <f t="shared" si="223"/>
        <v>20</v>
      </c>
      <c r="E454" s="25" t="s">
        <v>739</v>
      </c>
      <c r="F454" s="25" t="s">
        <v>759</v>
      </c>
      <c r="G454" s="25" t="s">
        <v>186</v>
      </c>
      <c r="H454" s="25">
        <v>90</v>
      </c>
      <c r="I454" s="25" t="s">
        <v>59</v>
      </c>
      <c r="J454" s="25" t="str">
        <f t="shared" si="219"/>
        <v>采集任意资源点90次</v>
      </c>
      <c r="K454" s="25">
        <f t="shared" si="220"/>
        <v>10016200</v>
      </c>
      <c r="L454" s="25" t="s">
        <v>515</v>
      </c>
      <c r="M454" s="25">
        <v>11401070</v>
      </c>
      <c r="N454" s="25" t="s">
        <v>254</v>
      </c>
      <c r="O454" s="25" t="s">
        <v>52</v>
      </c>
      <c r="P454" s="4" t="s">
        <v>491</v>
      </c>
      <c r="Q454" s="25" t="s">
        <v>52</v>
      </c>
      <c r="R454" s="25" t="s">
        <v>187</v>
      </c>
      <c r="S454" s="57" t="str">
        <f t="shared" si="221"/>
        <v>occupyAnyResourceLand{count:90}</v>
      </c>
      <c r="T454" s="52" t="s">
        <v>52</v>
      </c>
      <c r="U454" s="52"/>
      <c r="V454" s="52" t="s">
        <v>188</v>
      </c>
      <c r="W454" s="25">
        <f>VLOOKUP(V454,[1]界面跳转!$I:$J,2,FALSE)</f>
        <v>7253</v>
      </c>
      <c r="Y454" s="25" t="s">
        <v>56</v>
      </c>
      <c r="Z454" s="25" t="s">
        <v>57</v>
      </c>
      <c r="AA454" s="25">
        <f t="shared" si="222"/>
        <v>16020</v>
      </c>
      <c r="AB454" s="25">
        <v>6622320</v>
      </c>
      <c r="AD454" s="25">
        <v>16</v>
      </c>
      <c r="AE454" s="25">
        <f t="shared" si="224"/>
        <v>20</v>
      </c>
    </row>
    <row r="455" spans="1:31" s="25" customFormat="1" ht="16.149999999999999" customHeight="1" x14ac:dyDescent="0.45">
      <c r="A455" s="25">
        <f t="shared" si="218"/>
        <v>10016210</v>
      </c>
      <c r="B455" s="25">
        <v>0</v>
      </c>
      <c r="C455" s="25">
        <v>16</v>
      </c>
      <c r="D455" s="25">
        <f t="shared" si="223"/>
        <v>21</v>
      </c>
      <c r="E455" s="25" t="s">
        <v>739</v>
      </c>
      <c r="F455" s="25" t="s">
        <v>760</v>
      </c>
      <c r="G455" s="25" t="s">
        <v>186</v>
      </c>
      <c r="H455" s="25">
        <v>95</v>
      </c>
      <c r="I455" s="25" t="s">
        <v>59</v>
      </c>
      <c r="J455" s="25" t="str">
        <f t="shared" si="219"/>
        <v>采集任意资源点95次</v>
      </c>
      <c r="K455" s="25">
        <f t="shared" si="220"/>
        <v>10016210</v>
      </c>
      <c r="L455" s="25" t="s">
        <v>515</v>
      </c>
      <c r="M455" s="25">
        <v>11401070</v>
      </c>
      <c r="N455" s="25" t="s">
        <v>254</v>
      </c>
      <c r="O455" s="25" t="s">
        <v>52</v>
      </c>
      <c r="P455" s="4" t="s">
        <v>491</v>
      </c>
      <c r="Q455" s="25" t="s">
        <v>52</v>
      </c>
      <c r="R455" s="25" t="s">
        <v>187</v>
      </c>
      <c r="S455" s="57" t="str">
        <f t="shared" si="221"/>
        <v>occupyAnyResourceLand{count:95}</v>
      </c>
      <c r="T455" s="52" t="s">
        <v>52</v>
      </c>
      <c r="U455" s="52"/>
      <c r="V455" s="52" t="s">
        <v>188</v>
      </c>
      <c r="W455" s="25">
        <f>VLOOKUP(V455,[1]界面跳转!$I:$J,2,FALSE)</f>
        <v>7253</v>
      </c>
      <c r="Y455" s="25" t="s">
        <v>56</v>
      </c>
      <c r="Z455" s="25" t="s">
        <v>57</v>
      </c>
      <c r="AA455" s="25">
        <f t="shared" si="222"/>
        <v>16021</v>
      </c>
      <c r="AB455" s="25">
        <v>6622321</v>
      </c>
      <c r="AD455" s="25">
        <v>16</v>
      </c>
      <c r="AE455" s="25">
        <f t="shared" si="224"/>
        <v>21</v>
      </c>
    </row>
    <row r="456" spans="1:31" s="25" customFormat="1" ht="16.149999999999999" customHeight="1" x14ac:dyDescent="0.45">
      <c r="A456" s="25">
        <f t="shared" si="218"/>
        <v>10016220</v>
      </c>
      <c r="B456" s="25">
        <v>0</v>
      </c>
      <c r="C456" s="25">
        <v>16</v>
      </c>
      <c r="D456" s="25">
        <f t="shared" si="223"/>
        <v>22</v>
      </c>
      <c r="E456" s="25" t="s">
        <v>739</v>
      </c>
      <c r="F456" s="25" t="s">
        <v>761</v>
      </c>
      <c r="G456" s="25" t="s">
        <v>186</v>
      </c>
      <c r="H456" s="25">
        <v>100</v>
      </c>
      <c r="I456" s="25" t="s">
        <v>59</v>
      </c>
      <c r="J456" s="25" t="str">
        <f t="shared" si="219"/>
        <v>采集任意资源点100次</v>
      </c>
      <c r="K456" s="25">
        <f t="shared" si="220"/>
        <v>10016220</v>
      </c>
      <c r="L456" s="25" t="s">
        <v>515</v>
      </c>
      <c r="M456" s="25">
        <v>11401070</v>
      </c>
      <c r="N456" s="25" t="s">
        <v>254</v>
      </c>
      <c r="O456" s="25" t="s">
        <v>52</v>
      </c>
      <c r="P456" s="4" t="s">
        <v>491</v>
      </c>
      <c r="Q456" s="25" t="s">
        <v>52</v>
      </c>
      <c r="R456" s="25" t="s">
        <v>187</v>
      </c>
      <c r="S456" s="57" t="str">
        <f t="shared" si="221"/>
        <v>occupyAnyResourceLand{count:100}</v>
      </c>
      <c r="T456" s="52" t="s">
        <v>52</v>
      </c>
      <c r="U456" s="52"/>
      <c r="V456" s="52" t="s">
        <v>188</v>
      </c>
      <c r="W456" s="25">
        <f>VLOOKUP(V456,[1]界面跳转!$I:$J,2,FALSE)</f>
        <v>7253</v>
      </c>
      <c r="Y456" s="25" t="s">
        <v>56</v>
      </c>
      <c r="Z456" s="25" t="s">
        <v>57</v>
      </c>
      <c r="AA456" s="25">
        <f t="shared" si="222"/>
        <v>16022</v>
      </c>
      <c r="AB456" s="25">
        <v>6622322</v>
      </c>
      <c r="AD456" s="25">
        <v>16</v>
      </c>
      <c r="AE456" s="25">
        <f t="shared" si="224"/>
        <v>22</v>
      </c>
    </row>
    <row r="457" spans="1:31" s="25" customFormat="1" ht="16.149999999999999" customHeight="1" x14ac:dyDescent="0.45">
      <c r="A457" s="25">
        <f t="shared" si="218"/>
        <v>10016230</v>
      </c>
      <c r="B457" s="25">
        <v>0</v>
      </c>
      <c r="C457" s="25">
        <v>16</v>
      </c>
      <c r="D457" s="25">
        <f t="shared" si="223"/>
        <v>23</v>
      </c>
      <c r="E457" s="25" t="s">
        <v>739</v>
      </c>
      <c r="F457" s="25" t="s">
        <v>762</v>
      </c>
      <c r="G457" s="25" t="s">
        <v>186</v>
      </c>
      <c r="H457" s="25">
        <v>105</v>
      </c>
      <c r="I457" s="25" t="s">
        <v>59</v>
      </c>
      <c r="J457" s="25" t="str">
        <f t="shared" si="219"/>
        <v>采集任意资源点105次</v>
      </c>
      <c r="K457" s="25">
        <f t="shared" si="220"/>
        <v>10016230</v>
      </c>
      <c r="L457" s="25" t="s">
        <v>515</v>
      </c>
      <c r="M457" s="25">
        <v>11401070</v>
      </c>
      <c r="N457" s="25" t="s">
        <v>254</v>
      </c>
      <c r="O457" s="25" t="s">
        <v>52</v>
      </c>
      <c r="P457" s="4" t="s">
        <v>491</v>
      </c>
      <c r="Q457" s="25" t="s">
        <v>52</v>
      </c>
      <c r="R457" s="25" t="s">
        <v>187</v>
      </c>
      <c r="S457" s="57" t="str">
        <f t="shared" si="221"/>
        <v>occupyAnyResourceLand{count:105}</v>
      </c>
      <c r="T457" s="52" t="s">
        <v>52</v>
      </c>
      <c r="U457" s="52"/>
      <c r="V457" s="52" t="s">
        <v>188</v>
      </c>
      <c r="W457" s="25">
        <f>VLOOKUP(V457,[1]界面跳转!$I:$J,2,FALSE)</f>
        <v>7253</v>
      </c>
      <c r="Y457" s="25" t="s">
        <v>56</v>
      </c>
      <c r="Z457" s="25" t="s">
        <v>57</v>
      </c>
      <c r="AA457" s="25">
        <f t="shared" si="222"/>
        <v>16023</v>
      </c>
      <c r="AB457" s="25">
        <v>6622323</v>
      </c>
      <c r="AD457" s="25">
        <v>16</v>
      </c>
      <c r="AE457" s="25">
        <f t="shared" si="224"/>
        <v>23</v>
      </c>
    </row>
    <row r="458" spans="1:31" s="25" customFormat="1" ht="16.149999999999999" customHeight="1" x14ac:dyDescent="0.45">
      <c r="A458" s="25">
        <f t="shared" si="218"/>
        <v>10016240</v>
      </c>
      <c r="B458" s="25">
        <v>0</v>
      </c>
      <c r="C458" s="25">
        <v>16</v>
      </c>
      <c r="D458" s="25">
        <f t="shared" si="223"/>
        <v>24</v>
      </c>
      <c r="E458" s="25" t="s">
        <v>739</v>
      </c>
      <c r="F458" s="25" t="s">
        <v>763</v>
      </c>
      <c r="G458" s="25" t="s">
        <v>186</v>
      </c>
      <c r="H458" s="25">
        <v>110</v>
      </c>
      <c r="I458" s="25" t="s">
        <v>59</v>
      </c>
      <c r="J458" s="25" t="str">
        <f t="shared" si="219"/>
        <v>采集任意资源点110次</v>
      </c>
      <c r="K458" s="25">
        <f t="shared" si="220"/>
        <v>10016240</v>
      </c>
      <c r="L458" s="25" t="s">
        <v>515</v>
      </c>
      <c r="M458" s="25">
        <v>11401070</v>
      </c>
      <c r="N458" s="25" t="s">
        <v>254</v>
      </c>
      <c r="O458" s="25" t="s">
        <v>52</v>
      </c>
      <c r="P458" s="4" t="s">
        <v>491</v>
      </c>
      <c r="Q458" s="25" t="s">
        <v>52</v>
      </c>
      <c r="R458" s="25" t="s">
        <v>187</v>
      </c>
      <c r="S458" s="57" t="str">
        <f t="shared" si="221"/>
        <v>occupyAnyResourceLand{count:110}</v>
      </c>
      <c r="T458" s="52" t="s">
        <v>52</v>
      </c>
      <c r="U458" s="52"/>
      <c r="V458" s="52" t="s">
        <v>188</v>
      </c>
      <c r="W458" s="25">
        <f>VLOOKUP(V458,[1]界面跳转!$I:$J,2,FALSE)</f>
        <v>7253</v>
      </c>
      <c r="Y458" s="25" t="s">
        <v>56</v>
      </c>
      <c r="Z458" s="25" t="s">
        <v>57</v>
      </c>
      <c r="AA458" s="25">
        <f t="shared" si="222"/>
        <v>16024</v>
      </c>
      <c r="AB458" s="25">
        <v>6622324</v>
      </c>
      <c r="AD458" s="25">
        <v>16</v>
      </c>
      <c r="AE458" s="25">
        <f t="shared" si="224"/>
        <v>24</v>
      </c>
    </row>
    <row r="459" spans="1:31" s="25" customFormat="1" ht="16.149999999999999" customHeight="1" x14ac:dyDescent="0.45">
      <c r="A459" s="25">
        <f t="shared" si="218"/>
        <v>10016250</v>
      </c>
      <c r="B459" s="25">
        <v>0</v>
      </c>
      <c r="C459" s="25">
        <v>16</v>
      </c>
      <c r="D459" s="25">
        <f t="shared" si="223"/>
        <v>25</v>
      </c>
      <c r="E459" s="25" t="s">
        <v>739</v>
      </c>
      <c r="F459" s="25" t="s">
        <v>764</v>
      </c>
      <c r="G459" s="25" t="s">
        <v>186</v>
      </c>
      <c r="H459" s="25">
        <v>115</v>
      </c>
      <c r="I459" s="25" t="s">
        <v>59</v>
      </c>
      <c r="J459" s="25" t="str">
        <f t="shared" si="219"/>
        <v>采集任意资源点115次</v>
      </c>
      <c r="K459" s="25">
        <f t="shared" si="220"/>
        <v>10016250</v>
      </c>
      <c r="L459" s="25" t="s">
        <v>515</v>
      </c>
      <c r="M459" s="25">
        <v>11401070</v>
      </c>
      <c r="N459" s="25" t="s">
        <v>254</v>
      </c>
      <c r="O459" s="25" t="s">
        <v>52</v>
      </c>
      <c r="P459" s="4" t="s">
        <v>491</v>
      </c>
      <c r="Q459" s="25" t="s">
        <v>52</v>
      </c>
      <c r="R459" s="25" t="s">
        <v>187</v>
      </c>
      <c r="S459" s="57" t="str">
        <f t="shared" si="221"/>
        <v>occupyAnyResourceLand{count:115}</v>
      </c>
      <c r="T459" s="52" t="s">
        <v>52</v>
      </c>
      <c r="U459" s="52"/>
      <c r="V459" s="52" t="s">
        <v>188</v>
      </c>
      <c r="W459" s="25">
        <f>VLOOKUP(V459,[1]界面跳转!$I:$J,2,FALSE)</f>
        <v>7253</v>
      </c>
      <c r="Y459" s="25" t="s">
        <v>56</v>
      </c>
      <c r="Z459" s="25" t="s">
        <v>57</v>
      </c>
      <c r="AA459" s="25">
        <f t="shared" si="222"/>
        <v>16025</v>
      </c>
      <c r="AB459" s="25">
        <v>6622325</v>
      </c>
      <c r="AD459" s="25">
        <v>16</v>
      </c>
      <c r="AE459" s="25">
        <f t="shared" si="224"/>
        <v>25</v>
      </c>
    </row>
    <row r="460" spans="1:31" s="25" customFormat="1" ht="16.149999999999999" customHeight="1" x14ac:dyDescent="0.45">
      <c r="A460" s="25">
        <f t="shared" si="218"/>
        <v>10016260</v>
      </c>
      <c r="B460" s="25">
        <v>0</v>
      </c>
      <c r="C460" s="25">
        <v>16</v>
      </c>
      <c r="D460" s="25">
        <f t="shared" si="223"/>
        <v>26</v>
      </c>
      <c r="E460" s="25" t="s">
        <v>739</v>
      </c>
      <c r="F460" s="25" t="s">
        <v>765</v>
      </c>
      <c r="G460" s="25" t="s">
        <v>186</v>
      </c>
      <c r="H460" s="25">
        <v>120</v>
      </c>
      <c r="I460" s="25" t="s">
        <v>59</v>
      </c>
      <c r="J460" s="25" t="str">
        <f t="shared" si="219"/>
        <v>采集任意资源点120次</v>
      </c>
      <c r="K460" s="25">
        <f t="shared" si="220"/>
        <v>10016260</v>
      </c>
      <c r="L460" s="25" t="s">
        <v>515</v>
      </c>
      <c r="M460" s="25">
        <v>11401070</v>
      </c>
      <c r="N460" s="25" t="s">
        <v>254</v>
      </c>
      <c r="O460" s="25" t="s">
        <v>52</v>
      </c>
      <c r="P460" s="4" t="s">
        <v>491</v>
      </c>
      <c r="Q460" s="25" t="s">
        <v>52</v>
      </c>
      <c r="R460" s="25" t="s">
        <v>187</v>
      </c>
      <c r="S460" s="57" t="str">
        <f t="shared" si="221"/>
        <v>occupyAnyResourceLand{count:120}</v>
      </c>
      <c r="T460" s="52" t="s">
        <v>52</v>
      </c>
      <c r="U460" s="52"/>
      <c r="V460" s="52" t="s">
        <v>188</v>
      </c>
      <c r="W460" s="25">
        <f>VLOOKUP(V460,[1]界面跳转!$I:$J,2,FALSE)</f>
        <v>7253</v>
      </c>
      <c r="Y460" s="25" t="s">
        <v>56</v>
      </c>
      <c r="Z460" s="25" t="s">
        <v>57</v>
      </c>
      <c r="AA460" s="25">
        <f t="shared" si="222"/>
        <v>16026</v>
      </c>
      <c r="AB460" s="25">
        <v>6622326</v>
      </c>
      <c r="AD460" s="25">
        <v>16</v>
      </c>
      <c r="AE460" s="25">
        <f t="shared" si="224"/>
        <v>26</v>
      </c>
    </row>
    <row r="461" spans="1:31" s="25" customFormat="1" ht="16.149999999999999" customHeight="1" x14ac:dyDescent="0.45">
      <c r="A461" s="25">
        <f t="shared" si="218"/>
        <v>10016270</v>
      </c>
      <c r="B461" s="25">
        <v>0</v>
      </c>
      <c r="C461" s="25">
        <v>16</v>
      </c>
      <c r="D461" s="25">
        <f t="shared" si="223"/>
        <v>27</v>
      </c>
      <c r="E461" s="25" t="s">
        <v>739</v>
      </c>
      <c r="F461" s="25" t="s">
        <v>766</v>
      </c>
      <c r="G461" s="25" t="s">
        <v>186</v>
      </c>
      <c r="H461" s="25">
        <v>125</v>
      </c>
      <c r="I461" s="25" t="s">
        <v>59</v>
      </c>
      <c r="J461" s="25" t="str">
        <f t="shared" si="219"/>
        <v>采集任意资源点125次</v>
      </c>
      <c r="K461" s="25">
        <f t="shared" si="220"/>
        <v>10016270</v>
      </c>
      <c r="L461" s="25" t="s">
        <v>515</v>
      </c>
      <c r="M461" s="25">
        <v>11401070</v>
      </c>
      <c r="N461" s="25" t="s">
        <v>254</v>
      </c>
      <c r="O461" s="25" t="s">
        <v>52</v>
      </c>
      <c r="P461" s="4" t="s">
        <v>491</v>
      </c>
      <c r="Q461" s="25" t="s">
        <v>52</v>
      </c>
      <c r="R461" s="25" t="s">
        <v>187</v>
      </c>
      <c r="S461" s="57" t="str">
        <f t="shared" si="221"/>
        <v>occupyAnyResourceLand{count:125}</v>
      </c>
      <c r="T461" s="52" t="s">
        <v>52</v>
      </c>
      <c r="U461" s="52"/>
      <c r="V461" s="52" t="s">
        <v>188</v>
      </c>
      <c r="W461" s="25">
        <f>VLOOKUP(V461,[1]界面跳转!$I:$J,2,FALSE)</f>
        <v>7253</v>
      </c>
      <c r="Y461" s="25" t="s">
        <v>56</v>
      </c>
      <c r="Z461" s="25" t="s">
        <v>57</v>
      </c>
      <c r="AA461" s="25">
        <f t="shared" si="222"/>
        <v>16027</v>
      </c>
      <c r="AB461" s="25">
        <v>6622327</v>
      </c>
      <c r="AD461" s="25">
        <v>16</v>
      </c>
      <c r="AE461" s="25">
        <f t="shared" si="224"/>
        <v>27</v>
      </c>
    </row>
    <row r="462" spans="1:31" s="23" customFormat="1" ht="16.149999999999999" customHeight="1" x14ac:dyDescent="0.45">
      <c r="A462" s="23">
        <f t="shared" si="218"/>
        <v>10017010</v>
      </c>
      <c r="B462" s="23">
        <v>0</v>
      </c>
      <c r="C462" s="23">
        <v>17</v>
      </c>
      <c r="D462" s="23">
        <f t="shared" si="223"/>
        <v>1</v>
      </c>
      <c r="E462" s="23" t="s">
        <v>767</v>
      </c>
      <c r="F462" s="23" t="s">
        <v>768</v>
      </c>
      <c r="G462" s="55" t="s">
        <v>553</v>
      </c>
      <c r="H462" s="55">
        <v>1</v>
      </c>
      <c r="I462" s="55" t="s">
        <v>769</v>
      </c>
      <c r="J462" s="23" t="str">
        <f t="shared" si="219"/>
        <v>完成1次科技研究</v>
      </c>
      <c r="K462" s="23">
        <f t="shared" si="220"/>
        <v>10017010</v>
      </c>
      <c r="L462" s="23" t="s">
        <v>770</v>
      </c>
      <c r="M462" s="23">
        <f t="shared" ref="M462:M493" si="225">VLOOKUP(L462,J:K,2,FALSE)</f>
        <v>10601120</v>
      </c>
      <c r="N462" s="23" t="s">
        <v>254</v>
      </c>
      <c r="O462" s="23" t="s">
        <v>52</v>
      </c>
      <c r="P462" s="4" t="s">
        <v>491</v>
      </c>
      <c r="Q462" s="23" t="s">
        <v>52</v>
      </c>
      <c r="R462" s="23" t="s">
        <v>771</v>
      </c>
      <c r="S462" s="57" t="str">
        <f t="shared" si="221"/>
        <v>statisticReach{type:"PET_PlayerTechResearchEvent",value:1}</v>
      </c>
      <c r="T462" s="24" t="s">
        <v>52</v>
      </c>
      <c r="U462" s="24" t="s">
        <v>121</v>
      </c>
      <c r="V462" s="4" t="s">
        <v>122</v>
      </c>
      <c r="W462" s="23">
        <f>VLOOKUP(V462,[2]界面跳转!$I:$J,2,FALSE)</f>
        <v>100137</v>
      </c>
      <c r="Y462" s="23" t="s">
        <v>56</v>
      </c>
      <c r="Z462" s="23" t="s">
        <v>57</v>
      </c>
      <c r="AA462" s="23">
        <f t="shared" si="222"/>
        <v>23001</v>
      </c>
      <c r="AB462" s="23">
        <v>6622301</v>
      </c>
      <c r="AD462" s="23">
        <v>23</v>
      </c>
      <c r="AE462" s="23">
        <f t="shared" si="224"/>
        <v>1</v>
      </c>
    </row>
    <row r="463" spans="1:31" s="23" customFormat="1" ht="16.149999999999999" customHeight="1" x14ac:dyDescent="0.45">
      <c r="A463" s="23">
        <f t="shared" si="218"/>
        <v>10017020</v>
      </c>
      <c r="B463" s="23">
        <v>0</v>
      </c>
      <c r="C463" s="23">
        <v>17</v>
      </c>
      <c r="D463" s="23">
        <f t="shared" si="223"/>
        <v>2</v>
      </c>
      <c r="E463" s="23" t="s">
        <v>767</v>
      </c>
      <c r="F463" s="23" t="s">
        <v>772</v>
      </c>
      <c r="G463" s="55" t="s">
        <v>553</v>
      </c>
      <c r="H463" s="55">
        <v>2</v>
      </c>
      <c r="I463" s="55" t="s">
        <v>769</v>
      </c>
      <c r="J463" s="23" t="str">
        <f t="shared" si="219"/>
        <v>完成2次科技研究</v>
      </c>
      <c r="K463" s="23">
        <f t="shared" si="220"/>
        <v>10017020</v>
      </c>
      <c r="L463" s="23" t="s">
        <v>770</v>
      </c>
      <c r="M463" s="23">
        <f t="shared" si="225"/>
        <v>10601120</v>
      </c>
      <c r="N463" s="23" t="s">
        <v>254</v>
      </c>
      <c r="O463" s="23" t="s">
        <v>52</v>
      </c>
      <c r="P463" s="4" t="s">
        <v>491</v>
      </c>
      <c r="Q463" s="23" t="s">
        <v>52</v>
      </c>
      <c r="R463" s="23" t="s">
        <v>771</v>
      </c>
      <c r="S463" s="57" t="str">
        <f t="shared" si="221"/>
        <v>statisticReach{type:"PET_PlayerTechResearchEvent",value:2}</v>
      </c>
      <c r="T463" s="24" t="s">
        <v>52</v>
      </c>
      <c r="U463" s="24" t="s">
        <v>121</v>
      </c>
      <c r="V463" s="4" t="s">
        <v>122</v>
      </c>
      <c r="W463" s="23">
        <f>VLOOKUP(V463,[2]界面跳转!$I:$J,2,FALSE)</f>
        <v>100137</v>
      </c>
      <c r="Y463" s="23" t="s">
        <v>56</v>
      </c>
      <c r="Z463" s="23" t="s">
        <v>57</v>
      </c>
      <c r="AA463" s="23">
        <f t="shared" si="222"/>
        <v>23002</v>
      </c>
      <c r="AB463" s="23">
        <v>6622302</v>
      </c>
      <c r="AD463" s="23">
        <v>23</v>
      </c>
      <c r="AE463" s="23">
        <f t="shared" si="224"/>
        <v>2</v>
      </c>
    </row>
    <row r="464" spans="1:31" s="23" customFormat="1" ht="16.149999999999999" customHeight="1" x14ac:dyDescent="0.45">
      <c r="A464" s="23">
        <f t="shared" si="218"/>
        <v>10017030</v>
      </c>
      <c r="B464" s="23">
        <v>0</v>
      </c>
      <c r="C464" s="23">
        <v>17</v>
      </c>
      <c r="D464" s="23">
        <f t="shared" si="223"/>
        <v>3</v>
      </c>
      <c r="E464" s="23" t="s">
        <v>767</v>
      </c>
      <c r="F464" s="23" t="s">
        <v>773</v>
      </c>
      <c r="G464" s="55" t="s">
        <v>553</v>
      </c>
      <c r="H464" s="55">
        <v>3</v>
      </c>
      <c r="I464" s="55" t="s">
        <v>769</v>
      </c>
      <c r="J464" s="23" t="str">
        <f t="shared" si="219"/>
        <v>完成3次科技研究</v>
      </c>
      <c r="K464" s="23">
        <f t="shared" si="220"/>
        <v>10017030</v>
      </c>
      <c r="L464" s="23" t="s">
        <v>770</v>
      </c>
      <c r="M464" s="23">
        <f t="shared" si="225"/>
        <v>10601120</v>
      </c>
      <c r="N464" s="23" t="s">
        <v>254</v>
      </c>
      <c r="O464" s="23" t="s">
        <v>52</v>
      </c>
      <c r="P464" s="4" t="s">
        <v>491</v>
      </c>
      <c r="Q464" s="23" t="s">
        <v>52</v>
      </c>
      <c r="R464" s="23" t="s">
        <v>771</v>
      </c>
      <c r="S464" s="57" t="str">
        <f t="shared" si="221"/>
        <v>statisticReach{type:"PET_PlayerTechResearchEvent",value:3}</v>
      </c>
      <c r="T464" s="24" t="s">
        <v>52</v>
      </c>
      <c r="U464" s="24" t="s">
        <v>121</v>
      </c>
      <c r="V464" s="4" t="s">
        <v>122</v>
      </c>
      <c r="W464" s="23">
        <f>VLOOKUP(V464,[2]界面跳转!$I:$J,2,FALSE)</f>
        <v>100137</v>
      </c>
      <c r="Y464" s="23" t="s">
        <v>56</v>
      </c>
      <c r="Z464" s="23" t="s">
        <v>57</v>
      </c>
      <c r="AA464" s="23">
        <f t="shared" si="222"/>
        <v>23003</v>
      </c>
      <c r="AB464" s="23">
        <v>6622303</v>
      </c>
      <c r="AD464" s="23">
        <v>23</v>
      </c>
      <c r="AE464" s="23">
        <f t="shared" si="224"/>
        <v>3</v>
      </c>
    </row>
    <row r="465" spans="1:31" s="23" customFormat="1" ht="16.149999999999999" customHeight="1" x14ac:dyDescent="0.45">
      <c r="A465" s="23">
        <f t="shared" si="218"/>
        <v>10017040</v>
      </c>
      <c r="B465" s="23">
        <v>0</v>
      </c>
      <c r="C465" s="23">
        <v>17</v>
      </c>
      <c r="D465" s="23">
        <f t="shared" si="223"/>
        <v>4</v>
      </c>
      <c r="E465" s="23" t="s">
        <v>767</v>
      </c>
      <c r="F465" s="23" t="s">
        <v>774</v>
      </c>
      <c r="G465" s="55" t="s">
        <v>553</v>
      </c>
      <c r="H465" s="55">
        <v>4</v>
      </c>
      <c r="I465" s="55" t="s">
        <v>769</v>
      </c>
      <c r="J465" s="23" t="str">
        <f t="shared" si="219"/>
        <v>完成4次科技研究</v>
      </c>
      <c r="K465" s="23">
        <f t="shared" si="220"/>
        <v>10017040</v>
      </c>
      <c r="L465" s="23" t="s">
        <v>770</v>
      </c>
      <c r="M465" s="23">
        <f t="shared" si="225"/>
        <v>10601120</v>
      </c>
      <c r="N465" s="23" t="s">
        <v>254</v>
      </c>
      <c r="O465" s="23" t="s">
        <v>52</v>
      </c>
      <c r="P465" s="4" t="s">
        <v>491</v>
      </c>
      <c r="Q465" s="23" t="s">
        <v>52</v>
      </c>
      <c r="R465" s="23" t="s">
        <v>771</v>
      </c>
      <c r="S465" s="57" t="str">
        <f t="shared" si="221"/>
        <v>statisticReach{type:"PET_PlayerTechResearchEvent",value:4}</v>
      </c>
      <c r="T465" s="24" t="s">
        <v>52</v>
      </c>
      <c r="U465" s="24" t="s">
        <v>121</v>
      </c>
      <c r="V465" s="4" t="s">
        <v>122</v>
      </c>
      <c r="W465" s="23">
        <f>VLOOKUP(V465,[2]界面跳转!$I:$J,2,FALSE)</f>
        <v>100137</v>
      </c>
      <c r="Y465" s="23" t="s">
        <v>56</v>
      </c>
      <c r="Z465" s="23" t="s">
        <v>57</v>
      </c>
      <c r="AA465" s="23">
        <f t="shared" si="222"/>
        <v>23004</v>
      </c>
      <c r="AB465" s="23">
        <v>6622304</v>
      </c>
      <c r="AD465" s="23">
        <v>23</v>
      </c>
      <c r="AE465" s="23">
        <f t="shared" si="224"/>
        <v>4</v>
      </c>
    </row>
    <row r="466" spans="1:31" s="23" customFormat="1" ht="16.149999999999999" customHeight="1" x14ac:dyDescent="0.45">
      <c r="A466" s="23">
        <f t="shared" si="218"/>
        <v>10017050</v>
      </c>
      <c r="B466" s="23">
        <v>0</v>
      </c>
      <c r="C466" s="23">
        <v>17</v>
      </c>
      <c r="D466" s="23">
        <f t="shared" si="223"/>
        <v>5</v>
      </c>
      <c r="E466" s="23" t="s">
        <v>767</v>
      </c>
      <c r="F466" s="23" t="s">
        <v>775</v>
      </c>
      <c r="G466" s="55" t="s">
        <v>553</v>
      </c>
      <c r="H466" s="55">
        <v>5</v>
      </c>
      <c r="I466" s="55" t="s">
        <v>769</v>
      </c>
      <c r="J466" s="23" t="str">
        <f t="shared" si="219"/>
        <v>完成5次科技研究</v>
      </c>
      <c r="K466" s="23">
        <f t="shared" si="220"/>
        <v>10017050</v>
      </c>
      <c r="L466" s="23" t="s">
        <v>770</v>
      </c>
      <c r="M466" s="23">
        <f t="shared" si="225"/>
        <v>10601120</v>
      </c>
      <c r="N466" s="23" t="s">
        <v>254</v>
      </c>
      <c r="O466" s="23" t="s">
        <v>52</v>
      </c>
      <c r="P466" s="4" t="s">
        <v>491</v>
      </c>
      <c r="Q466" s="23" t="s">
        <v>52</v>
      </c>
      <c r="R466" s="23" t="s">
        <v>771</v>
      </c>
      <c r="S466" s="57" t="str">
        <f t="shared" si="221"/>
        <v>statisticReach{type:"PET_PlayerTechResearchEvent",value:5}</v>
      </c>
      <c r="T466" s="24" t="s">
        <v>52</v>
      </c>
      <c r="U466" s="24" t="s">
        <v>121</v>
      </c>
      <c r="V466" s="4" t="s">
        <v>122</v>
      </c>
      <c r="W466" s="23">
        <f>VLOOKUP(V466,[2]界面跳转!$I:$J,2,FALSE)</f>
        <v>100137</v>
      </c>
      <c r="Y466" s="23" t="s">
        <v>56</v>
      </c>
      <c r="Z466" s="23" t="s">
        <v>57</v>
      </c>
      <c r="AA466" s="23">
        <f t="shared" si="222"/>
        <v>23005</v>
      </c>
      <c r="AB466" s="23">
        <v>6622305</v>
      </c>
      <c r="AD466" s="23">
        <v>23</v>
      </c>
      <c r="AE466" s="23">
        <f t="shared" si="224"/>
        <v>5</v>
      </c>
    </row>
    <row r="467" spans="1:31" s="23" customFormat="1" ht="16.149999999999999" customHeight="1" x14ac:dyDescent="0.45">
      <c r="A467" s="23">
        <f t="shared" si="218"/>
        <v>10017060</v>
      </c>
      <c r="B467" s="23">
        <v>0</v>
      </c>
      <c r="C467" s="23">
        <v>17</v>
      </c>
      <c r="D467" s="23">
        <f t="shared" si="223"/>
        <v>6</v>
      </c>
      <c r="E467" s="23" t="s">
        <v>767</v>
      </c>
      <c r="F467" s="23" t="s">
        <v>776</v>
      </c>
      <c r="G467" s="55" t="s">
        <v>553</v>
      </c>
      <c r="H467" s="55">
        <v>7</v>
      </c>
      <c r="I467" s="55" t="s">
        <v>769</v>
      </c>
      <c r="J467" s="23" t="str">
        <f t="shared" si="219"/>
        <v>完成7次科技研究</v>
      </c>
      <c r="K467" s="23">
        <f t="shared" si="220"/>
        <v>10017060</v>
      </c>
      <c r="L467" s="23" t="s">
        <v>770</v>
      </c>
      <c r="M467" s="23">
        <f t="shared" si="225"/>
        <v>10601120</v>
      </c>
      <c r="N467" s="23" t="s">
        <v>254</v>
      </c>
      <c r="O467" s="23" t="s">
        <v>52</v>
      </c>
      <c r="P467" s="4" t="s">
        <v>491</v>
      </c>
      <c r="Q467" s="23" t="s">
        <v>52</v>
      </c>
      <c r="R467" s="23" t="s">
        <v>771</v>
      </c>
      <c r="S467" s="57" t="str">
        <f t="shared" si="221"/>
        <v>statisticReach{type:"PET_PlayerTechResearchEvent",value:7}</v>
      </c>
      <c r="T467" s="24" t="s">
        <v>52</v>
      </c>
      <c r="U467" s="24" t="s">
        <v>121</v>
      </c>
      <c r="V467" s="4" t="s">
        <v>122</v>
      </c>
      <c r="W467" s="23">
        <f>VLOOKUP(V467,[2]界面跳转!$I:$J,2,FALSE)</f>
        <v>100137</v>
      </c>
      <c r="Y467" s="23" t="s">
        <v>56</v>
      </c>
      <c r="Z467" s="23" t="s">
        <v>57</v>
      </c>
      <c r="AA467" s="23">
        <f t="shared" si="222"/>
        <v>23006</v>
      </c>
      <c r="AB467" s="23">
        <v>6622306</v>
      </c>
      <c r="AD467" s="23">
        <v>23</v>
      </c>
      <c r="AE467" s="23">
        <f t="shared" si="224"/>
        <v>6</v>
      </c>
    </row>
    <row r="468" spans="1:31" s="23" customFormat="1" ht="16.149999999999999" customHeight="1" x14ac:dyDescent="0.45">
      <c r="A468" s="23">
        <f t="shared" si="218"/>
        <v>10017070</v>
      </c>
      <c r="B468" s="23">
        <v>0</v>
      </c>
      <c r="C468" s="23">
        <v>17</v>
      </c>
      <c r="D468" s="23">
        <f t="shared" si="223"/>
        <v>7</v>
      </c>
      <c r="E468" s="23" t="s">
        <v>767</v>
      </c>
      <c r="F468" s="23" t="s">
        <v>777</v>
      </c>
      <c r="G468" s="55" t="s">
        <v>553</v>
      </c>
      <c r="H468" s="55">
        <v>10</v>
      </c>
      <c r="I468" s="55" t="s">
        <v>769</v>
      </c>
      <c r="J468" s="23" t="str">
        <f t="shared" si="219"/>
        <v>完成10次科技研究</v>
      </c>
      <c r="K468" s="23">
        <f t="shared" si="220"/>
        <v>10017070</v>
      </c>
      <c r="L468" s="23" t="s">
        <v>770</v>
      </c>
      <c r="M468" s="23">
        <f t="shared" si="225"/>
        <v>10601120</v>
      </c>
      <c r="N468" s="23" t="s">
        <v>254</v>
      </c>
      <c r="O468" s="23" t="s">
        <v>52</v>
      </c>
      <c r="P468" s="4" t="s">
        <v>491</v>
      </c>
      <c r="Q468" s="23" t="s">
        <v>52</v>
      </c>
      <c r="R468" s="23" t="s">
        <v>771</v>
      </c>
      <c r="S468" s="57" t="str">
        <f t="shared" si="221"/>
        <v>statisticReach{type:"PET_PlayerTechResearchEvent",value:10}</v>
      </c>
      <c r="T468" s="24" t="s">
        <v>52</v>
      </c>
      <c r="U468" s="24" t="s">
        <v>121</v>
      </c>
      <c r="V468" s="4" t="s">
        <v>122</v>
      </c>
      <c r="W468" s="23">
        <f>VLOOKUP(V468,[2]界面跳转!$I:$J,2,FALSE)</f>
        <v>100137</v>
      </c>
      <c r="Y468" s="23" t="s">
        <v>56</v>
      </c>
      <c r="Z468" s="23" t="s">
        <v>57</v>
      </c>
      <c r="AA468" s="23">
        <f t="shared" si="222"/>
        <v>23007</v>
      </c>
      <c r="AB468" s="23">
        <v>6622307</v>
      </c>
      <c r="AD468" s="23">
        <v>23</v>
      </c>
      <c r="AE468" s="23">
        <f t="shared" si="224"/>
        <v>7</v>
      </c>
    </row>
    <row r="469" spans="1:31" s="23" customFormat="1" ht="16.149999999999999" customHeight="1" x14ac:dyDescent="0.45">
      <c r="A469" s="23">
        <f t="shared" si="218"/>
        <v>10017080</v>
      </c>
      <c r="B469" s="23">
        <v>0</v>
      </c>
      <c r="C469" s="23">
        <v>17</v>
      </c>
      <c r="D469" s="23">
        <f t="shared" si="223"/>
        <v>8</v>
      </c>
      <c r="E469" s="23" t="s">
        <v>767</v>
      </c>
      <c r="F469" s="23" t="s">
        <v>778</v>
      </c>
      <c r="G469" s="55" t="s">
        <v>553</v>
      </c>
      <c r="H469" s="55">
        <v>15</v>
      </c>
      <c r="I469" s="55" t="s">
        <v>769</v>
      </c>
      <c r="J469" s="23" t="str">
        <f t="shared" si="219"/>
        <v>完成15次科技研究</v>
      </c>
      <c r="K469" s="23">
        <f t="shared" si="220"/>
        <v>10017080</v>
      </c>
      <c r="L469" s="23" t="s">
        <v>770</v>
      </c>
      <c r="M469" s="23">
        <f t="shared" si="225"/>
        <v>10601120</v>
      </c>
      <c r="N469" s="23" t="s">
        <v>254</v>
      </c>
      <c r="O469" s="23" t="s">
        <v>52</v>
      </c>
      <c r="P469" s="4" t="s">
        <v>491</v>
      </c>
      <c r="Q469" s="23" t="s">
        <v>52</v>
      </c>
      <c r="R469" s="23" t="s">
        <v>771</v>
      </c>
      <c r="S469" s="57" t="str">
        <f t="shared" si="221"/>
        <v>statisticReach{type:"PET_PlayerTechResearchEvent",value:15}</v>
      </c>
      <c r="T469" s="24" t="s">
        <v>52</v>
      </c>
      <c r="U469" s="24" t="s">
        <v>121</v>
      </c>
      <c r="V469" s="4" t="s">
        <v>122</v>
      </c>
      <c r="W469" s="23">
        <f>VLOOKUP(V469,[2]界面跳转!$I:$J,2,FALSE)</f>
        <v>100137</v>
      </c>
      <c r="Y469" s="23" t="s">
        <v>56</v>
      </c>
      <c r="Z469" s="23" t="s">
        <v>57</v>
      </c>
      <c r="AA469" s="23">
        <f t="shared" si="222"/>
        <v>23008</v>
      </c>
      <c r="AB469" s="23">
        <v>6622308</v>
      </c>
      <c r="AD469" s="23">
        <v>23</v>
      </c>
      <c r="AE469" s="23">
        <f t="shared" si="224"/>
        <v>8</v>
      </c>
    </row>
    <row r="470" spans="1:31" s="23" customFormat="1" ht="16.149999999999999" customHeight="1" x14ac:dyDescent="0.45">
      <c r="A470" s="23">
        <f t="shared" si="218"/>
        <v>10017090</v>
      </c>
      <c r="B470" s="23">
        <v>0</v>
      </c>
      <c r="C470" s="23">
        <v>17</v>
      </c>
      <c r="D470" s="23">
        <f t="shared" si="223"/>
        <v>9</v>
      </c>
      <c r="E470" s="23" t="s">
        <v>767</v>
      </c>
      <c r="F470" s="23" t="s">
        <v>779</v>
      </c>
      <c r="G470" s="55" t="s">
        <v>553</v>
      </c>
      <c r="H470" s="55">
        <v>20</v>
      </c>
      <c r="I470" s="55" t="s">
        <v>769</v>
      </c>
      <c r="J470" s="23" t="str">
        <f t="shared" si="219"/>
        <v>完成20次科技研究</v>
      </c>
      <c r="K470" s="23">
        <f t="shared" si="220"/>
        <v>10017090</v>
      </c>
      <c r="L470" s="23" t="s">
        <v>770</v>
      </c>
      <c r="M470" s="23">
        <f t="shared" si="225"/>
        <v>10601120</v>
      </c>
      <c r="N470" s="23" t="s">
        <v>254</v>
      </c>
      <c r="O470" s="23" t="s">
        <v>52</v>
      </c>
      <c r="P470" s="4" t="s">
        <v>491</v>
      </c>
      <c r="Q470" s="23" t="s">
        <v>52</v>
      </c>
      <c r="R470" s="23" t="s">
        <v>771</v>
      </c>
      <c r="S470" s="57" t="str">
        <f t="shared" si="221"/>
        <v>statisticReach{type:"PET_PlayerTechResearchEvent",value:20}</v>
      </c>
      <c r="T470" s="24" t="s">
        <v>52</v>
      </c>
      <c r="U470" s="24" t="s">
        <v>121</v>
      </c>
      <c r="V470" s="4" t="s">
        <v>122</v>
      </c>
      <c r="W470" s="23">
        <f>VLOOKUP(V470,[2]界面跳转!$I:$J,2,FALSE)</f>
        <v>100137</v>
      </c>
      <c r="Y470" s="23" t="s">
        <v>56</v>
      </c>
      <c r="Z470" s="23" t="s">
        <v>57</v>
      </c>
      <c r="AA470" s="23">
        <f t="shared" si="222"/>
        <v>23009</v>
      </c>
      <c r="AB470" s="23">
        <v>6622309</v>
      </c>
      <c r="AD470" s="23">
        <v>23</v>
      </c>
      <c r="AE470" s="23">
        <f t="shared" si="224"/>
        <v>9</v>
      </c>
    </row>
    <row r="471" spans="1:31" s="23" customFormat="1" ht="16.149999999999999" customHeight="1" x14ac:dyDescent="0.45">
      <c r="A471" s="23">
        <f t="shared" si="218"/>
        <v>10017100</v>
      </c>
      <c r="B471" s="23">
        <v>0</v>
      </c>
      <c r="C471" s="23">
        <v>17</v>
      </c>
      <c r="D471" s="23">
        <f t="shared" si="223"/>
        <v>10</v>
      </c>
      <c r="E471" s="23" t="s">
        <v>767</v>
      </c>
      <c r="F471" s="23" t="s">
        <v>780</v>
      </c>
      <c r="G471" s="55" t="s">
        <v>553</v>
      </c>
      <c r="H471" s="55">
        <v>25</v>
      </c>
      <c r="I471" s="55" t="s">
        <v>769</v>
      </c>
      <c r="J471" s="23" t="str">
        <f t="shared" si="219"/>
        <v>完成25次科技研究</v>
      </c>
      <c r="K471" s="23">
        <f t="shared" si="220"/>
        <v>10017100</v>
      </c>
      <c r="L471" s="23" t="s">
        <v>770</v>
      </c>
      <c r="M471" s="23">
        <f t="shared" si="225"/>
        <v>10601120</v>
      </c>
      <c r="N471" s="23" t="s">
        <v>254</v>
      </c>
      <c r="O471" s="23" t="s">
        <v>52</v>
      </c>
      <c r="P471" s="4" t="s">
        <v>491</v>
      </c>
      <c r="Q471" s="23" t="s">
        <v>52</v>
      </c>
      <c r="R471" s="23" t="s">
        <v>771</v>
      </c>
      <c r="S471" s="57" t="str">
        <f t="shared" si="221"/>
        <v>statisticReach{type:"PET_PlayerTechResearchEvent",value:25}</v>
      </c>
      <c r="T471" s="24" t="s">
        <v>52</v>
      </c>
      <c r="U471" s="24" t="s">
        <v>121</v>
      </c>
      <c r="V471" s="4" t="s">
        <v>122</v>
      </c>
      <c r="W471" s="23">
        <f>VLOOKUP(V471,[2]界面跳转!$I:$J,2,FALSE)</f>
        <v>100137</v>
      </c>
      <c r="Y471" s="23" t="s">
        <v>56</v>
      </c>
      <c r="Z471" s="23" t="s">
        <v>57</v>
      </c>
      <c r="AA471" s="23">
        <f t="shared" si="222"/>
        <v>23010</v>
      </c>
      <c r="AB471" s="23">
        <v>6622310</v>
      </c>
      <c r="AD471" s="23">
        <v>23</v>
      </c>
      <c r="AE471" s="23">
        <f t="shared" si="224"/>
        <v>10</v>
      </c>
    </row>
    <row r="472" spans="1:31" s="23" customFormat="1" ht="16.149999999999999" customHeight="1" x14ac:dyDescent="0.45">
      <c r="A472" s="23">
        <f t="shared" si="218"/>
        <v>10017110</v>
      </c>
      <c r="B472" s="23">
        <v>0</v>
      </c>
      <c r="C472" s="23">
        <v>17</v>
      </c>
      <c r="D472" s="23">
        <f t="shared" si="223"/>
        <v>11</v>
      </c>
      <c r="E472" s="23" t="s">
        <v>767</v>
      </c>
      <c r="F472" s="23" t="s">
        <v>781</v>
      </c>
      <c r="G472" s="55" t="s">
        <v>553</v>
      </c>
      <c r="H472" s="55">
        <v>30</v>
      </c>
      <c r="I472" s="55" t="s">
        <v>769</v>
      </c>
      <c r="J472" s="23" t="str">
        <f t="shared" si="219"/>
        <v>完成30次科技研究</v>
      </c>
      <c r="K472" s="23">
        <f t="shared" si="220"/>
        <v>10017110</v>
      </c>
      <c r="L472" s="23" t="s">
        <v>770</v>
      </c>
      <c r="M472" s="23">
        <f t="shared" si="225"/>
        <v>10601120</v>
      </c>
      <c r="N472" s="23" t="s">
        <v>254</v>
      </c>
      <c r="O472" s="23" t="s">
        <v>52</v>
      </c>
      <c r="P472" s="4" t="s">
        <v>491</v>
      </c>
      <c r="Q472" s="23" t="s">
        <v>52</v>
      </c>
      <c r="R472" s="23" t="s">
        <v>771</v>
      </c>
      <c r="S472" s="57" t="str">
        <f t="shared" si="221"/>
        <v>statisticReach{type:"PET_PlayerTechResearchEvent",value:30}</v>
      </c>
      <c r="T472" s="24" t="s">
        <v>52</v>
      </c>
      <c r="U472" s="24" t="s">
        <v>121</v>
      </c>
      <c r="V472" s="4" t="s">
        <v>122</v>
      </c>
      <c r="W472" s="23">
        <f>VLOOKUP(V472,[2]界面跳转!$I:$J,2,FALSE)</f>
        <v>100137</v>
      </c>
      <c r="Y472" s="23" t="s">
        <v>56</v>
      </c>
      <c r="Z472" s="23" t="s">
        <v>57</v>
      </c>
      <c r="AA472" s="23">
        <f t="shared" si="222"/>
        <v>23011</v>
      </c>
      <c r="AB472" s="23">
        <v>6622311</v>
      </c>
      <c r="AD472" s="23">
        <v>23</v>
      </c>
      <c r="AE472" s="23">
        <f t="shared" si="224"/>
        <v>11</v>
      </c>
    </row>
    <row r="473" spans="1:31" s="23" customFormat="1" ht="16.149999999999999" customHeight="1" x14ac:dyDescent="0.45">
      <c r="A473" s="23">
        <f t="shared" si="218"/>
        <v>10017120</v>
      </c>
      <c r="B473" s="23">
        <v>0</v>
      </c>
      <c r="C473" s="23">
        <v>17</v>
      </c>
      <c r="D473" s="23">
        <f t="shared" si="223"/>
        <v>12</v>
      </c>
      <c r="E473" s="23" t="s">
        <v>767</v>
      </c>
      <c r="F473" s="23" t="s">
        <v>782</v>
      </c>
      <c r="G473" s="55" t="s">
        <v>553</v>
      </c>
      <c r="H473" s="55">
        <v>35</v>
      </c>
      <c r="I473" s="55" t="s">
        <v>769</v>
      </c>
      <c r="J473" s="23" t="str">
        <f t="shared" si="219"/>
        <v>完成35次科技研究</v>
      </c>
      <c r="K473" s="23">
        <f t="shared" si="220"/>
        <v>10017120</v>
      </c>
      <c r="L473" s="23" t="s">
        <v>770</v>
      </c>
      <c r="M473" s="23">
        <f t="shared" si="225"/>
        <v>10601120</v>
      </c>
      <c r="N473" s="23" t="s">
        <v>254</v>
      </c>
      <c r="O473" s="23" t="s">
        <v>52</v>
      </c>
      <c r="P473" s="4" t="s">
        <v>491</v>
      </c>
      <c r="Q473" s="23" t="s">
        <v>52</v>
      </c>
      <c r="R473" s="23" t="s">
        <v>771</v>
      </c>
      <c r="S473" s="57" t="str">
        <f t="shared" si="221"/>
        <v>statisticReach{type:"PET_PlayerTechResearchEvent",value:35}</v>
      </c>
      <c r="T473" s="24" t="s">
        <v>52</v>
      </c>
      <c r="U473" s="24" t="s">
        <v>121</v>
      </c>
      <c r="V473" s="4" t="s">
        <v>122</v>
      </c>
      <c r="W473" s="23">
        <f>VLOOKUP(V473,[2]界面跳转!$I:$J,2,FALSE)</f>
        <v>100137</v>
      </c>
      <c r="Y473" s="23" t="s">
        <v>56</v>
      </c>
      <c r="Z473" s="23" t="s">
        <v>57</v>
      </c>
      <c r="AA473" s="23">
        <f t="shared" si="222"/>
        <v>23012</v>
      </c>
      <c r="AB473" s="23">
        <v>6622312</v>
      </c>
      <c r="AD473" s="23">
        <v>23</v>
      </c>
      <c r="AE473" s="23">
        <f t="shared" si="224"/>
        <v>12</v>
      </c>
    </row>
    <row r="474" spans="1:31" s="23" customFormat="1" ht="16.149999999999999" customHeight="1" x14ac:dyDescent="0.45">
      <c r="A474" s="23">
        <f t="shared" si="218"/>
        <v>10017130</v>
      </c>
      <c r="B474" s="23">
        <v>0</v>
      </c>
      <c r="C474" s="23">
        <v>17</v>
      </c>
      <c r="D474" s="23">
        <f t="shared" si="223"/>
        <v>13</v>
      </c>
      <c r="E474" s="23" t="s">
        <v>767</v>
      </c>
      <c r="F474" s="23" t="s">
        <v>783</v>
      </c>
      <c r="G474" s="55" t="s">
        <v>553</v>
      </c>
      <c r="H474" s="55">
        <v>40</v>
      </c>
      <c r="I474" s="55" t="s">
        <v>769</v>
      </c>
      <c r="J474" s="23" t="str">
        <f t="shared" si="219"/>
        <v>完成40次科技研究</v>
      </c>
      <c r="K474" s="23">
        <f t="shared" si="220"/>
        <v>10017130</v>
      </c>
      <c r="L474" s="23" t="s">
        <v>770</v>
      </c>
      <c r="M474" s="23">
        <f t="shared" si="225"/>
        <v>10601120</v>
      </c>
      <c r="N474" s="23" t="s">
        <v>254</v>
      </c>
      <c r="O474" s="23" t="s">
        <v>52</v>
      </c>
      <c r="P474" s="4" t="s">
        <v>491</v>
      </c>
      <c r="Q474" s="23" t="s">
        <v>52</v>
      </c>
      <c r="R474" s="23" t="s">
        <v>771</v>
      </c>
      <c r="S474" s="57" t="str">
        <f t="shared" si="221"/>
        <v>statisticReach{type:"PET_PlayerTechResearchEvent",value:40}</v>
      </c>
      <c r="T474" s="24" t="s">
        <v>52</v>
      </c>
      <c r="U474" s="24" t="s">
        <v>121</v>
      </c>
      <c r="V474" s="4" t="s">
        <v>122</v>
      </c>
      <c r="W474" s="23">
        <f>VLOOKUP(V474,[2]界面跳转!$I:$J,2,FALSE)</f>
        <v>100137</v>
      </c>
      <c r="Y474" s="23" t="s">
        <v>56</v>
      </c>
      <c r="Z474" s="23" t="s">
        <v>57</v>
      </c>
      <c r="AA474" s="23">
        <f t="shared" si="222"/>
        <v>23013</v>
      </c>
      <c r="AB474" s="23">
        <v>6622313</v>
      </c>
      <c r="AD474" s="23">
        <v>23</v>
      </c>
      <c r="AE474" s="23">
        <f t="shared" si="224"/>
        <v>13</v>
      </c>
    </row>
    <row r="475" spans="1:31" s="23" customFormat="1" ht="16.149999999999999" customHeight="1" x14ac:dyDescent="0.45">
      <c r="A475" s="23">
        <f t="shared" si="218"/>
        <v>10017140</v>
      </c>
      <c r="B475" s="23">
        <v>0</v>
      </c>
      <c r="C475" s="23">
        <v>17</v>
      </c>
      <c r="D475" s="23">
        <f t="shared" si="223"/>
        <v>14</v>
      </c>
      <c r="E475" s="23" t="s">
        <v>767</v>
      </c>
      <c r="F475" s="23" t="s">
        <v>784</v>
      </c>
      <c r="G475" s="55" t="s">
        <v>553</v>
      </c>
      <c r="H475" s="55">
        <v>45</v>
      </c>
      <c r="I475" s="55" t="s">
        <v>769</v>
      </c>
      <c r="J475" s="23" t="str">
        <f t="shared" si="219"/>
        <v>完成45次科技研究</v>
      </c>
      <c r="K475" s="23">
        <f t="shared" si="220"/>
        <v>10017140</v>
      </c>
      <c r="L475" s="23" t="s">
        <v>770</v>
      </c>
      <c r="M475" s="23">
        <f t="shared" si="225"/>
        <v>10601120</v>
      </c>
      <c r="N475" s="23" t="s">
        <v>254</v>
      </c>
      <c r="O475" s="23" t="s">
        <v>52</v>
      </c>
      <c r="P475" s="4" t="s">
        <v>491</v>
      </c>
      <c r="Q475" s="23" t="s">
        <v>52</v>
      </c>
      <c r="R475" s="23" t="s">
        <v>771</v>
      </c>
      <c r="S475" s="57" t="str">
        <f t="shared" si="221"/>
        <v>statisticReach{type:"PET_PlayerTechResearchEvent",value:45}</v>
      </c>
      <c r="T475" s="24" t="s">
        <v>52</v>
      </c>
      <c r="U475" s="24" t="s">
        <v>121</v>
      </c>
      <c r="V475" s="4" t="s">
        <v>122</v>
      </c>
      <c r="W475" s="23">
        <f>VLOOKUP(V475,[2]界面跳转!$I:$J,2,FALSE)</f>
        <v>100137</v>
      </c>
      <c r="Y475" s="23" t="s">
        <v>56</v>
      </c>
      <c r="Z475" s="23" t="s">
        <v>57</v>
      </c>
      <c r="AA475" s="23">
        <f t="shared" si="222"/>
        <v>23014</v>
      </c>
      <c r="AB475" s="23">
        <v>6622314</v>
      </c>
      <c r="AD475" s="23">
        <v>23</v>
      </c>
      <c r="AE475" s="23">
        <f t="shared" si="224"/>
        <v>14</v>
      </c>
    </row>
    <row r="476" spans="1:31" s="23" customFormat="1" ht="16.149999999999999" customHeight="1" x14ac:dyDescent="0.45">
      <c r="A476" s="23">
        <f t="shared" si="218"/>
        <v>10017150</v>
      </c>
      <c r="B476" s="23">
        <v>0</v>
      </c>
      <c r="C476" s="23">
        <v>17</v>
      </c>
      <c r="D476" s="23">
        <f t="shared" si="223"/>
        <v>15</v>
      </c>
      <c r="E476" s="23" t="s">
        <v>767</v>
      </c>
      <c r="F476" s="23" t="s">
        <v>785</v>
      </c>
      <c r="G476" s="55" t="s">
        <v>553</v>
      </c>
      <c r="H476" s="55">
        <v>50</v>
      </c>
      <c r="I476" s="55" t="s">
        <v>769</v>
      </c>
      <c r="J476" s="23" t="str">
        <f t="shared" si="219"/>
        <v>完成50次科技研究</v>
      </c>
      <c r="K476" s="23">
        <f t="shared" si="220"/>
        <v>10017150</v>
      </c>
      <c r="L476" s="23" t="s">
        <v>770</v>
      </c>
      <c r="M476" s="23">
        <f t="shared" si="225"/>
        <v>10601120</v>
      </c>
      <c r="N476" s="23" t="s">
        <v>254</v>
      </c>
      <c r="O476" s="23" t="s">
        <v>52</v>
      </c>
      <c r="P476" s="4" t="s">
        <v>491</v>
      </c>
      <c r="Q476" s="23" t="s">
        <v>52</v>
      </c>
      <c r="R476" s="23" t="s">
        <v>771</v>
      </c>
      <c r="S476" s="57" t="str">
        <f t="shared" si="221"/>
        <v>statisticReach{type:"PET_PlayerTechResearchEvent",value:50}</v>
      </c>
      <c r="T476" s="24" t="s">
        <v>52</v>
      </c>
      <c r="U476" s="24" t="s">
        <v>121</v>
      </c>
      <c r="V476" s="4" t="s">
        <v>122</v>
      </c>
      <c r="W476" s="23">
        <f>VLOOKUP(V476,[2]界面跳转!$I:$J,2,FALSE)</f>
        <v>100137</v>
      </c>
      <c r="Y476" s="23" t="s">
        <v>56</v>
      </c>
      <c r="Z476" s="23" t="s">
        <v>57</v>
      </c>
      <c r="AA476" s="23">
        <f t="shared" si="222"/>
        <v>23015</v>
      </c>
      <c r="AB476" s="23">
        <v>6622315</v>
      </c>
      <c r="AD476" s="23">
        <v>23</v>
      </c>
      <c r="AE476" s="23">
        <f t="shared" si="224"/>
        <v>15</v>
      </c>
    </row>
    <row r="477" spans="1:31" s="23" customFormat="1" ht="16.149999999999999" customHeight="1" x14ac:dyDescent="0.45">
      <c r="A477" s="23">
        <f t="shared" si="218"/>
        <v>10017160</v>
      </c>
      <c r="B477" s="23">
        <v>0</v>
      </c>
      <c r="C477" s="23">
        <v>17</v>
      </c>
      <c r="D477" s="23">
        <f t="shared" si="223"/>
        <v>16</v>
      </c>
      <c r="E477" s="23" t="s">
        <v>767</v>
      </c>
      <c r="F477" s="23" t="s">
        <v>786</v>
      </c>
      <c r="G477" s="55" t="s">
        <v>553</v>
      </c>
      <c r="H477" s="55">
        <v>55</v>
      </c>
      <c r="I477" s="55" t="s">
        <v>769</v>
      </c>
      <c r="J477" s="23" t="str">
        <f t="shared" si="219"/>
        <v>完成55次科技研究</v>
      </c>
      <c r="K477" s="23">
        <f t="shared" si="220"/>
        <v>10017160</v>
      </c>
      <c r="L477" s="23" t="s">
        <v>770</v>
      </c>
      <c r="M477" s="23">
        <f t="shared" si="225"/>
        <v>10601120</v>
      </c>
      <c r="N477" s="23" t="s">
        <v>254</v>
      </c>
      <c r="O477" s="23" t="s">
        <v>52</v>
      </c>
      <c r="P477" s="4" t="s">
        <v>491</v>
      </c>
      <c r="Q477" s="23" t="s">
        <v>52</v>
      </c>
      <c r="R477" s="23" t="s">
        <v>771</v>
      </c>
      <c r="S477" s="57" t="str">
        <f t="shared" si="221"/>
        <v>statisticReach{type:"PET_PlayerTechResearchEvent",value:55}</v>
      </c>
      <c r="T477" s="24" t="s">
        <v>52</v>
      </c>
      <c r="U477" s="24" t="s">
        <v>121</v>
      </c>
      <c r="V477" s="4" t="s">
        <v>122</v>
      </c>
      <c r="W477" s="23">
        <f>VLOOKUP(V477,[2]界面跳转!$I:$J,2,FALSE)</f>
        <v>100137</v>
      </c>
      <c r="Y477" s="23" t="s">
        <v>56</v>
      </c>
      <c r="Z477" s="23" t="s">
        <v>57</v>
      </c>
      <c r="AA477" s="23">
        <f t="shared" si="222"/>
        <v>23016</v>
      </c>
      <c r="AB477" s="23">
        <v>6622316</v>
      </c>
      <c r="AD477" s="23">
        <v>23</v>
      </c>
      <c r="AE477" s="23">
        <f t="shared" si="224"/>
        <v>16</v>
      </c>
    </row>
    <row r="478" spans="1:31" s="23" customFormat="1" ht="16.149999999999999" customHeight="1" x14ac:dyDescent="0.45">
      <c r="A478" s="23">
        <f t="shared" si="218"/>
        <v>10017170</v>
      </c>
      <c r="B478" s="23">
        <v>0</v>
      </c>
      <c r="C478" s="23">
        <v>17</v>
      </c>
      <c r="D478" s="23">
        <f t="shared" si="223"/>
        <v>17</v>
      </c>
      <c r="E478" s="23" t="s">
        <v>767</v>
      </c>
      <c r="F478" s="23" t="s">
        <v>787</v>
      </c>
      <c r="G478" s="55" t="s">
        <v>553</v>
      </c>
      <c r="H478" s="55">
        <v>60</v>
      </c>
      <c r="I478" s="55" t="s">
        <v>769</v>
      </c>
      <c r="J478" s="23" t="str">
        <f t="shared" si="219"/>
        <v>完成60次科技研究</v>
      </c>
      <c r="K478" s="23">
        <f t="shared" si="220"/>
        <v>10017170</v>
      </c>
      <c r="L478" s="23" t="s">
        <v>770</v>
      </c>
      <c r="M478" s="23">
        <f t="shared" si="225"/>
        <v>10601120</v>
      </c>
      <c r="N478" s="23" t="s">
        <v>254</v>
      </c>
      <c r="O478" s="23" t="s">
        <v>52</v>
      </c>
      <c r="P478" s="4" t="s">
        <v>491</v>
      </c>
      <c r="Q478" s="23" t="s">
        <v>52</v>
      </c>
      <c r="R478" s="23" t="s">
        <v>771</v>
      </c>
      <c r="S478" s="57" t="str">
        <f t="shared" si="221"/>
        <v>statisticReach{type:"PET_PlayerTechResearchEvent",value:60}</v>
      </c>
      <c r="T478" s="24" t="s">
        <v>52</v>
      </c>
      <c r="U478" s="24" t="s">
        <v>121</v>
      </c>
      <c r="V478" s="4" t="s">
        <v>122</v>
      </c>
      <c r="W478" s="23">
        <f>VLOOKUP(V478,[2]界面跳转!$I:$J,2,FALSE)</f>
        <v>100137</v>
      </c>
      <c r="Y478" s="23" t="s">
        <v>56</v>
      </c>
      <c r="Z478" s="23" t="s">
        <v>57</v>
      </c>
      <c r="AA478" s="23">
        <f t="shared" si="222"/>
        <v>23017</v>
      </c>
      <c r="AB478" s="23">
        <v>6622317</v>
      </c>
      <c r="AD478" s="23">
        <v>23</v>
      </c>
      <c r="AE478" s="23">
        <f t="shared" si="224"/>
        <v>17</v>
      </c>
    </row>
    <row r="479" spans="1:31" s="23" customFormat="1" ht="16.149999999999999" customHeight="1" x14ac:dyDescent="0.45">
      <c r="A479" s="23">
        <f t="shared" si="218"/>
        <v>10017180</v>
      </c>
      <c r="B479" s="23">
        <v>0</v>
      </c>
      <c r="C479" s="23">
        <v>17</v>
      </c>
      <c r="D479" s="23">
        <f t="shared" si="223"/>
        <v>18</v>
      </c>
      <c r="E479" s="23" t="s">
        <v>767</v>
      </c>
      <c r="F479" s="23" t="s">
        <v>788</v>
      </c>
      <c r="G479" s="55" t="s">
        <v>553</v>
      </c>
      <c r="H479" s="55">
        <v>65</v>
      </c>
      <c r="I479" s="55" t="s">
        <v>769</v>
      </c>
      <c r="J479" s="23" t="str">
        <f t="shared" si="219"/>
        <v>完成65次科技研究</v>
      </c>
      <c r="K479" s="23">
        <f t="shared" si="220"/>
        <v>10017180</v>
      </c>
      <c r="L479" s="23" t="s">
        <v>770</v>
      </c>
      <c r="M479" s="23">
        <f t="shared" si="225"/>
        <v>10601120</v>
      </c>
      <c r="N479" s="23" t="s">
        <v>254</v>
      </c>
      <c r="O479" s="23" t="s">
        <v>52</v>
      </c>
      <c r="P479" s="4" t="s">
        <v>491</v>
      </c>
      <c r="Q479" s="23" t="s">
        <v>52</v>
      </c>
      <c r="R479" s="23" t="s">
        <v>771</v>
      </c>
      <c r="S479" s="57" t="str">
        <f t="shared" si="221"/>
        <v>statisticReach{type:"PET_PlayerTechResearchEvent",value:65}</v>
      </c>
      <c r="T479" s="24" t="s">
        <v>52</v>
      </c>
      <c r="U479" s="24" t="s">
        <v>121</v>
      </c>
      <c r="V479" s="4" t="s">
        <v>122</v>
      </c>
      <c r="W479" s="23">
        <f>VLOOKUP(V479,[2]界面跳转!$I:$J,2,FALSE)</f>
        <v>100137</v>
      </c>
      <c r="Y479" s="23" t="s">
        <v>56</v>
      </c>
      <c r="Z479" s="23" t="s">
        <v>57</v>
      </c>
      <c r="AA479" s="23">
        <f t="shared" si="222"/>
        <v>23018</v>
      </c>
      <c r="AB479" s="23">
        <v>6622318</v>
      </c>
      <c r="AD479" s="23">
        <v>23</v>
      </c>
      <c r="AE479" s="23">
        <f t="shared" si="224"/>
        <v>18</v>
      </c>
    </row>
    <row r="480" spans="1:31" s="23" customFormat="1" ht="16.149999999999999" customHeight="1" x14ac:dyDescent="0.45">
      <c r="A480" s="23">
        <f t="shared" si="218"/>
        <v>10017190</v>
      </c>
      <c r="B480" s="23">
        <v>0</v>
      </c>
      <c r="C480" s="23">
        <v>17</v>
      </c>
      <c r="D480" s="23">
        <f t="shared" si="223"/>
        <v>19</v>
      </c>
      <c r="E480" s="23" t="s">
        <v>767</v>
      </c>
      <c r="F480" s="23" t="s">
        <v>789</v>
      </c>
      <c r="G480" s="55" t="s">
        <v>553</v>
      </c>
      <c r="H480" s="55">
        <v>70</v>
      </c>
      <c r="I480" s="55" t="s">
        <v>769</v>
      </c>
      <c r="J480" s="23" t="str">
        <f t="shared" si="219"/>
        <v>完成70次科技研究</v>
      </c>
      <c r="K480" s="23">
        <f t="shared" si="220"/>
        <v>10017190</v>
      </c>
      <c r="L480" s="23" t="s">
        <v>770</v>
      </c>
      <c r="M480" s="23">
        <f t="shared" si="225"/>
        <v>10601120</v>
      </c>
      <c r="N480" s="23" t="s">
        <v>254</v>
      </c>
      <c r="O480" s="23" t="s">
        <v>52</v>
      </c>
      <c r="P480" s="4" t="s">
        <v>491</v>
      </c>
      <c r="Q480" s="23" t="s">
        <v>52</v>
      </c>
      <c r="R480" s="23" t="s">
        <v>771</v>
      </c>
      <c r="S480" s="57" t="str">
        <f t="shared" si="221"/>
        <v>statisticReach{type:"PET_PlayerTechResearchEvent",value:70}</v>
      </c>
      <c r="T480" s="24" t="s">
        <v>52</v>
      </c>
      <c r="U480" s="24" t="s">
        <v>121</v>
      </c>
      <c r="V480" s="4" t="s">
        <v>122</v>
      </c>
      <c r="W480" s="23">
        <f>VLOOKUP(V480,[2]界面跳转!$I:$J,2,FALSE)</f>
        <v>100137</v>
      </c>
      <c r="Y480" s="23" t="s">
        <v>56</v>
      </c>
      <c r="Z480" s="23" t="s">
        <v>57</v>
      </c>
      <c r="AA480" s="23">
        <f t="shared" si="222"/>
        <v>23019</v>
      </c>
      <c r="AB480" s="23">
        <v>6622319</v>
      </c>
      <c r="AD480" s="23">
        <v>23</v>
      </c>
      <c r="AE480" s="23">
        <f t="shared" si="224"/>
        <v>19</v>
      </c>
    </row>
    <row r="481" spans="1:31" s="23" customFormat="1" ht="16.149999999999999" customHeight="1" x14ac:dyDescent="0.45">
      <c r="A481" s="23">
        <f t="shared" si="218"/>
        <v>10017200</v>
      </c>
      <c r="B481" s="23">
        <v>0</v>
      </c>
      <c r="C481" s="23">
        <v>17</v>
      </c>
      <c r="D481" s="23">
        <f t="shared" si="223"/>
        <v>20</v>
      </c>
      <c r="E481" s="23" t="s">
        <v>767</v>
      </c>
      <c r="F481" s="23" t="s">
        <v>790</v>
      </c>
      <c r="G481" s="55" t="s">
        <v>553</v>
      </c>
      <c r="H481" s="55">
        <v>75</v>
      </c>
      <c r="I481" s="55" t="s">
        <v>769</v>
      </c>
      <c r="J481" s="23" t="str">
        <f t="shared" si="219"/>
        <v>完成75次科技研究</v>
      </c>
      <c r="K481" s="23">
        <f t="shared" si="220"/>
        <v>10017200</v>
      </c>
      <c r="L481" s="23" t="s">
        <v>770</v>
      </c>
      <c r="M481" s="23">
        <f t="shared" si="225"/>
        <v>10601120</v>
      </c>
      <c r="N481" s="23" t="s">
        <v>254</v>
      </c>
      <c r="O481" s="23" t="s">
        <v>52</v>
      </c>
      <c r="P481" s="4" t="s">
        <v>491</v>
      </c>
      <c r="Q481" s="23" t="s">
        <v>52</v>
      </c>
      <c r="R481" s="23" t="s">
        <v>771</v>
      </c>
      <c r="S481" s="57" t="str">
        <f t="shared" si="221"/>
        <v>statisticReach{type:"PET_PlayerTechResearchEvent",value:75}</v>
      </c>
      <c r="T481" s="24" t="s">
        <v>52</v>
      </c>
      <c r="U481" s="24" t="s">
        <v>121</v>
      </c>
      <c r="V481" s="4" t="s">
        <v>122</v>
      </c>
      <c r="W481" s="23">
        <f>VLOOKUP(V481,[2]界面跳转!$I:$J,2,FALSE)</f>
        <v>100137</v>
      </c>
      <c r="Y481" s="23" t="s">
        <v>56</v>
      </c>
      <c r="Z481" s="23" t="s">
        <v>57</v>
      </c>
      <c r="AA481" s="23">
        <f t="shared" si="222"/>
        <v>23020</v>
      </c>
      <c r="AB481" s="23">
        <v>6622320</v>
      </c>
      <c r="AD481" s="23">
        <v>23</v>
      </c>
      <c r="AE481" s="23">
        <f t="shared" si="224"/>
        <v>20</v>
      </c>
    </row>
    <row r="482" spans="1:31" s="23" customFormat="1" ht="16.149999999999999" customHeight="1" x14ac:dyDescent="0.45">
      <c r="A482" s="23">
        <f t="shared" si="218"/>
        <v>10017210</v>
      </c>
      <c r="B482" s="23">
        <v>0</v>
      </c>
      <c r="C482" s="23">
        <v>17</v>
      </c>
      <c r="D482" s="23">
        <f t="shared" si="223"/>
        <v>21</v>
      </c>
      <c r="E482" s="23" t="s">
        <v>767</v>
      </c>
      <c r="F482" s="23" t="s">
        <v>791</v>
      </c>
      <c r="G482" s="55" t="s">
        <v>553</v>
      </c>
      <c r="H482" s="55">
        <v>80</v>
      </c>
      <c r="I482" s="55" t="s">
        <v>769</v>
      </c>
      <c r="J482" s="23" t="str">
        <f t="shared" si="219"/>
        <v>完成80次科技研究</v>
      </c>
      <c r="K482" s="23">
        <f t="shared" si="220"/>
        <v>10017210</v>
      </c>
      <c r="L482" s="23" t="s">
        <v>770</v>
      </c>
      <c r="M482" s="23">
        <f t="shared" si="225"/>
        <v>10601120</v>
      </c>
      <c r="N482" s="23" t="s">
        <v>254</v>
      </c>
      <c r="O482" s="23" t="s">
        <v>52</v>
      </c>
      <c r="P482" s="4" t="s">
        <v>491</v>
      </c>
      <c r="Q482" s="23" t="s">
        <v>52</v>
      </c>
      <c r="R482" s="23" t="s">
        <v>771</v>
      </c>
      <c r="S482" s="57" t="str">
        <f t="shared" si="221"/>
        <v>statisticReach{type:"PET_PlayerTechResearchEvent",value:80}</v>
      </c>
      <c r="T482" s="24" t="s">
        <v>52</v>
      </c>
      <c r="U482" s="24" t="s">
        <v>121</v>
      </c>
      <c r="V482" s="4" t="s">
        <v>122</v>
      </c>
      <c r="W482" s="23">
        <f>VLOOKUP(V482,[2]界面跳转!$I:$J,2,FALSE)</f>
        <v>100137</v>
      </c>
      <c r="Y482" s="23" t="s">
        <v>56</v>
      </c>
      <c r="Z482" s="23" t="s">
        <v>57</v>
      </c>
      <c r="AA482" s="23">
        <f t="shared" si="222"/>
        <v>23021</v>
      </c>
      <c r="AB482" s="23">
        <v>6622321</v>
      </c>
      <c r="AD482" s="23">
        <v>23</v>
      </c>
      <c r="AE482" s="23">
        <f t="shared" si="224"/>
        <v>21</v>
      </c>
    </row>
    <row r="483" spans="1:31" s="23" customFormat="1" ht="16.149999999999999" customHeight="1" x14ac:dyDescent="0.45">
      <c r="A483" s="23">
        <f t="shared" si="218"/>
        <v>10017220</v>
      </c>
      <c r="B483" s="23">
        <v>0</v>
      </c>
      <c r="C483" s="23">
        <v>17</v>
      </c>
      <c r="D483" s="23">
        <f t="shared" si="223"/>
        <v>22</v>
      </c>
      <c r="E483" s="23" t="s">
        <v>767</v>
      </c>
      <c r="F483" s="23" t="s">
        <v>792</v>
      </c>
      <c r="G483" s="55" t="s">
        <v>553</v>
      </c>
      <c r="H483" s="55">
        <v>85</v>
      </c>
      <c r="I483" s="55" t="s">
        <v>769</v>
      </c>
      <c r="J483" s="23" t="str">
        <f t="shared" si="219"/>
        <v>完成85次科技研究</v>
      </c>
      <c r="K483" s="23">
        <f t="shared" si="220"/>
        <v>10017220</v>
      </c>
      <c r="L483" s="23" t="s">
        <v>770</v>
      </c>
      <c r="M483" s="23">
        <f t="shared" si="225"/>
        <v>10601120</v>
      </c>
      <c r="N483" s="23" t="s">
        <v>254</v>
      </c>
      <c r="O483" s="23" t="s">
        <v>52</v>
      </c>
      <c r="P483" s="4" t="s">
        <v>491</v>
      </c>
      <c r="Q483" s="23" t="s">
        <v>52</v>
      </c>
      <c r="R483" s="23" t="s">
        <v>771</v>
      </c>
      <c r="S483" s="57" t="str">
        <f t="shared" si="221"/>
        <v>statisticReach{type:"PET_PlayerTechResearchEvent",value:85}</v>
      </c>
      <c r="T483" s="24" t="s">
        <v>52</v>
      </c>
      <c r="U483" s="24" t="s">
        <v>121</v>
      </c>
      <c r="V483" s="4" t="s">
        <v>122</v>
      </c>
      <c r="W483" s="23">
        <f>VLOOKUP(V483,[2]界面跳转!$I:$J,2,FALSE)</f>
        <v>100137</v>
      </c>
      <c r="Y483" s="23" t="s">
        <v>56</v>
      </c>
      <c r="Z483" s="23" t="s">
        <v>57</v>
      </c>
      <c r="AA483" s="23">
        <f t="shared" si="222"/>
        <v>23022</v>
      </c>
      <c r="AB483" s="23">
        <v>6622322</v>
      </c>
      <c r="AD483" s="23">
        <v>23</v>
      </c>
      <c r="AE483" s="23">
        <f t="shared" si="224"/>
        <v>22</v>
      </c>
    </row>
    <row r="484" spans="1:31" s="23" customFormat="1" ht="16.149999999999999" customHeight="1" x14ac:dyDescent="0.45">
      <c r="A484" s="23">
        <f t="shared" si="218"/>
        <v>10017230</v>
      </c>
      <c r="B484" s="23">
        <v>0</v>
      </c>
      <c r="C484" s="23">
        <v>17</v>
      </c>
      <c r="D484" s="23">
        <f t="shared" si="223"/>
        <v>23</v>
      </c>
      <c r="E484" s="23" t="s">
        <v>767</v>
      </c>
      <c r="F484" s="23" t="s">
        <v>793</v>
      </c>
      <c r="G484" s="55" t="s">
        <v>553</v>
      </c>
      <c r="H484" s="55">
        <v>95</v>
      </c>
      <c r="I484" s="55" t="s">
        <v>769</v>
      </c>
      <c r="J484" s="23" t="str">
        <f t="shared" si="219"/>
        <v>完成95次科技研究</v>
      </c>
      <c r="K484" s="23">
        <f t="shared" si="220"/>
        <v>10017230</v>
      </c>
      <c r="L484" s="23" t="s">
        <v>770</v>
      </c>
      <c r="M484" s="23">
        <f t="shared" si="225"/>
        <v>10601120</v>
      </c>
      <c r="N484" s="23" t="s">
        <v>254</v>
      </c>
      <c r="O484" s="23" t="s">
        <v>52</v>
      </c>
      <c r="P484" s="4" t="s">
        <v>491</v>
      </c>
      <c r="Q484" s="23" t="s">
        <v>52</v>
      </c>
      <c r="R484" s="23" t="s">
        <v>771</v>
      </c>
      <c r="S484" s="57" t="str">
        <f t="shared" si="221"/>
        <v>statisticReach{type:"PET_PlayerTechResearchEvent",value:95}</v>
      </c>
      <c r="T484" s="24" t="s">
        <v>52</v>
      </c>
      <c r="U484" s="24" t="s">
        <v>121</v>
      </c>
      <c r="V484" s="4" t="s">
        <v>122</v>
      </c>
      <c r="W484" s="23">
        <f>VLOOKUP(V484,[2]界面跳转!$I:$J,2,FALSE)</f>
        <v>100137</v>
      </c>
      <c r="Y484" s="23" t="s">
        <v>56</v>
      </c>
      <c r="Z484" s="23" t="s">
        <v>57</v>
      </c>
      <c r="AA484" s="23">
        <f t="shared" si="222"/>
        <v>23023</v>
      </c>
      <c r="AB484" s="23">
        <v>6622323</v>
      </c>
      <c r="AD484" s="23">
        <v>23</v>
      </c>
      <c r="AE484" s="23">
        <f t="shared" si="224"/>
        <v>23</v>
      </c>
    </row>
    <row r="485" spans="1:31" s="23" customFormat="1" ht="16.149999999999999" customHeight="1" x14ac:dyDescent="0.45">
      <c r="A485" s="23">
        <f t="shared" si="218"/>
        <v>10017240</v>
      </c>
      <c r="B485" s="23">
        <v>0</v>
      </c>
      <c r="C485" s="23">
        <v>17</v>
      </c>
      <c r="D485" s="23">
        <f t="shared" si="223"/>
        <v>24</v>
      </c>
      <c r="E485" s="23" t="s">
        <v>767</v>
      </c>
      <c r="F485" s="23" t="s">
        <v>794</v>
      </c>
      <c r="G485" s="55" t="s">
        <v>553</v>
      </c>
      <c r="H485" s="55">
        <v>100</v>
      </c>
      <c r="I485" s="55" t="s">
        <v>769</v>
      </c>
      <c r="J485" s="23" t="str">
        <f t="shared" si="219"/>
        <v>完成100次科技研究</v>
      </c>
      <c r="K485" s="23">
        <f t="shared" si="220"/>
        <v>10017240</v>
      </c>
      <c r="L485" s="23" t="s">
        <v>770</v>
      </c>
      <c r="M485" s="23">
        <f t="shared" si="225"/>
        <v>10601120</v>
      </c>
      <c r="N485" s="23" t="s">
        <v>254</v>
      </c>
      <c r="O485" s="23" t="s">
        <v>52</v>
      </c>
      <c r="P485" s="4" t="s">
        <v>491</v>
      </c>
      <c r="Q485" s="23" t="s">
        <v>52</v>
      </c>
      <c r="R485" s="23" t="s">
        <v>771</v>
      </c>
      <c r="S485" s="57" t="str">
        <f t="shared" si="221"/>
        <v>statisticReach{type:"PET_PlayerTechResearchEvent",value:100}</v>
      </c>
      <c r="T485" s="24" t="s">
        <v>52</v>
      </c>
      <c r="U485" s="24" t="s">
        <v>121</v>
      </c>
      <c r="V485" s="4" t="s">
        <v>122</v>
      </c>
      <c r="W485" s="23">
        <f>VLOOKUP(V485,[2]界面跳转!$I:$J,2,FALSE)</f>
        <v>100137</v>
      </c>
      <c r="Y485" s="23" t="s">
        <v>56</v>
      </c>
      <c r="Z485" s="23" t="s">
        <v>57</v>
      </c>
      <c r="AA485" s="23">
        <f t="shared" si="222"/>
        <v>23024</v>
      </c>
      <c r="AB485" s="23">
        <v>6622324</v>
      </c>
      <c r="AD485" s="23">
        <v>23</v>
      </c>
      <c r="AE485" s="23">
        <f t="shared" si="224"/>
        <v>24</v>
      </c>
    </row>
    <row r="486" spans="1:31" s="25" customFormat="1" x14ac:dyDescent="0.45">
      <c r="A486" s="25">
        <f t="shared" si="218"/>
        <v>10018010</v>
      </c>
      <c r="B486" s="25">
        <v>0</v>
      </c>
      <c r="C486" s="25">
        <v>18</v>
      </c>
      <c r="D486" s="25">
        <f t="shared" si="223"/>
        <v>1</v>
      </c>
      <c r="E486" s="25" t="s">
        <v>795</v>
      </c>
      <c r="F486" s="25" t="s">
        <v>796</v>
      </c>
      <c r="G486" s="58" t="s">
        <v>114</v>
      </c>
      <c r="H486" s="58">
        <v>5</v>
      </c>
      <c r="I486" s="58" t="s">
        <v>63</v>
      </c>
      <c r="J486" s="25" t="str">
        <f t="shared" si="219"/>
        <v>任意英雄固有技能升级至5级</v>
      </c>
      <c r="K486" s="25">
        <f t="shared" si="220"/>
        <v>10018010</v>
      </c>
      <c r="L486" s="25" t="s">
        <v>797</v>
      </c>
      <c r="M486" s="25" t="e">
        <f t="shared" si="225"/>
        <v>#N/A</v>
      </c>
      <c r="N486" s="25" t="s">
        <v>254</v>
      </c>
      <c r="O486" s="25" t="s">
        <v>52</v>
      </c>
      <c r="P486" s="4" t="s">
        <v>491</v>
      </c>
      <c r="Q486" s="25" t="s">
        <v>52</v>
      </c>
      <c r="R486" s="25" t="s">
        <v>115</v>
      </c>
      <c r="S486" s="52" t="str">
        <f t="shared" si="221"/>
        <v>satisfyInherentSkillLvHeroCnt{level:5,cnt:1}</v>
      </c>
      <c r="T486" s="52" t="s">
        <v>52</v>
      </c>
      <c r="U486" s="52"/>
      <c r="V486" s="52" t="s">
        <v>798</v>
      </c>
      <c r="W486" s="25">
        <f>VLOOKUP(V486,[1]界面跳转!$I:$J,2,FALSE)</f>
        <v>7683</v>
      </c>
      <c r="Y486" s="25" t="s">
        <v>56</v>
      </c>
      <c r="Z486" s="25" t="s">
        <v>57</v>
      </c>
      <c r="AA486" s="25">
        <f t="shared" si="222"/>
        <v>18001</v>
      </c>
      <c r="AB486" s="25">
        <v>6622301</v>
      </c>
      <c r="AD486" s="25">
        <v>18</v>
      </c>
      <c r="AE486" s="25">
        <f t="shared" si="224"/>
        <v>1</v>
      </c>
    </row>
    <row r="487" spans="1:31" s="25" customFormat="1" x14ac:dyDescent="0.45">
      <c r="A487" s="25">
        <f t="shared" ref="A487:A526" si="226">10000000+B487*100000+C487*1000+D487*10</f>
        <v>10018020</v>
      </c>
      <c r="B487" s="25">
        <v>0</v>
      </c>
      <c r="C487" s="25">
        <v>18</v>
      </c>
      <c r="D487" s="25">
        <f t="shared" si="223"/>
        <v>2</v>
      </c>
      <c r="E487" s="25" t="s">
        <v>795</v>
      </c>
      <c r="F487" s="25" t="s">
        <v>242</v>
      </c>
      <c r="G487" s="58" t="s">
        <v>114</v>
      </c>
      <c r="H487" s="58">
        <v>10</v>
      </c>
      <c r="I487" s="58" t="s">
        <v>63</v>
      </c>
      <c r="J487" s="25" t="str">
        <f t="shared" ref="J487:J526" si="227">G487&amp;H487&amp;I487</f>
        <v>任意英雄固有技能升级至10级</v>
      </c>
      <c r="K487" s="25">
        <f t="shared" ref="K487:K526" si="228">A487</f>
        <v>10018020</v>
      </c>
      <c r="L487" s="25" t="s">
        <v>797</v>
      </c>
      <c r="M487" s="25" t="e">
        <f t="shared" si="225"/>
        <v>#N/A</v>
      </c>
      <c r="N487" s="25" t="s">
        <v>254</v>
      </c>
      <c r="O487" s="25" t="s">
        <v>52</v>
      </c>
      <c r="P487" s="4" t="s">
        <v>491</v>
      </c>
      <c r="Q487" s="25" t="s">
        <v>52</v>
      </c>
      <c r="R487" s="25" t="s">
        <v>115</v>
      </c>
      <c r="S487" s="52" t="str">
        <f t="shared" ref="S487:S526" si="229">SUBSTITUTE(R487,"@@@",H487)</f>
        <v>satisfyInherentSkillLvHeroCnt{level:10,cnt:1}</v>
      </c>
      <c r="T487" s="52" t="s">
        <v>52</v>
      </c>
      <c r="U487" s="52"/>
      <c r="V487" s="52" t="s">
        <v>798</v>
      </c>
      <c r="W487" s="25">
        <f>VLOOKUP(V487,[1]界面跳转!$I:$J,2,FALSE)</f>
        <v>7683</v>
      </c>
      <c r="Y487" s="25" t="s">
        <v>56</v>
      </c>
      <c r="Z487" s="25" t="s">
        <v>57</v>
      </c>
      <c r="AA487" s="25">
        <f t="shared" ref="AA487:AA549" si="230">AD487*1000+AE487</f>
        <v>18002</v>
      </c>
      <c r="AB487" s="25">
        <v>6622302</v>
      </c>
      <c r="AD487" s="25">
        <v>18</v>
      </c>
      <c r="AE487" s="25">
        <f t="shared" si="224"/>
        <v>2</v>
      </c>
    </row>
    <row r="488" spans="1:31" s="25" customFormat="1" x14ac:dyDescent="0.45">
      <c r="A488" s="25">
        <f t="shared" si="226"/>
        <v>10018030</v>
      </c>
      <c r="B488" s="25">
        <v>0</v>
      </c>
      <c r="C488" s="25">
        <v>18</v>
      </c>
      <c r="D488" s="25">
        <f t="shared" ref="D488:D526" si="231">IF(C488=C487,D487+1,1)</f>
        <v>3</v>
      </c>
      <c r="E488" s="25" t="s">
        <v>795</v>
      </c>
      <c r="F488" s="25" t="s">
        <v>799</v>
      </c>
      <c r="G488" s="58" t="s">
        <v>114</v>
      </c>
      <c r="H488" s="58">
        <v>15</v>
      </c>
      <c r="I488" s="58" t="s">
        <v>63</v>
      </c>
      <c r="J488" s="25" t="str">
        <f t="shared" si="227"/>
        <v>任意英雄固有技能升级至15级</v>
      </c>
      <c r="K488" s="25">
        <f t="shared" si="228"/>
        <v>10018030</v>
      </c>
      <c r="L488" s="25" t="s">
        <v>797</v>
      </c>
      <c r="M488" s="25" t="e">
        <f t="shared" si="225"/>
        <v>#N/A</v>
      </c>
      <c r="N488" s="25" t="s">
        <v>254</v>
      </c>
      <c r="O488" s="25" t="s">
        <v>52</v>
      </c>
      <c r="P488" s="4" t="s">
        <v>491</v>
      </c>
      <c r="Q488" s="25" t="s">
        <v>52</v>
      </c>
      <c r="R488" s="25" t="s">
        <v>115</v>
      </c>
      <c r="S488" s="52" t="str">
        <f t="shared" si="229"/>
        <v>satisfyInherentSkillLvHeroCnt{level:15,cnt:1}</v>
      </c>
      <c r="T488" s="52" t="s">
        <v>52</v>
      </c>
      <c r="U488" s="52"/>
      <c r="V488" s="52" t="s">
        <v>798</v>
      </c>
      <c r="W488" s="25">
        <f>VLOOKUP(V488,[1]界面跳转!$I:$J,2,FALSE)</f>
        <v>7683</v>
      </c>
      <c r="Y488" s="25" t="s">
        <v>56</v>
      </c>
      <c r="Z488" s="25" t="s">
        <v>57</v>
      </c>
      <c r="AA488" s="25">
        <f t="shared" si="230"/>
        <v>18003</v>
      </c>
      <c r="AB488" s="25">
        <v>6622303</v>
      </c>
      <c r="AD488" s="25">
        <v>18</v>
      </c>
      <c r="AE488" s="25">
        <f t="shared" si="224"/>
        <v>3</v>
      </c>
    </row>
    <row r="489" spans="1:31" s="25" customFormat="1" x14ac:dyDescent="0.45">
      <c r="A489" s="25">
        <f t="shared" si="226"/>
        <v>10018040</v>
      </c>
      <c r="B489" s="25">
        <v>0</v>
      </c>
      <c r="C489" s="25">
        <v>18</v>
      </c>
      <c r="D489" s="25">
        <f t="shared" si="231"/>
        <v>4</v>
      </c>
      <c r="E489" s="25" t="s">
        <v>795</v>
      </c>
      <c r="F489" s="25" t="s">
        <v>800</v>
      </c>
      <c r="G489" s="58" t="s">
        <v>114</v>
      </c>
      <c r="H489" s="58">
        <v>20</v>
      </c>
      <c r="I489" s="58" t="s">
        <v>63</v>
      </c>
      <c r="J489" s="25" t="str">
        <f t="shared" si="227"/>
        <v>任意英雄固有技能升级至20级</v>
      </c>
      <c r="K489" s="25">
        <f t="shared" si="228"/>
        <v>10018040</v>
      </c>
      <c r="L489" s="25" t="s">
        <v>797</v>
      </c>
      <c r="M489" s="25" t="e">
        <f t="shared" si="225"/>
        <v>#N/A</v>
      </c>
      <c r="N489" s="25" t="s">
        <v>254</v>
      </c>
      <c r="O489" s="25" t="s">
        <v>52</v>
      </c>
      <c r="P489" s="4" t="s">
        <v>491</v>
      </c>
      <c r="Q489" s="25" t="s">
        <v>52</v>
      </c>
      <c r="R489" s="25" t="s">
        <v>115</v>
      </c>
      <c r="S489" s="52" t="str">
        <f t="shared" si="229"/>
        <v>satisfyInherentSkillLvHeroCnt{level:20,cnt:1}</v>
      </c>
      <c r="T489" s="52" t="s">
        <v>52</v>
      </c>
      <c r="U489" s="52"/>
      <c r="V489" s="52" t="s">
        <v>798</v>
      </c>
      <c r="W489" s="25">
        <f>VLOOKUP(V489,[1]界面跳转!$I:$J,2,FALSE)</f>
        <v>7683</v>
      </c>
      <c r="Y489" s="25" t="s">
        <v>56</v>
      </c>
      <c r="Z489" s="25" t="s">
        <v>57</v>
      </c>
      <c r="AA489" s="25">
        <f t="shared" si="230"/>
        <v>18004</v>
      </c>
      <c r="AB489" s="25">
        <v>6622304</v>
      </c>
      <c r="AD489" s="25">
        <v>18</v>
      </c>
      <c r="AE489" s="25">
        <f t="shared" si="224"/>
        <v>4</v>
      </c>
    </row>
    <row r="490" spans="1:31" s="25" customFormat="1" x14ac:dyDescent="0.45">
      <c r="A490" s="25">
        <f t="shared" si="226"/>
        <v>10018050</v>
      </c>
      <c r="B490" s="25">
        <v>0</v>
      </c>
      <c r="C490" s="25">
        <v>18</v>
      </c>
      <c r="D490" s="25">
        <f t="shared" si="231"/>
        <v>5</v>
      </c>
      <c r="E490" s="25" t="s">
        <v>795</v>
      </c>
      <c r="F490" s="25" t="s">
        <v>801</v>
      </c>
      <c r="G490" s="58" t="s">
        <v>114</v>
      </c>
      <c r="H490" s="58">
        <v>30</v>
      </c>
      <c r="I490" s="58" t="s">
        <v>63</v>
      </c>
      <c r="J490" s="25" t="str">
        <f t="shared" si="227"/>
        <v>任意英雄固有技能升级至30级</v>
      </c>
      <c r="K490" s="25">
        <f t="shared" si="228"/>
        <v>10018050</v>
      </c>
      <c r="L490" s="25" t="s">
        <v>797</v>
      </c>
      <c r="M490" s="25" t="e">
        <f t="shared" si="225"/>
        <v>#N/A</v>
      </c>
      <c r="N490" s="25" t="s">
        <v>254</v>
      </c>
      <c r="O490" s="25" t="s">
        <v>52</v>
      </c>
      <c r="P490" s="4" t="s">
        <v>491</v>
      </c>
      <c r="Q490" s="25" t="s">
        <v>52</v>
      </c>
      <c r="R490" s="25" t="s">
        <v>115</v>
      </c>
      <c r="S490" s="52" t="str">
        <f t="shared" si="229"/>
        <v>satisfyInherentSkillLvHeroCnt{level:30,cnt:1}</v>
      </c>
      <c r="T490" s="52" t="s">
        <v>52</v>
      </c>
      <c r="U490" s="52"/>
      <c r="V490" s="52" t="s">
        <v>798</v>
      </c>
      <c r="W490" s="25">
        <f>VLOOKUP(V490,[1]界面跳转!$I:$J,2,FALSE)</f>
        <v>7683</v>
      </c>
      <c r="Y490" s="25" t="s">
        <v>56</v>
      </c>
      <c r="Z490" s="25" t="s">
        <v>57</v>
      </c>
      <c r="AA490" s="25">
        <f t="shared" si="230"/>
        <v>18005</v>
      </c>
      <c r="AB490" s="25">
        <v>6622305</v>
      </c>
      <c r="AD490" s="25">
        <v>18</v>
      </c>
      <c r="AE490" s="25">
        <f t="shared" si="224"/>
        <v>5</v>
      </c>
    </row>
    <row r="491" spans="1:31" s="25" customFormat="1" x14ac:dyDescent="0.45">
      <c r="A491" s="25">
        <f t="shared" si="226"/>
        <v>10018060</v>
      </c>
      <c r="B491" s="25">
        <v>0</v>
      </c>
      <c r="C491" s="25">
        <v>18</v>
      </c>
      <c r="D491" s="25">
        <f t="shared" si="231"/>
        <v>6</v>
      </c>
      <c r="E491" s="25" t="s">
        <v>795</v>
      </c>
      <c r="F491" s="25" t="s">
        <v>802</v>
      </c>
      <c r="G491" s="58" t="s">
        <v>803</v>
      </c>
      <c r="H491" s="58">
        <v>15</v>
      </c>
      <c r="I491" s="58" t="s">
        <v>63</v>
      </c>
      <c r="J491" s="25" t="str">
        <f t="shared" si="227"/>
        <v>任意2个英雄固有技能升级至15级</v>
      </c>
      <c r="K491" s="25">
        <f t="shared" si="228"/>
        <v>10018060</v>
      </c>
      <c r="L491" s="25" t="s">
        <v>797</v>
      </c>
      <c r="M491" s="25" t="e">
        <f t="shared" si="225"/>
        <v>#N/A</v>
      </c>
      <c r="N491" s="25" t="s">
        <v>254</v>
      </c>
      <c r="O491" s="25" t="s">
        <v>52</v>
      </c>
      <c r="P491" s="4" t="s">
        <v>491</v>
      </c>
      <c r="Q491" s="25" t="s">
        <v>52</v>
      </c>
      <c r="R491" s="25" t="s">
        <v>804</v>
      </c>
      <c r="S491" s="52" t="str">
        <f t="shared" si="229"/>
        <v>satisfyInherentSkillLvHeroCnt{level:15,cnt:2}</v>
      </c>
      <c r="T491" s="52" t="s">
        <v>52</v>
      </c>
      <c r="U491" s="52"/>
      <c r="V491" s="52" t="s">
        <v>798</v>
      </c>
      <c r="W491" s="25">
        <f>VLOOKUP(V491,[1]界面跳转!$I:$J,2,FALSE)</f>
        <v>7683</v>
      </c>
      <c r="Y491" s="25" t="s">
        <v>56</v>
      </c>
      <c r="Z491" s="25" t="s">
        <v>57</v>
      </c>
      <c r="AA491" s="25">
        <f t="shared" si="230"/>
        <v>18006</v>
      </c>
      <c r="AB491" s="25">
        <v>6622306</v>
      </c>
      <c r="AD491" s="25">
        <v>18</v>
      </c>
      <c r="AE491" s="25">
        <f t="shared" ref="AE491:AE527" si="232">IF(AD491=AD490,AE490+1,1)</f>
        <v>6</v>
      </c>
    </row>
    <row r="492" spans="1:31" s="25" customFormat="1" x14ac:dyDescent="0.45">
      <c r="A492" s="25">
        <f t="shared" si="226"/>
        <v>10018070</v>
      </c>
      <c r="B492" s="25">
        <v>0</v>
      </c>
      <c r="C492" s="25">
        <v>18</v>
      </c>
      <c r="D492" s="25">
        <f t="shared" si="231"/>
        <v>7</v>
      </c>
      <c r="E492" s="25" t="s">
        <v>795</v>
      </c>
      <c r="F492" s="25" t="s">
        <v>805</v>
      </c>
      <c r="G492" s="58" t="s">
        <v>803</v>
      </c>
      <c r="H492" s="58">
        <v>20</v>
      </c>
      <c r="I492" s="58" t="s">
        <v>63</v>
      </c>
      <c r="J492" s="25" t="str">
        <f t="shared" si="227"/>
        <v>任意2个英雄固有技能升级至20级</v>
      </c>
      <c r="K492" s="25">
        <f t="shared" si="228"/>
        <v>10018070</v>
      </c>
      <c r="L492" s="25" t="s">
        <v>797</v>
      </c>
      <c r="M492" s="25" t="e">
        <f t="shared" si="225"/>
        <v>#N/A</v>
      </c>
      <c r="N492" s="25" t="s">
        <v>254</v>
      </c>
      <c r="O492" s="25" t="s">
        <v>52</v>
      </c>
      <c r="P492" s="4" t="s">
        <v>491</v>
      </c>
      <c r="Q492" s="25" t="s">
        <v>52</v>
      </c>
      <c r="R492" s="25" t="s">
        <v>804</v>
      </c>
      <c r="S492" s="52" t="str">
        <f t="shared" si="229"/>
        <v>satisfyInherentSkillLvHeroCnt{level:20,cnt:2}</v>
      </c>
      <c r="T492" s="52" t="s">
        <v>52</v>
      </c>
      <c r="U492" s="52"/>
      <c r="V492" s="52" t="s">
        <v>798</v>
      </c>
      <c r="W492" s="25">
        <f>VLOOKUP(V492,[1]界面跳转!$I:$J,2,FALSE)</f>
        <v>7683</v>
      </c>
      <c r="Y492" s="25" t="s">
        <v>56</v>
      </c>
      <c r="Z492" s="25" t="s">
        <v>57</v>
      </c>
      <c r="AA492" s="25">
        <f t="shared" si="230"/>
        <v>18007</v>
      </c>
      <c r="AB492" s="25">
        <v>6622307</v>
      </c>
      <c r="AD492" s="25">
        <v>18</v>
      </c>
      <c r="AE492" s="25">
        <f t="shared" si="232"/>
        <v>7</v>
      </c>
    </row>
    <row r="493" spans="1:31" s="25" customFormat="1" x14ac:dyDescent="0.45">
      <c r="A493" s="25">
        <f t="shared" si="226"/>
        <v>10018080</v>
      </c>
      <c r="B493" s="25">
        <v>0</v>
      </c>
      <c r="C493" s="25">
        <v>18</v>
      </c>
      <c r="D493" s="25">
        <f t="shared" si="231"/>
        <v>8</v>
      </c>
      <c r="E493" s="25" t="s">
        <v>795</v>
      </c>
      <c r="F493" s="25" t="s">
        <v>806</v>
      </c>
      <c r="G493" s="58" t="s">
        <v>803</v>
      </c>
      <c r="H493" s="58">
        <v>25</v>
      </c>
      <c r="I493" s="58" t="s">
        <v>63</v>
      </c>
      <c r="J493" s="25" t="str">
        <f t="shared" si="227"/>
        <v>任意2个英雄固有技能升级至25级</v>
      </c>
      <c r="K493" s="25">
        <f t="shared" si="228"/>
        <v>10018080</v>
      </c>
      <c r="L493" s="25" t="s">
        <v>797</v>
      </c>
      <c r="M493" s="25" t="e">
        <f t="shared" si="225"/>
        <v>#N/A</v>
      </c>
      <c r="N493" s="25" t="s">
        <v>254</v>
      </c>
      <c r="O493" s="25" t="s">
        <v>52</v>
      </c>
      <c r="P493" s="4" t="s">
        <v>491</v>
      </c>
      <c r="Q493" s="25" t="s">
        <v>52</v>
      </c>
      <c r="R493" s="25" t="s">
        <v>804</v>
      </c>
      <c r="S493" s="52" t="str">
        <f t="shared" si="229"/>
        <v>satisfyInherentSkillLvHeroCnt{level:25,cnt:2}</v>
      </c>
      <c r="T493" s="52" t="s">
        <v>52</v>
      </c>
      <c r="U493" s="52"/>
      <c r="V493" s="52" t="s">
        <v>798</v>
      </c>
      <c r="W493" s="25">
        <f>VLOOKUP(V493,[1]界面跳转!$I:$J,2,FALSE)</f>
        <v>7683</v>
      </c>
      <c r="Y493" s="25" t="s">
        <v>56</v>
      </c>
      <c r="Z493" s="25" t="s">
        <v>57</v>
      </c>
      <c r="AA493" s="25">
        <f t="shared" si="230"/>
        <v>18008</v>
      </c>
      <c r="AB493" s="25">
        <v>6622308</v>
      </c>
      <c r="AD493" s="25">
        <v>18</v>
      </c>
      <c r="AE493" s="25">
        <f t="shared" si="232"/>
        <v>8</v>
      </c>
    </row>
    <row r="494" spans="1:31" s="25" customFormat="1" x14ac:dyDescent="0.45">
      <c r="A494" s="25">
        <f t="shared" si="226"/>
        <v>10018090</v>
      </c>
      <c r="B494" s="25">
        <v>0</v>
      </c>
      <c r="C494" s="25">
        <v>18</v>
      </c>
      <c r="D494" s="25">
        <f t="shared" si="231"/>
        <v>9</v>
      </c>
      <c r="E494" s="25" t="s">
        <v>795</v>
      </c>
      <c r="F494" s="25" t="s">
        <v>807</v>
      </c>
      <c r="G494" s="58" t="s">
        <v>803</v>
      </c>
      <c r="H494" s="58">
        <v>30</v>
      </c>
      <c r="I494" s="58" t="s">
        <v>63</v>
      </c>
      <c r="J494" s="25" t="str">
        <f t="shared" si="227"/>
        <v>任意2个英雄固有技能升级至30级</v>
      </c>
      <c r="K494" s="25">
        <f t="shared" si="228"/>
        <v>10018090</v>
      </c>
      <c r="L494" s="25" t="s">
        <v>797</v>
      </c>
      <c r="M494" s="25" t="e">
        <f t="shared" ref="M494:M525" si="233">VLOOKUP(L494,J:K,2,FALSE)</f>
        <v>#N/A</v>
      </c>
      <c r="N494" s="25" t="s">
        <v>254</v>
      </c>
      <c r="O494" s="25" t="s">
        <v>52</v>
      </c>
      <c r="P494" s="4" t="s">
        <v>491</v>
      </c>
      <c r="Q494" s="25" t="s">
        <v>52</v>
      </c>
      <c r="R494" s="25" t="s">
        <v>804</v>
      </c>
      <c r="S494" s="52" t="str">
        <f t="shared" si="229"/>
        <v>satisfyInherentSkillLvHeroCnt{level:30,cnt:2}</v>
      </c>
      <c r="T494" s="52" t="s">
        <v>52</v>
      </c>
      <c r="U494" s="52"/>
      <c r="V494" s="52" t="s">
        <v>798</v>
      </c>
      <c r="W494" s="25">
        <f>VLOOKUP(V494,[1]界面跳转!$I:$J,2,FALSE)</f>
        <v>7683</v>
      </c>
      <c r="Y494" s="25" t="s">
        <v>56</v>
      </c>
      <c r="Z494" s="25" t="s">
        <v>57</v>
      </c>
      <c r="AA494" s="25">
        <f t="shared" si="230"/>
        <v>18009</v>
      </c>
      <c r="AB494" s="25">
        <v>6622309</v>
      </c>
      <c r="AD494" s="25">
        <v>18</v>
      </c>
      <c r="AE494" s="25">
        <f t="shared" si="232"/>
        <v>9</v>
      </c>
    </row>
    <row r="495" spans="1:31" s="25" customFormat="1" x14ac:dyDescent="0.45">
      <c r="A495" s="25">
        <f t="shared" si="226"/>
        <v>10018100</v>
      </c>
      <c r="B495" s="25">
        <v>0</v>
      </c>
      <c r="C495" s="25">
        <v>18</v>
      </c>
      <c r="D495" s="25">
        <f t="shared" si="231"/>
        <v>10</v>
      </c>
      <c r="E495" s="25" t="s">
        <v>795</v>
      </c>
      <c r="F495" s="25" t="s">
        <v>808</v>
      </c>
      <c r="G495" s="58" t="s">
        <v>803</v>
      </c>
      <c r="H495" s="58">
        <v>35</v>
      </c>
      <c r="I495" s="58" t="s">
        <v>63</v>
      </c>
      <c r="J495" s="25" t="str">
        <f t="shared" si="227"/>
        <v>任意2个英雄固有技能升级至35级</v>
      </c>
      <c r="K495" s="25">
        <f t="shared" si="228"/>
        <v>10018100</v>
      </c>
      <c r="L495" s="25" t="s">
        <v>797</v>
      </c>
      <c r="M495" s="25" t="e">
        <f t="shared" si="233"/>
        <v>#N/A</v>
      </c>
      <c r="N495" s="25" t="s">
        <v>254</v>
      </c>
      <c r="O495" s="25" t="s">
        <v>52</v>
      </c>
      <c r="P495" s="4" t="s">
        <v>491</v>
      </c>
      <c r="Q495" s="25" t="s">
        <v>52</v>
      </c>
      <c r="R495" s="25" t="s">
        <v>804</v>
      </c>
      <c r="S495" s="52" t="str">
        <f t="shared" si="229"/>
        <v>satisfyInherentSkillLvHeroCnt{level:35,cnt:2}</v>
      </c>
      <c r="T495" s="52" t="s">
        <v>52</v>
      </c>
      <c r="U495" s="52"/>
      <c r="V495" s="52" t="s">
        <v>798</v>
      </c>
      <c r="W495" s="25">
        <f>VLOOKUP(V495,[1]界面跳转!$I:$J,2,FALSE)</f>
        <v>7683</v>
      </c>
      <c r="Y495" s="25" t="s">
        <v>56</v>
      </c>
      <c r="Z495" s="25" t="s">
        <v>57</v>
      </c>
      <c r="AA495" s="25">
        <f t="shared" si="230"/>
        <v>18010</v>
      </c>
      <c r="AB495" s="25">
        <v>6622310</v>
      </c>
      <c r="AD495" s="25">
        <v>18</v>
      </c>
      <c r="AE495" s="25">
        <f t="shared" si="232"/>
        <v>10</v>
      </c>
    </row>
    <row r="496" spans="1:31" s="25" customFormat="1" x14ac:dyDescent="0.45">
      <c r="A496" s="25">
        <f t="shared" si="226"/>
        <v>10018110</v>
      </c>
      <c r="B496" s="25">
        <v>0</v>
      </c>
      <c r="C496" s="25">
        <v>18</v>
      </c>
      <c r="D496" s="25">
        <f t="shared" si="231"/>
        <v>11</v>
      </c>
      <c r="E496" s="25" t="s">
        <v>795</v>
      </c>
      <c r="F496" s="25" t="s">
        <v>809</v>
      </c>
      <c r="G496" s="58" t="s">
        <v>803</v>
      </c>
      <c r="H496" s="58">
        <v>40</v>
      </c>
      <c r="I496" s="58" t="s">
        <v>63</v>
      </c>
      <c r="J496" s="25" t="str">
        <f t="shared" si="227"/>
        <v>任意2个英雄固有技能升级至40级</v>
      </c>
      <c r="K496" s="25">
        <f t="shared" si="228"/>
        <v>10018110</v>
      </c>
      <c r="L496" s="25" t="s">
        <v>797</v>
      </c>
      <c r="M496" s="25" t="e">
        <f t="shared" si="233"/>
        <v>#N/A</v>
      </c>
      <c r="N496" s="25" t="s">
        <v>254</v>
      </c>
      <c r="O496" s="25" t="s">
        <v>52</v>
      </c>
      <c r="P496" s="4" t="s">
        <v>491</v>
      </c>
      <c r="Q496" s="25" t="s">
        <v>52</v>
      </c>
      <c r="R496" s="25" t="s">
        <v>804</v>
      </c>
      <c r="S496" s="52" t="str">
        <f t="shared" si="229"/>
        <v>satisfyInherentSkillLvHeroCnt{level:40,cnt:2}</v>
      </c>
      <c r="T496" s="52" t="s">
        <v>52</v>
      </c>
      <c r="U496" s="52"/>
      <c r="V496" s="52" t="s">
        <v>798</v>
      </c>
      <c r="W496" s="25">
        <f>VLOOKUP(V496,[1]界面跳转!$I:$J,2,FALSE)</f>
        <v>7683</v>
      </c>
      <c r="Y496" s="25" t="s">
        <v>56</v>
      </c>
      <c r="Z496" s="25" t="s">
        <v>57</v>
      </c>
      <c r="AA496" s="25">
        <f t="shared" si="230"/>
        <v>18011</v>
      </c>
      <c r="AB496" s="25">
        <v>6622311</v>
      </c>
      <c r="AD496" s="25">
        <v>18</v>
      </c>
      <c r="AE496" s="25">
        <f t="shared" si="232"/>
        <v>11</v>
      </c>
    </row>
    <row r="497" spans="1:31" s="25" customFormat="1" x14ac:dyDescent="0.45">
      <c r="A497" s="25">
        <f t="shared" si="226"/>
        <v>10018120</v>
      </c>
      <c r="B497" s="25">
        <v>0</v>
      </c>
      <c r="C497" s="25">
        <v>18</v>
      </c>
      <c r="D497" s="25">
        <f t="shared" si="231"/>
        <v>12</v>
      </c>
      <c r="E497" s="25" t="s">
        <v>795</v>
      </c>
      <c r="F497" s="25" t="s">
        <v>810</v>
      </c>
      <c r="G497" s="58" t="s">
        <v>811</v>
      </c>
      <c r="H497" s="58">
        <v>15</v>
      </c>
      <c r="I497" s="58" t="s">
        <v>63</v>
      </c>
      <c r="J497" s="25" t="str">
        <f t="shared" si="227"/>
        <v>任意3个英雄固有技能升级至15级</v>
      </c>
      <c r="K497" s="25">
        <f t="shared" si="228"/>
        <v>10018120</v>
      </c>
      <c r="L497" s="25" t="s">
        <v>797</v>
      </c>
      <c r="M497" s="25" t="e">
        <f t="shared" si="233"/>
        <v>#N/A</v>
      </c>
      <c r="N497" s="25" t="s">
        <v>254</v>
      </c>
      <c r="O497" s="25" t="s">
        <v>52</v>
      </c>
      <c r="P497" s="4" t="s">
        <v>491</v>
      </c>
      <c r="Q497" s="25" t="s">
        <v>52</v>
      </c>
      <c r="R497" s="25" t="s">
        <v>812</v>
      </c>
      <c r="S497" s="52" t="str">
        <f t="shared" si="229"/>
        <v>satisfyInherentSkillLvHeroCnt{level:15,cnt:3}</v>
      </c>
      <c r="T497" s="52" t="s">
        <v>52</v>
      </c>
      <c r="U497" s="52"/>
      <c r="V497" s="52" t="s">
        <v>798</v>
      </c>
      <c r="W497" s="25">
        <f>VLOOKUP(V497,[1]界面跳转!$I:$J,2,FALSE)</f>
        <v>7683</v>
      </c>
      <c r="Y497" s="25" t="s">
        <v>56</v>
      </c>
      <c r="Z497" s="25" t="s">
        <v>57</v>
      </c>
      <c r="AA497" s="25">
        <f t="shared" si="230"/>
        <v>18012</v>
      </c>
      <c r="AB497" s="25">
        <v>6622312</v>
      </c>
      <c r="AD497" s="25">
        <v>18</v>
      </c>
      <c r="AE497" s="25">
        <f t="shared" si="232"/>
        <v>12</v>
      </c>
    </row>
    <row r="498" spans="1:31" s="25" customFormat="1" x14ac:dyDescent="0.45">
      <c r="A498" s="25">
        <f t="shared" si="226"/>
        <v>10018130</v>
      </c>
      <c r="B498" s="25">
        <v>0</v>
      </c>
      <c r="C498" s="25">
        <v>18</v>
      </c>
      <c r="D498" s="25">
        <f t="shared" si="231"/>
        <v>13</v>
      </c>
      <c r="E498" s="25" t="s">
        <v>795</v>
      </c>
      <c r="F498" s="25" t="s">
        <v>813</v>
      </c>
      <c r="G498" s="58" t="s">
        <v>811</v>
      </c>
      <c r="H498" s="58">
        <v>20</v>
      </c>
      <c r="I498" s="58" t="s">
        <v>63</v>
      </c>
      <c r="J498" s="25" t="str">
        <f t="shared" si="227"/>
        <v>任意3个英雄固有技能升级至20级</v>
      </c>
      <c r="K498" s="25">
        <f t="shared" si="228"/>
        <v>10018130</v>
      </c>
      <c r="L498" s="25" t="s">
        <v>797</v>
      </c>
      <c r="M498" s="25" t="e">
        <f t="shared" si="233"/>
        <v>#N/A</v>
      </c>
      <c r="N498" s="25" t="s">
        <v>254</v>
      </c>
      <c r="O498" s="25" t="s">
        <v>52</v>
      </c>
      <c r="P498" s="4" t="s">
        <v>491</v>
      </c>
      <c r="Q498" s="25" t="s">
        <v>52</v>
      </c>
      <c r="R498" s="25" t="s">
        <v>812</v>
      </c>
      <c r="S498" s="52" t="str">
        <f t="shared" si="229"/>
        <v>satisfyInherentSkillLvHeroCnt{level:20,cnt:3}</v>
      </c>
      <c r="T498" s="52" t="s">
        <v>52</v>
      </c>
      <c r="U498" s="52"/>
      <c r="V498" s="52" t="s">
        <v>798</v>
      </c>
      <c r="W498" s="25">
        <f>VLOOKUP(V498,[1]界面跳转!$I:$J,2,FALSE)</f>
        <v>7683</v>
      </c>
      <c r="Y498" s="25" t="s">
        <v>56</v>
      </c>
      <c r="Z498" s="25" t="s">
        <v>57</v>
      </c>
      <c r="AA498" s="25">
        <f t="shared" si="230"/>
        <v>18013</v>
      </c>
      <c r="AB498" s="25">
        <v>6622313</v>
      </c>
      <c r="AD498" s="25">
        <v>18</v>
      </c>
      <c r="AE498" s="25">
        <f t="shared" si="232"/>
        <v>13</v>
      </c>
    </row>
    <row r="499" spans="1:31" s="25" customFormat="1" x14ac:dyDescent="0.45">
      <c r="A499" s="25">
        <f t="shared" si="226"/>
        <v>10018140</v>
      </c>
      <c r="B499" s="25">
        <v>0</v>
      </c>
      <c r="C499" s="25">
        <v>18</v>
      </c>
      <c r="D499" s="25">
        <f t="shared" si="231"/>
        <v>14</v>
      </c>
      <c r="E499" s="25" t="s">
        <v>795</v>
      </c>
      <c r="F499" s="25" t="s">
        <v>814</v>
      </c>
      <c r="G499" s="58" t="s">
        <v>811</v>
      </c>
      <c r="H499" s="58">
        <v>25</v>
      </c>
      <c r="I499" s="58" t="s">
        <v>63</v>
      </c>
      <c r="J499" s="25" t="str">
        <f t="shared" si="227"/>
        <v>任意3个英雄固有技能升级至25级</v>
      </c>
      <c r="K499" s="25">
        <f t="shared" si="228"/>
        <v>10018140</v>
      </c>
      <c r="L499" s="25" t="s">
        <v>797</v>
      </c>
      <c r="M499" s="25" t="e">
        <f t="shared" si="233"/>
        <v>#N/A</v>
      </c>
      <c r="N499" s="25" t="s">
        <v>254</v>
      </c>
      <c r="O499" s="25" t="s">
        <v>52</v>
      </c>
      <c r="P499" s="4" t="s">
        <v>491</v>
      </c>
      <c r="Q499" s="25" t="s">
        <v>52</v>
      </c>
      <c r="R499" s="25" t="s">
        <v>812</v>
      </c>
      <c r="S499" s="52" t="str">
        <f t="shared" si="229"/>
        <v>satisfyInherentSkillLvHeroCnt{level:25,cnt:3}</v>
      </c>
      <c r="T499" s="52" t="s">
        <v>52</v>
      </c>
      <c r="U499" s="52"/>
      <c r="V499" s="52" t="s">
        <v>798</v>
      </c>
      <c r="W499" s="25">
        <f>VLOOKUP(V499,[1]界面跳转!$I:$J,2,FALSE)</f>
        <v>7683</v>
      </c>
      <c r="Y499" s="25" t="s">
        <v>56</v>
      </c>
      <c r="Z499" s="25" t="s">
        <v>57</v>
      </c>
      <c r="AA499" s="25">
        <f t="shared" si="230"/>
        <v>18014</v>
      </c>
      <c r="AB499" s="25">
        <v>6622314</v>
      </c>
      <c r="AD499" s="25">
        <v>18</v>
      </c>
      <c r="AE499" s="25">
        <f t="shared" si="232"/>
        <v>14</v>
      </c>
    </row>
    <row r="500" spans="1:31" s="25" customFormat="1" x14ac:dyDescent="0.45">
      <c r="A500" s="25">
        <f t="shared" si="226"/>
        <v>10018150</v>
      </c>
      <c r="B500" s="25">
        <v>0</v>
      </c>
      <c r="C500" s="25">
        <v>18</v>
      </c>
      <c r="D500" s="25">
        <f t="shared" si="231"/>
        <v>15</v>
      </c>
      <c r="E500" s="25" t="s">
        <v>795</v>
      </c>
      <c r="F500" s="25" t="s">
        <v>815</v>
      </c>
      <c r="G500" s="58" t="s">
        <v>811</v>
      </c>
      <c r="H500" s="58">
        <v>30</v>
      </c>
      <c r="I500" s="58" t="s">
        <v>63</v>
      </c>
      <c r="J500" s="25" t="str">
        <f t="shared" si="227"/>
        <v>任意3个英雄固有技能升级至30级</v>
      </c>
      <c r="K500" s="25">
        <f t="shared" si="228"/>
        <v>10018150</v>
      </c>
      <c r="L500" s="25" t="s">
        <v>797</v>
      </c>
      <c r="M500" s="25" t="e">
        <f t="shared" si="233"/>
        <v>#N/A</v>
      </c>
      <c r="N500" s="25" t="s">
        <v>254</v>
      </c>
      <c r="O500" s="25" t="s">
        <v>52</v>
      </c>
      <c r="P500" s="4" t="s">
        <v>491</v>
      </c>
      <c r="Q500" s="25" t="s">
        <v>52</v>
      </c>
      <c r="R500" s="25" t="s">
        <v>812</v>
      </c>
      <c r="S500" s="52" t="str">
        <f t="shared" si="229"/>
        <v>satisfyInherentSkillLvHeroCnt{level:30,cnt:3}</v>
      </c>
      <c r="T500" s="52" t="s">
        <v>52</v>
      </c>
      <c r="U500" s="52"/>
      <c r="V500" s="52" t="s">
        <v>798</v>
      </c>
      <c r="W500" s="25">
        <f>VLOOKUP(V500,[1]界面跳转!$I:$J,2,FALSE)</f>
        <v>7683</v>
      </c>
      <c r="Y500" s="25" t="s">
        <v>56</v>
      </c>
      <c r="Z500" s="25" t="s">
        <v>57</v>
      </c>
      <c r="AA500" s="25">
        <f t="shared" si="230"/>
        <v>18015</v>
      </c>
      <c r="AB500" s="25">
        <v>6622315</v>
      </c>
      <c r="AD500" s="25">
        <v>18</v>
      </c>
      <c r="AE500" s="25">
        <f t="shared" si="232"/>
        <v>15</v>
      </c>
    </row>
    <row r="501" spans="1:31" s="25" customFormat="1" x14ac:dyDescent="0.45">
      <c r="A501" s="25">
        <f t="shared" si="226"/>
        <v>10018160</v>
      </c>
      <c r="B501" s="25">
        <v>0</v>
      </c>
      <c r="C501" s="25">
        <v>18</v>
      </c>
      <c r="D501" s="25">
        <f t="shared" si="231"/>
        <v>16</v>
      </c>
      <c r="E501" s="25" t="s">
        <v>795</v>
      </c>
      <c r="F501" s="25" t="s">
        <v>816</v>
      </c>
      <c r="G501" s="58" t="s">
        <v>811</v>
      </c>
      <c r="H501" s="58">
        <v>35</v>
      </c>
      <c r="I501" s="58" t="s">
        <v>63</v>
      </c>
      <c r="J501" s="25" t="str">
        <f t="shared" si="227"/>
        <v>任意3个英雄固有技能升级至35级</v>
      </c>
      <c r="K501" s="25">
        <f t="shared" si="228"/>
        <v>10018160</v>
      </c>
      <c r="L501" s="25" t="s">
        <v>797</v>
      </c>
      <c r="M501" s="25" t="e">
        <f t="shared" si="233"/>
        <v>#N/A</v>
      </c>
      <c r="N501" s="25" t="s">
        <v>254</v>
      </c>
      <c r="O501" s="25" t="s">
        <v>52</v>
      </c>
      <c r="P501" s="4" t="s">
        <v>491</v>
      </c>
      <c r="Q501" s="25" t="s">
        <v>52</v>
      </c>
      <c r="R501" s="25" t="s">
        <v>812</v>
      </c>
      <c r="S501" s="52" t="str">
        <f t="shared" si="229"/>
        <v>satisfyInherentSkillLvHeroCnt{level:35,cnt:3}</v>
      </c>
      <c r="T501" s="52" t="s">
        <v>52</v>
      </c>
      <c r="U501" s="52"/>
      <c r="V501" s="52" t="s">
        <v>798</v>
      </c>
      <c r="W501" s="25">
        <f>VLOOKUP(V501,[1]界面跳转!$I:$J,2,FALSE)</f>
        <v>7683</v>
      </c>
      <c r="Y501" s="25" t="s">
        <v>56</v>
      </c>
      <c r="Z501" s="25" t="s">
        <v>57</v>
      </c>
      <c r="AA501" s="25">
        <f t="shared" si="230"/>
        <v>18016</v>
      </c>
      <c r="AB501" s="25">
        <v>6622316</v>
      </c>
      <c r="AD501" s="25">
        <v>18</v>
      </c>
      <c r="AE501" s="25">
        <f t="shared" si="232"/>
        <v>16</v>
      </c>
    </row>
    <row r="502" spans="1:31" s="25" customFormat="1" x14ac:dyDescent="0.45">
      <c r="A502" s="25">
        <f t="shared" si="226"/>
        <v>10018170</v>
      </c>
      <c r="B502" s="25">
        <v>0</v>
      </c>
      <c r="C502" s="25">
        <v>18</v>
      </c>
      <c r="D502" s="25">
        <f t="shared" si="231"/>
        <v>17</v>
      </c>
      <c r="E502" s="25" t="s">
        <v>795</v>
      </c>
      <c r="F502" s="25" t="s">
        <v>817</v>
      </c>
      <c r="G502" s="58" t="s">
        <v>811</v>
      </c>
      <c r="H502" s="58">
        <v>40</v>
      </c>
      <c r="I502" s="58" t="s">
        <v>63</v>
      </c>
      <c r="J502" s="25" t="str">
        <f t="shared" si="227"/>
        <v>任意3个英雄固有技能升级至40级</v>
      </c>
      <c r="K502" s="25">
        <f t="shared" si="228"/>
        <v>10018170</v>
      </c>
      <c r="L502" s="25" t="s">
        <v>797</v>
      </c>
      <c r="M502" s="25" t="e">
        <f t="shared" si="233"/>
        <v>#N/A</v>
      </c>
      <c r="N502" s="25" t="s">
        <v>254</v>
      </c>
      <c r="O502" s="25" t="s">
        <v>52</v>
      </c>
      <c r="P502" s="4" t="s">
        <v>491</v>
      </c>
      <c r="Q502" s="25" t="s">
        <v>52</v>
      </c>
      <c r="R502" s="25" t="s">
        <v>812</v>
      </c>
      <c r="S502" s="52" t="str">
        <f t="shared" si="229"/>
        <v>satisfyInherentSkillLvHeroCnt{level:40,cnt:3}</v>
      </c>
      <c r="T502" s="52" t="s">
        <v>52</v>
      </c>
      <c r="U502" s="52"/>
      <c r="V502" s="52" t="s">
        <v>798</v>
      </c>
      <c r="W502" s="25">
        <f>VLOOKUP(V502,[1]界面跳转!$I:$J,2,FALSE)</f>
        <v>7683</v>
      </c>
      <c r="Y502" s="25" t="s">
        <v>56</v>
      </c>
      <c r="Z502" s="25" t="s">
        <v>57</v>
      </c>
      <c r="AA502" s="25">
        <f t="shared" si="230"/>
        <v>18017</v>
      </c>
      <c r="AB502" s="25">
        <v>6622317</v>
      </c>
      <c r="AD502" s="25">
        <v>18</v>
      </c>
      <c r="AE502" s="25">
        <f t="shared" si="232"/>
        <v>17</v>
      </c>
    </row>
    <row r="503" spans="1:31" s="25" customFormat="1" x14ac:dyDescent="0.45">
      <c r="A503" s="25">
        <f t="shared" si="226"/>
        <v>10018180</v>
      </c>
      <c r="B503" s="25">
        <v>0</v>
      </c>
      <c r="C503" s="25">
        <v>18</v>
      </c>
      <c r="D503" s="25">
        <f t="shared" si="231"/>
        <v>18</v>
      </c>
      <c r="E503" s="25" t="s">
        <v>795</v>
      </c>
      <c r="F503" s="25" t="s">
        <v>818</v>
      </c>
      <c r="G503" s="58" t="s">
        <v>819</v>
      </c>
      <c r="H503" s="58">
        <v>15</v>
      </c>
      <c r="I503" s="58" t="s">
        <v>63</v>
      </c>
      <c r="J503" s="25" t="str">
        <f t="shared" si="227"/>
        <v>任意4个英雄固有技能升级至15级</v>
      </c>
      <c r="K503" s="25">
        <f t="shared" si="228"/>
        <v>10018180</v>
      </c>
      <c r="L503" s="25" t="s">
        <v>797</v>
      </c>
      <c r="M503" s="25" t="e">
        <f t="shared" si="233"/>
        <v>#N/A</v>
      </c>
      <c r="N503" s="25" t="s">
        <v>254</v>
      </c>
      <c r="O503" s="25" t="s">
        <v>52</v>
      </c>
      <c r="P503" s="4" t="s">
        <v>491</v>
      </c>
      <c r="Q503" s="25" t="s">
        <v>52</v>
      </c>
      <c r="R503" s="25" t="s">
        <v>820</v>
      </c>
      <c r="S503" s="52" t="str">
        <f t="shared" si="229"/>
        <v>satisfyInherentSkillLvHeroCnt{level:15,cnt:4}</v>
      </c>
      <c r="T503" s="52" t="s">
        <v>52</v>
      </c>
      <c r="U503" s="52"/>
      <c r="V503" s="52" t="s">
        <v>798</v>
      </c>
      <c r="W503" s="25">
        <f>VLOOKUP(V503,[1]界面跳转!$I:$J,2,FALSE)</f>
        <v>7683</v>
      </c>
      <c r="Y503" s="25" t="s">
        <v>56</v>
      </c>
      <c r="Z503" s="25" t="s">
        <v>57</v>
      </c>
      <c r="AA503" s="25">
        <f t="shared" si="230"/>
        <v>18018</v>
      </c>
      <c r="AB503" s="25">
        <v>6622318</v>
      </c>
      <c r="AD503" s="25">
        <v>18</v>
      </c>
      <c r="AE503" s="25">
        <f t="shared" si="232"/>
        <v>18</v>
      </c>
    </row>
    <row r="504" spans="1:31" s="25" customFormat="1" x14ac:dyDescent="0.45">
      <c r="A504" s="25">
        <f t="shared" si="226"/>
        <v>10018190</v>
      </c>
      <c r="B504" s="25">
        <v>0</v>
      </c>
      <c r="C504" s="25">
        <v>18</v>
      </c>
      <c r="D504" s="25">
        <f t="shared" si="231"/>
        <v>19</v>
      </c>
      <c r="E504" s="25" t="s">
        <v>795</v>
      </c>
      <c r="F504" s="25" t="s">
        <v>821</v>
      </c>
      <c r="G504" s="58" t="s">
        <v>819</v>
      </c>
      <c r="H504" s="58">
        <v>20</v>
      </c>
      <c r="I504" s="58" t="s">
        <v>63</v>
      </c>
      <c r="J504" s="25" t="str">
        <f t="shared" si="227"/>
        <v>任意4个英雄固有技能升级至20级</v>
      </c>
      <c r="K504" s="25">
        <f t="shared" si="228"/>
        <v>10018190</v>
      </c>
      <c r="L504" s="25" t="s">
        <v>797</v>
      </c>
      <c r="M504" s="25" t="e">
        <f t="shared" si="233"/>
        <v>#N/A</v>
      </c>
      <c r="N504" s="25" t="s">
        <v>254</v>
      </c>
      <c r="O504" s="25" t="s">
        <v>52</v>
      </c>
      <c r="P504" s="4" t="s">
        <v>491</v>
      </c>
      <c r="Q504" s="25" t="s">
        <v>52</v>
      </c>
      <c r="R504" s="25" t="s">
        <v>820</v>
      </c>
      <c r="S504" s="52" t="str">
        <f t="shared" si="229"/>
        <v>satisfyInherentSkillLvHeroCnt{level:20,cnt:4}</v>
      </c>
      <c r="T504" s="52" t="s">
        <v>52</v>
      </c>
      <c r="U504" s="52"/>
      <c r="V504" s="52" t="s">
        <v>798</v>
      </c>
      <c r="W504" s="25">
        <f>VLOOKUP(V504,[1]界面跳转!$I:$J,2,FALSE)</f>
        <v>7683</v>
      </c>
      <c r="Y504" s="25" t="s">
        <v>56</v>
      </c>
      <c r="Z504" s="25" t="s">
        <v>57</v>
      </c>
      <c r="AA504" s="25">
        <f t="shared" si="230"/>
        <v>18019</v>
      </c>
      <c r="AB504" s="25">
        <v>6622319</v>
      </c>
      <c r="AD504" s="25">
        <v>18</v>
      </c>
      <c r="AE504" s="25">
        <f t="shared" si="232"/>
        <v>19</v>
      </c>
    </row>
    <row r="505" spans="1:31" s="25" customFormat="1" x14ac:dyDescent="0.45">
      <c r="A505" s="25">
        <f t="shared" si="226"/>
        <v>10018200</v>
      </c>
      <c r="B505" s="25">
        <v>0</v>
      </c>
      <c r="C505" s="25">
        <v>18</v>
      </c>
      <c r="D505" s="25">
        <f t="shared" si="231"/>
        <v>20</v>
      </c>
      <c r="E505" s="25" t="s">
        <v>795</v>
      </c>
      <c r="F505" s="25" t="s">
        <v>822</v>
      </c>
      <c r="G505" s="58" t="s">
        <v>819</v>
      </c>
      <c r="H505" s="58">
        <v>25</v>
      </c>
      <c r="I505" s="58" t="s">
        <v>63</v>
      </c>
      <c r="J505" s="25" t="str">
        <f t="shared" si="227"/>
        <v>任意4个英雄固有技能升级至25级</v>
      </c>
      <c r="K505" s="25">
        <f t="shared" si="228"/>
        <v>10018200</v>
      </c>
      <c r="L505" s="25" t="s">
        <v>797</v>
      </c>
      <c r="M505" s="25" t="e">
        <f t="shared" si="233"/>
        <v>#N/A</v>
      </c>
      <c r="N505" s="25" t="s">
        <v>254</v>
      </c>
      <c r="O505" s="25" t="s">
        <v>52</v>
      </c>
      <c r="P505" s="4" t="s">
        <v>491</v>
      </c>
      <c r="Q505" s="25" t="s">
        <v>52</v>
      </c>
      <c r="R505" s="25" t="s">
        <v>820</v>
      </c>
      <c r="S505" s="52" t="str">
        <f t="shared" si="229"/>
        <v>satisfyInherentSkillLvHeroCnt{level:25,cnt:4}</v>
      </c>
      <c r="T505" s="52" t="s">
        <v>52</v>
      </c>
      <c r="U505" s="52"/>
      <c r="V505" s="52" t="s">
        <v>798</v>
      </c>
      <c r="W505" s="25">
        <f>VLOOKUP(V505,[1]界面跳转!$I:$J,2,FALSE)</f>
        <v>7683</v>
      </c>
      <c r="Y505" s="25" t="s">
        <v>56</v>
      </c>
      <c r="Z505" s="25" t="s">
        <v>57</v>
      </c>
      <c r="AA505" s="25">
        <f t="shared" si="230"/>
        <v>18020</v>
      </c>
      <c r="AB505" s="25">
        <v>6622320</v>
      </c>
      <c r="AD505" s="25">
        <v>18</v>
      </c>
      <c r="AE505" s="25">
        <f t="shared" si="232"/>
        <v>20</v>
      </c>
    </row>
    <row r="506" spans="1:31" s="25" customFormat="1" x14ac:dyDescent="0.45">
      <c r="A506" s="25">
        <f t="shared" si="226"/>
        <v>10018210</v>
      </c>
      <c r="B506" s="25">
        <v>0</v>
      </c>
      <c r="C506" s="25">
        <v>18</v>
      </c>
      <c r="D506" s="25">
        <f t="shared" si="231"/>
        <v>21</v>
      </c>
      <c r="E506" s="25" t="s">
        <v>795</v>
      </c>
      <c r="F506" s="25" t="s">
        <v>823</v>
      </c>
      <c r="G506" s="58" t="s">
        <v>819</v>
      </c>
      <c r="H506" s="58">
        <v>30</v>
      </c>
      <c r="I506" s="58" t="s">
        <v>63</v>
      </c>
      <c r="J506" s="25" t="str">
        <f t="shared" si="227"/>
        <v>任意4个英雄固有技能升级至30级</v>
      </c>
      <c r="K506" s="25">
        <f t="shared" si="228"/>
        <v>10018210</v>
      </c>
      <c r="L506" s="25" t="s">
        <v>797</v>
      </c>
      <c r="M506" s="25" t="e">
        <f t="shared" si="233"/>
        <v>#N/A</v>
      </c>
      <c r="N506" s="25" t="s">
        <v>254</v>
      </c>
      <c r="O506" s="25" t="s">
        <v>52</v>
      </c>
      <c r="P506" s="4" t="s">
        <v>491</v>
      </c>
      <c r="Q506" s="25" t="s">
        <v>52</v>
      </c>
      <c r="R506" s="25" t="s">
        <v>820</v>
      </c>
      <c r="S506" s="52" t="str">
        <f t="shared" si="229"/>
        <v>satisfyInherentSkillLvHeroCnt{level:30,cnt:4}</v>
      </c>
      <c r="T506" s="52" t="s">
        <v>52</v>
      </c>
      <c r="U506" s="52"/>
      <c r="V506" s="52" t="s">
        <v>798</v>
      </c>
      <c r="W506" s="25">
        <f>VLOOKUP(V506,[1]界面跳转!$I:$J,2,FALSE)</f>
        <v>7683</v>
      </c>
      <c r="Y506" s="25" t="s">
        <v>56</v>
      </c>
      <c r="Z506" s="25" t="s">
        <v>57</v>
      </c>
      <c r="AA506" s="25">
        <f t="shared" si="230"/>
        <v>18021</v>
      </c>
      <c r="AB506" s="25">
        <v>6622321</v>
      </c>
      <c r="AD506" s="25">
        <v>18</v>
      </c>
      <c r="AE506" s="25">
        <f t="shared" si="232"/>
        <v>21</v>
      </c>
    </row>
    <row r="507" spans="1:31" s="25" customFormat="1" x14ac:dyDescent="0.45">
      <c r="A507" s="25">
        <f t="shared" si="226"/>
        <v>10018220</v>
      </c>
      <c r="B507" s="25">
        <v>0</v>
      </c>
      <c r="C507" s="25">
        <v>18</v>
      </c>
      <c r="D507" s="25">
        <f t="shared" si="231"/>
        <v>22</v>
      </c>
      <c r="E507" s="25" t="s">
        <v>795</v>
      </c>
      <c r="F507" s="25" t="s">
        <v>824</v>
      </c>
      <c r="G507" s="58" t="s">
        <v>819</v>
      </c>
      <c r="H507" s="58">
        <v>35</v>
      </c>
      <c r="I507" s="58" t="s">
        <v>63</v>
      </c>
      <c r="J507" s="25" t="str">
        <f t="shared" si="227"/>
        <v>任意4个英雄固有技能升级至35级</v>
      </c>
      <c r="K507" s="25">
        <f t="shared" si="228"/>
        <v>10018220</v>
      </c>
      <c r="L507" s="25" t="s">
        <v>797</v>
      </c>
      <c r="M507" s="25" t="e">
        <f t="shared" si="233"/>
        <v>#N/A</v>
      </c>
      <c r="N507" s="25" t="s">
        <v>254</v>
      </c>
      <c r="O507" s="25" t="s">
        <v>52</v>
      </c>
      <c r="P507" s="4" t="s">
        <v>491</v>
      </c>
      <c r="Q507" s="25" t="s">
        <v>52</v>
      </c>
      <c r="R507" s="25" t="s">
        <v>820</v>
      </c>
      <c r="S507" s="52" t="str">
        <f t="shared" si="229"/>
        <v>satisfyInherentSkillLvHeroCnt{level:35,cnt:4}</v>
      </c>
      <c r="T507" s="52" t="s">
        <v>52</v>
      </c>
      <c r="U507" s="52"/>
      <c r="V507" s="52" t="s">
        <v>798</v>
      </c>
      <c r="W507" s="25">
        <f>VLOOKUP(V507,[1]界面跳转!$I:$J,2,FALSE)</f>
        <v>7683</v>
      </c>
      <c r="Y507" s="25" t="s">
        <v>56</v>
      </c>
      <c r="Z507" s="25" t="s">
        <v>57</v>
      </c>
      <c r="AA507" s="25">
        <f t="shared" si="230"/>
        <v>18022</v>
      </c>
      <c r="AB507" s="25">
        <v>6622322</v>
      </c>
      <c r="AD507" s="25">
        <v>18</v>
      </c>
      <c r="AE507" s="25">
        <f t="shared" si="232"/>
        <v>22</v>
      </c>
    </row>
    <row r="508" spans="1:31" s="25" customFormat="1" x14ac:dyDescent="0.45">
      <c r="A508" s="25">
        <f t="shared" si="226"/>
        <v>10018230</v>
      </c>
      <c r="B508" s="25">
        <v>0</v>
      </c>
      <c r="C508" s="25">
        <v>18</v>
      </c>
      <c r="D508" s="25">
        <f t="shared" si="231"/>
        <v>23</v>
      </c>
      <c r="E508" s="25" t="s">
        <v>795</v>
      </c>
      <c r="F508" s="25" t="s">
        <v>825</v>
      </c>
      <c r="G508" s="58" t="s">
        <v>819</v>
      </c>
      <c r="H508" s="58">
        <v>40</v>
      </c>
      <c r="I508" s="58" t="s">
        <v>63</v>
      </c>
      <c r="J508" s="25" t="str">
        <f t="shared" si="227"/>
        <v>任意4个英雄固有技能升级至40级</v>
      </c>
      <c r="K508" s="25">
        <f t="shared" si="228"/>
        <v>10018230</v>
      </c>
      <c r="L508" s="25" t="s">
        <v>797</v>
      </c>
      <c r="M508" s="25" t="e">
        <f t="shared" si="233"/>
        <v>#N/A</v>
      </c>
      <c r="N508" s="25" t="s">
        <v>254</v>
      </c>
      <c r="O508" s="25" t="s">
        <v>52</v>
      </c>
      <c r="P508" s="4" t="s">
        <v>491</v>
      </c>
      <c r="Q508" s="25" t="s">
        <v>52</v>
      </c>
      <c r="R508" s="25" t="s">
        <v>820</v>
      </c>
      <c r="S508" s="52" t="str">
        <f t="shared" si="229"/>
        <v>satisfyInherentSkillLvHeroCnt{level:40,cnt:4}</v>
      </c>
      <c r="T508" s="52" t="s">
        <v>52</v>
      </c>
      <c r="U508" s="52"/>
      <c r="V508" s="52" t="s">
        <v>798</v>
      </c>
      <c r="W508" s="25">
        <f>VLOOKUP(V508,[1]界面跳转!$I:$J,2,FALSE)</f>
        <v>7683</v>
      </c>
      <c r="Y508" s="25" t="s">
        <v>56</v>
      </c>
      <c r="Z508" s="25" t="s">
        <v>57</v>
      </c>
      <c r="AA508" s="25">
        <f t="shared" si="230"/>
        <v>18023</v>
      </c>
      <c r="AB508" s="25">
        <v>6622323</v>
      </c>
      <c r="AD508" s="25">
        <v>18</v>
      </c>
      <c r="AE508" s="25">
        <f t="shared" si="232"/>
        <v>23</v>
      </c>
    </row>
    <row r="509" spans="1:31" s="25" customFormat="1" x14ac:dyDescent="0.45">
      <c r="A509" s="25">
        <f t="shared" si="226"/>
        <v>10018240</v>
      </c>
      <c r="B509" s="25">
        <v>0</v>
      </c>
      <c r="C509" s="25">
        <v>18</v>
      </c>
      <c r="D509" s="25">
        <f t="shared" si="231"/>
        <v>24</v>
      </c>
      <c r="E509" s="25" t="s">
        <v>795</v>
      </c>
      <c r="F509" s="25" t="s">
        <v>826</v>
      </c>
      <c r="G509" s="58" t="s">
        <v>827</v>
      </c>
      <c r="H509" s="58">
        <v>15</v>
      </c>
      <c r="I509" s="58" t="s">
        <v>63</v>
      </c>
      <c r="J509" s="25" t="str">
        <f t="shared" si="227"/>
        <v>任意6个英雄固有技能升级至15级</v>
      </c>
      <c r="K509" s="25">
        <f t="shared" si="228"/>
        <v>10018240</v>
      </c>
      <c r="L509" s="25" t="s">
        <v>797</v>
      </c>
      <c r="M509" s="25" t="e">
        <f t="shared" si="233"/>
        <v>#N/A</v>
      </c>
      <c r="N509" s="25" t="s">
        <v>254</v>
      </c>
      <c r="O509" s="25" t="s">
        <v>52</v>
      </c>
      <c r="P509" s="4" t="s">
        <v>491</v>
      </c>
      <c r="Q509" s="25" t="s">
        <v>52</v>
      </c>
      <c r="R509" s="25" t="s">
        <v>828</v>
      </c>
      <c r="S509" s="52" t="str">
        <f t="shared" si="229"/>
        <v>satisfyInherentSkillLvHeroCnt{level:15,cnt:6}</v>
      </c>
      <c r="T509" s="52" t="s">
        <v>52</v>
      </c>
      <c r="U509" s="52"/>
      <c r="V509" s="52" t="s">
        <v>798</v>
      </c>
      <c r="W509" s="25">
        <f>VLOOKUP(V509,[1]界面跳转!$I:$J,2,FALSE)</f>
        <v>7683</v>
      </c>
      <c r="Y509" s="25" t="s">
        <v>56</v>
      </c>
      <c r="Z509" s="25" t="s">
        <v>57</v>
      </c>
      <c r="AA509" s="25">
        <f t="shared" si="230"/>
        <v>18024</v>
      </c>
      <c r="AB509" s="25">
        <v>6622324</v>
      </c>
      <c r="AD509" s="25">
        <v>18</v>
      </c>
      <c r="AE509" s="25">
        <f t="shared" si="232"/>
        <v>24</v>
      </c>
    </row>
    <row r="510" spans="1:31" s="25" customFormat="1" x14ac:dyDescent="0.45">
      <c r="A510" s="25">
        <f t="shared" si="226"/>
        <v>10018250</v>
      </c>
      <c r="B510" s="25">
        <v>0</v>
      </c>
      <c r="C510" s="25">
        <v>18</v>
      </c>
      <c r="D510" s="25">
        <f t="shared" si="231"/>
        <v>25</v>
      </c>
      <c r="E510" s="25" t="s">
        <v>795</v>
      </c>
      <c r="F510" s="25" t="s">
        <v>829</v>
      </c>
      <c r="G510" s="58" t="s">
        <v>827</v>
      </c>
      <c r="H510" s="58">
        <v>20</v>
      </c>
      <c r="I510" s="58" t="s">
        <v>63</v>
      </c>
      <c r="J510" s="25" t="str">
        <f t="shared" si="227"/>
        <v>任意6个英雄固有技能升级至20级</v>
      </c>
      <c r="K510" s="25">
        <f t="shared" si="228"/>
        <v>10018250</v>
      </c>
      <c r="L510" s="25" t="s">
        <v>797</v>
      </c>
      <c r="M510" s="25" t="e">
        <f t="shared" si="233"/>
        <v>#N/A</v>
      </c>
      <c r="N510" s="25" t="s">
        <v>254</v>
      </c>
      <c r="O510" s="25" t="s">
        <v>52</v>
      </c>
      <c r="P510" s="4" t="s">
        <v>491</v>
      </c>
      <c r="Q510" s="25" t="s">
        <v>52</v>
      </c>
      <c r="R510" s="25" t="s">
        <v>828</v>
      </c>
      <c r="S510" s="52" t="str">
        <f t="shared" si="229"/>
        <v>satisfyInherentSkillLvHeroCnt{level:20,cnt:6}</v>
      </c>
      <c r="T510" s="52" t="s">
        <v>52</v>
      </c>
      <c r="U510" s="52"/>
      <c r="V510" s="52" t="s">
        <v>798</v>
      </c>
      <c r="W510" s="25">
        <f>VLOOKUP(V510,[1]界面跳转!$I:$J,2,FALSE)</f>
        <v>7683</v>
      </c>
      <c r="Y510" s="25" t="s">
        <v>56</v>
      </c>
      <c r="Z510" s="25" t="s">
        <v>57</v>
      </c>
      <c r="AA510" s="25">
        <f t="shared" si="230"/>
        <v>18025</v>
      </c>
      <c r="AB510" s="25">
        <v>6622325</v>
      </c>
      <c r="AD510" s="25">
        <v>18</v>
      </c>
      <c r="AE510" s="25">
        <f t="shared" si="232"/>
        <v>25</v>
      </c>
    </row>
    <row r="511" spans="1:31" s="25" customFormat="1" x14ac:dyDescent="0.45">
      <c r="A511" s="25">
        <f t="shared" si="226"/>
        <v>10018260</v>
      </c>
      <c r="B511" s="25">
        <v>0</v>
      </c>
      <c r="C511" s="25">
        <v>18</v>
      </c>
      <c r="D511" s="25">
        <f t="shared" si="231"/>
        <v>26</v>
      </c>
      <c r="E511" s="25" t="s">
        <v>795</v>
      </c>
      <c r="F511" s="25" t="s">
        <v>830</v>
      </c>
      <c r="G511" s="58" t="s">
        <v>827</v>
      </c>
      <c r="H511" s="58">
        <v>25</v>
      </c>
      <c r="I511" s="58" t="s">
        <v>63</v>
      </c>
      <c r="J511" s="25" t="str">
        <f t="shared" si="227"/>
        <v>任意6个英雄固有技能升级至25级</v>
      </c>
      <c r="K511" s="25">
        <f t="shared" si="228"/>
        <v>10018260</v>
      </c>
      <c r="L511" s="25" t="s">
        <v>797</v>
      </c>
      <c r="M511" s="25" t="e">
        <f t="shared" si="233"/>
        <v>#N/A</v>
      </c>
      <c r="N511" s="25" t="s">
        <v>254</v>
      </c>
      <c r="O511" s="25" t="s">
        <v>52</v>
      </c>
      <c r="P511" s="4" t="s">
        <v>491</v>
      </c>
      <c r="Q511" s="25" t="s">
        <v>52</v>
      </c>
      <c r="R511" s="25" t="s">
        <v>828</v>
      </c>
      <c r="S511" s="52" t="str">
        <f t="shared" si="229"/>
        <v>satisfyInherentSkillLvHeroCnt{level:25,cnt:6}</v>
      </c>
      <c r="T511" s="52" t="s">
        <v>52</v>
      </c>
      <c r="U511" s="52"/>
      <c r="V511" s="52" t="s">
        <v>798</v>
      </c>
      <c r="W511" s="25">
        <f>VLOOKUP(V511,[1]界面跳转!$I:$J,2,FALSE)</f>
        <v>7683</v>
      </c>
      <c r="Y511" s="25" t="s">
        <v>56</v>
      </c>
      <c r="Z511" s="25" t="s">
        <v>57</v>
      </c>
      <c r="AA511" s="25">
        <f t="shared" si="230"/>
        <v>18026</v>
      </c>
      <c r="AB511" s="25">
        <v>6622326</v>
      </c>
      <c r="AD511" s="25">
        <v>18</v>
      </c>
      <c r="AE511" s="25">
        <f t="shared" si="232"/>
        <v>26</v>
      </c>
    </row>
    <row r="512" spans="1:31" s="25" customFormat="1" x14ac:dyDescent="0.45">
      <c r="A512" s="25">
        <f t="shared" si="226"/>
        <v>10018270</v>
      </c>
      <c r="B512" s="25">
        <v>0</v>
      </c>
      <c r="C512" s="25">
        <v>18</v>
      </c>
      <c r="D512" s="25">
        <f t="shared" si="231"/>
        <v>27</v>
      </c>
      <c r="E512" s="25" t="s">
        <v>795</v>
      </c>
      <c r="F512" s="25" t="s">
        <v>831</v>
      </c>
      <c r="G512" s="58" t="s">
        <v>827</v>
      </c>
      <c r="H512" s="58">
        <v>30</v>
      </c>
      <c r="I512" s="58" t="s">
        <v>63</v>
      </c>
      <c r="J512" s="25" t="str">
        <f t="shared" si="227"/>
        <v>任意6个英雄固有技能升级至30级</v>
      </c>
      <c r="K512" s="25">
        <f t="shared" si="228"/>
        <v>10018270</v>
      </c>
      <c r="L512" s="25" t="s">
        <v>797</v>
      </c>
      <c r="M512" s="25" t="e">
        <f t="shared" si="233"/>
        <v>#N/A</v>
      </c>
      <c r="N512" s="25" t="s">
        <v>254</v>
      </c>
      <c r="O512" s="25" t="s">
        <v>52</v>
      </c>
      <c r="P512" s="4" t="s">
        <v>491</v>
      </c>
      <c r="Q512" s="25" t="s">
        <v>52</v>
      </c>
      <c r="R512" s="25" t="s">
        <v>828</v>
      </c>
      <c r="S512" s="52" t="str">
        <f t="shared" si="229"/>
        <v>satisfyInherentSkillLvHeroCnt{level:30,cnt:6}</v>
      </c>
      <c r="T512" s="52" t="s">
        <v>52</v>
      </c>
      <c r="U512" s="52"/>
      <c r="V512" s="52" t="s">
        <v>798</v>
      </c>
      <c r="W512" s="25">
        <f>VLOOKUP(V512,[1]界面跳转!$I:$J,2,FALSE)</f>
        <v>7683</v>
      </c>
      <c r="Y512" s="25" t="s">
        <v>56</v>
      </c>
      <c r="Z512" s="25" t="s">
        <v>57</v>
      </c>
      <c r="AA512" s="25">
        <f t="shared" si="230"/>
        <v>18027</v>
      </c>
      <c r="AB512" s="25">
        <v>6622327</v>
      </c>
      <c r="AD512" s="25">
        <v>18</v>
      </c>
      <c r="AE512" s="25">
        <f t="shared" si="232"/>
        <v>27</v>
      </c>
    </row>
    <row r="513" spans="1:31" s="25" customFormat="1" x14ac:dyDescent="0.45">
      <c r="A513" s="25">
        <f t="shared" si="226"/>
        <v>10018280</v>
      </c>
      <c r="B513" s="25">
        <v>0</v>
      </c>
      <c r="C513" s="25">
        <v>18</v>
      </c>
      <c r="D513" s="25">
        <f t="shared" si="231"/>
        <v>28</v>
      </c>
      <c r="E513" s="25" t="s">
        <v>795</v>
      </c>
      <c r="F513" s="25" t="s">
        <v>832</v>
      </c>
      <c r="G513" s="58" t="s">
        <v>827</v>
      </c>
      <c r="H513" s="58">
        <v>35</v>
      </c>
      <c r="I513" s="58" t="s">
        <v>63</v>
      </c>
      <c r="J513" s="25" t="str">
        <f t="shared" si="227"/>
        <v>任意6个英雄固有技能升级至35级</v>
      </c>
      <c r="K513" s="25">
        <f t="shared" si="228"/>
        <v>10018280</v>
      </c>
      <c r="L513" s="25" t="s">
        <v>797</v>
      </c>
      <c r="M513" s="25" t="e">
        <f t="shared" si="233"/>
        <v>#N/A</v>
      </c>
      <c r="N513" s="25" t="s">
        <v>254</v>
      </c>
      <c r="O513" s="25" t="s">
        <v>52</v>
      </c>
      <c r="P513" s="4" t="s">
        <v>491</v>
      </c>
      <c r="Q513" s="25" t="s">
        <v>52</v>
      </c>
      <c r="R513" s="25" t="s">
        <v>828</v>
      </c>
      <c r="S513" s="52" t="str">
        <f t="shared" si="229"/>
        <v>satisfyInherentSkillLvHeroCnt{level:35,cnt:6}</v>
      </c>
      <c r="T513" s="52" t="s">
        <v>52</v>
      </c>
      <c r="U513" s="52"/>
      <c r="V513" s="52" t="s">
        <v>798</v>
      </c>
      <c r="W513" s="25">
        <f>VLOOKUP(V513,[1]界面跳转!$I:$J,2,FALSE)</f>
        <v>7683</v>
      </c>
      <c r="Y513" s="25" t="s">
        <v>56</v>
      </c>
      <c r="Z513" s="25" t="s">
        <v>57</v>
      </c>
      <c r="AA513" s="25">
        <f t="shared" si="230"/>
        <v>18028</v>
      </c>
      <c r="AB513" s="25">
        <v>6622328</v>
      </c>
      <c r="AD513" s="25">
        <v>18</v>
      </c>
      <c r="AE513" s="25">
        <f t="shared" si="232"/>
        <v>28</v>
      </c>
    </row>
    <row r="514" spans="1:31" s="25" customFormat="1" x14ac:dyDescent="0.45">
      <c r="A514" s="25">
        <f t="shared" si="226"/>
        <v>10018290</v>
      </c>
      <c r="B514" s="25">
        <v>0</v>
      </c>
      <c r="C514" s="25">
        <v>18</v>
      </c>
      <c r="D514" s="25">
        <f t="shared" si="231"/>
        <v>29</v>
      </c>
      <c r="E514" s="25" t="s">
        <v>795</v>
      </c>
      <c r="F514" s="25" t="s">
        <v>833</v>
      </c>
      <c r="G514" s="58" t="s">
        <v>827</v>
      </c>
      <c r="H514" s="58">
        <v>40</v>
      </c>
      <c r="I514" s="58" t="s">
        <v>63</v>
      </c>
      <c r="J514" s="25" t="str">
        <f t="shared" si="227"/>
        <v>任意6个英雄固有技能升级至40级</v>
      </c>
      <c r="K514" s="25">
        <f t="shared" si="228"/>
        <v>10018290</v>
      </c>
      <c r="L514" s="25" t="s">
        <v>797</v>
      </c>
      <c r="M514" s="25" t="e">
        <f t="shared" si="233"/>
        <v>#N/A</v>
      </c>
      <c r="N514" s="25" t="s">
        <v>254</v>
      </c>
      <c r="O514" s="25" t="s">
        <v>52</v>
      </c>
      <c r="P514" s="4" t="s">
        <v>491</v>
      </c>
      <c r="Q514" s="25" t="s">
        <v>52</v>
      </c>
      <c r="R514" s="25" t="s">
        <v>828</v>
      </c>
      <c r="S514" s="52" t="str">
        <f t="shared" si="229"/>
        <v>satisfyInherentSkillLvHeroCnt{level:40,cnt:6}</v>
      </c>
      <c r="T514" s="52" t="s">
        <v>52</v>
      </c>
      <c r="U514" s="52"/>
      <c r="V514" s="52" t="s">
        <v>798</v>
      </c>
      <c r="W514" s="25">
        <f>VLOOKUP(V514,[1]界面跳转!$I:$J,2,FALSE)</f>
        <v>7683</v>
      </c>
      <c r="Y514" s="25" t="s">
        <v>56</v>
      </c>
      <c r="Z514" s="25" t="s">
        <v>57</v>
      </c>
      <c r="AA514" s="25">
        <f t="shared" si="230"/>
        <v>18029</v>
      </c>
      <c r="AB514" s="25">
        <v>6622329</v>
      </c>
      <c r="AD514" s="25">
        <v>18</v>
      </c>
      <c r="AE514" s="25">
        <f t="shared" si="232"/>
        <v>29</v>
      </c>
    </row>
    <row r="515" spans="1:31" s="25" customFormat="1" x14ac:dyDescent="0.45">
      <c r="A515" s="25">
        <f t="shared" si="226"/>
        <v>10018300</v>
      </c>
      <c r="B515" s="25">
        <v>0</v>
      </c>
      <c r="C515" s="25">
        <v>18</v>
      </c>
      <c r="D515" s="25">
        <f t="shared" si="231"/>
        <v>30</v>
      </c>
      <c r="E515" s="25" t="s">
        <v>795</v>
      </c>
      <c r="F515" s="25" t="s">
        <v>834</v>
      </c>
      <c r="G515" s="58" t="s">
        <v>835</v>
      </c>
      <c r="H515" s="58">
        <v>15</v>
      </c>
      <c r="I515" s="58" t="s">
        <v>63</v>
      </c>
      <c r="J515" s="25" t="str">
        <f t="shared" si="227"/>
        <v>任意9个英雄固有技能升级至15级</v>
      </c>
      <c r="K515" s="25">
        <f t="shared" si="228"/>
        <v>10018300</v>
      </c>
      <c r="L515" s="25" t="s">
        <v>797</v>
      </c>
      <c r="M515" s="25" t="e">
        <f t="shared" si="233"/>
        <v>#N/A</v>
      </c>
      <c r="N515" s="25" t="s">
        <v>254</v>
      </c>
      <c r="O515" s="25" t="s">
        <v>52</v>
      </c>
      <c r="P515" s="4" t="s">
        <v>491</v>
      </c>
      <c r="Q515" s="25" t="s">
        <v>52</v>
      </c>
      <c r="R515" s="25" t="s">
        <v>836</v>
      </c>
      <c r="S515" s="52" t="str">
        <f t="shared" si="229"/>
        <v>satisfyInherentSkillLvHeroCnt{level:15,cnt:9}</v>
      </c>
      <c r="T515" s="52" t="s">
        <v>52</v>
      </c>
      <c r="U515" s="52"/>
      <c r="V515" s="52" t="s">
        <v>798</v>
      </c>
      <c r="W515" s="25">
        <f>VLOOKUP(V515,[1]界面跳转!$I:$J,2,FALSE)</f>
        <v>7683</v>
      </c>
      <c r="Y515" s="25" t="s">
        <v>56</v>
      </c>
      <c r="Z515" s="25" t="s">
        <v>57</v>
      </c>
      <c r="AA515" s="25">
        <f t="shared" si="230"/>
        <v>18030</v>
      </c>
      <c r="AB515" s="25">
        <v>6622330</v>
      </c>
      <c r="AD515" s="25">
        <v>18</v>
      </c>
      <c r="AE515" s="25">
        <f t="shared" si="232"/>
        <v>30</v>
      </c>
    </row>
    <row r="516" spans="1:31" s="25" customFormat="1" x14ac:dyDescent="0.45">
      <c r="A516" s="25">
        <f t="shared" si="226"/>
        <v>10018310</v>
      </c>
      <c r="B516" s="25">
        <v>0</v>
      </c>
      <c r="C516" s="25">
        <v>18</v>
      </c>
      <c r="D516" s="25">
        <f t="shared" si="231"/>
        <v>31</v>
      </c>
      <c r="E516" s="25" t="s">
        <v>795</v>
      </c>
      <c r="F516" s="25" t="s">
        <v>837</v>
      </c>
      <c r="G516" s="58" t="s">
        <v>835</v>
      </c>
      <c r="H516" s="58">
        <v>20</v>
      </c>
      <c r="I516" s="58" t="s">
        <v>63</v>
      </c>
      <c r="J516" s="25" t="str">
        <f t="shared" si="227"/>
        <v>任意9个英雄固有技能升级至20级</v>
      </c>
      <c r="K516" s="25">
        <f t="shared" si="228"/>
        <v>10018310</v>
      </c>
      <c r="L516" s="25" t="s">
        <v>797</v>
      </c>
      <c r="M516" s="25" t="e">
        <f t="shared" si="233"/>
        <v>#N/A</v>
      </c>
      <c r="N516" s="25" t="s">
        <v>254</v>
      </c>
      <c r="O516" s="25" t="s">
        <v>52</v>
      </c>
      <c r="P516" s="4" t="s">
        <v>491</v>
      </c>
      <c r="Q516" s="25" t="s">
        <v>52</v>
      </c>
      <c r="R516" s="25" t="s">
        <v>836</v>
      </c>
      <c r="S516" s="52" t="str">
        <f t="shared" si="229"/>
        <v>satisfyInherentSkillLvHeroCnt{level:20,cnt:9}</v>
      </c>
      <c r="T516" s="52" t="s">
        <v>52</v>
      </c>
      <c r="U516" s="52"/>
      <c r="V516" s="52" t="s">
        <v>798</v>
      </c>
      <c r="W516" s="25">
        <f>VLOOKUP(V516,[1]界面跳转!$I:$J,2,FALSE)</f>
        <v>7683</v>
      </c>
      <c r="Y516" s="25" t="s">
        <v>56</v>
      </c>
      <c r="Z516" s="25" t="s">
        <v>57</v>
      </c>
      <c r="AA516" s="25">
        <f t="shared" si="230"/>
        <v>18031</v>
      </c>
      <c r="AB516" s="25">
        <v>6622331</v>
      </c>
      <c r="AD516" s="25">
        <v>18</v>
      </c>
      <c r="AE516" s="25">
        <f t="shared" si="232"/>
        <v>31</v>
      </c>
    </row>
    <row r="517" spans="1:31" s="25" customFormat="1" x14ac:dyDescent="0.45">
      <c r="A517" s="25">
        <f t="shared" si="226"/>
        <v>10018320</v>
      </c>
      <c r="B517" s="25">
        <v>0</v>
      </c>
      <c r="C517" s="25">
        <v>18</v>
      </c>
      <c r="D517" s="25">
        <f t="shared" si="231"/>
        <v>32</v>
      </c>
      <c r="E517" s="25" t="s">
        <v>795</v>
      </c>
      <c r="F517" s="25" t="s">
        <v>838</v>
      </c>
      <c r="G517" s="58" t="s">
        <v>835</v>
      </c>
      <c r="H517" s="58">
        <v>25</v>
      </c>
      <c r="I517" s="58" t="s">
        <v>63</v>
      </c>
      <c r="J517" s="25" t="str">
        <f t="shared" si="227"/>
        <v>任意9个英雄固有技能升级至25级</v>
      </c>
      <c r="K517" s="25">
        <f t="shared" si="228"/>
        <v>10018320</v>
      </c>
      <c r="L517" s="25" t="s">
        <v>797</v>
      </c>
      <c r="M517" s="25" t="e">
        <f t="shared" si="233"/>
        <v>#N/A</v>
      </c>
      <c r="N517" s="25" t="s">
        <v>254</v>
      </c>
      <c r="O517" s="25" t="s">
        <v>52</v>
      </c>
      <c r="P517" s="4" t="s">
        <v>491</v>
      </c>
      <c r="Q517" s="25" t="s">
        <v>52</v>
      </c>
      <c r="R517" s="25" t="s">
        <v>836</v>
      </c>
      <c r="S517" s="52" t="str">
        <f t="shared" si="229"/>
        <v>satisfyInherentSkillLvHeroCnt{level:25,cnt:9}</v>
      </c>
      <c r="T517" s="52" t="s">
        <v>52</v>
      </c>
      <c r="U517" s="52"/>
      <c r="V517" s="52" t="s">
        <v>798</v>
      </c>
      <c r="W517" s="25">
        <f>VLOOKUP(V517,[1]界面跳转!$I:$J,2,FALSE)</f>
        <v>7683</v>
      </c>
      <c r="Y517" s="25" t="s">
        <v>56</v>
      </c>
      <c r="Z517" s="25" t="s">
        <v>57</v>
      </c>
      <c r="AA517" s="25">
        <f t="shared" si="230"/>
        <v>18032</v>
      </c>
      <c r="AB517" s="25">
        <v>6622332</v>
      </c>
      <c r="AD517" s="25">
        <v>18</v>
      </c>
      <c r="AE517" s="25">
        <f t="shared" si="232"/>
        <v>32</v>
      </c>
    </row>
    <row r="518" spans="1:31" s="25" customFormat="1" x14ac:dyDescent="0.45">
      <c r="A518" s="25">
        <f t="shared" si="226"/>
        <v>10018330</v>
      </c>
      <c r="B518" s="25">
        <v>0</v>
      </c>
      <c r="C518" s="25">
        <v>18</v>
      </c>
      <c r="D518" s="25">
        <f t="shared" si="231"/>
        <v>33</v>
      </c>
      <c r="E518" s="25" t="s">
        <v>795</v>
      </c>
      <c r="F518" s="25" t="s">
        <v>839</v>
      </c>
      <c r="G518" s="58" t="s">
        <v>835</v>
      </c>
      <c r="H518" s="58">
        <v>30</v>
      </c>
      <c r="I518" s="58" t="s">
        <v>63</v>
      </c>
      <c r="J518" s="25" t="str">
        <f t="shared" si="227"/>
        <v>任意9个英雄固有技能升级至30级</v>
      </c>
      <c r="K518" s="25">
        <f t="shared" si="228"/>
        <v>10018330</v>
      </c>
      <c r="L518" s="25" t="s">
        <v>797</v>
      </c>
      <c r="M518" s="25" t="e">
        <f t="shared" si="233"/>
        <v>#N/A</v>
      </c>
      <c r="N518" s="25" t="s">
        <v>254</v>
      </c>
      <c r="O518" s="25" t="s">
        <v>52</v>
      </c>
      <c r="P518" s="4" t="s">
        <v>491</v>
      </c>
      <c r="Q518" s="25" t="s">
        <v>52</v>
      </c>
      <c r="R518" s="25" t="s">
        <v>836</v>
      </c>
      <c r="S518" s="52" t="str">
        <f t="shared" si="229"/>
        <v>satisfyInherentSkillLvHeroCnt{level:30,cnt:9}</v>
      </c>
      <c r="T518" s="52" t="s">
        <v>52</v>
      </c>
      <c r="U518" s="52"/>
      <c r="V518" s="52" t="s">
        <v>798</v>
      </c>
      <c r="W518" s="25">
        <f>VLOOKUP(V518,[1]界面跳转!$I:$J,2,FALSE)</f>
        <v>7683</v>
      </c>
      <c r="Y518" s="25" t="s">
        <v>56</v>
      </c>
      <c r="Z518" s="25" t="s">
        <v>57</v>
      </c>
      <c r="AA518" s="25">
        <f t="shared" si="230"/>
        <v>18033</v>
      </c>
      <c r="AB518" s="25">
        <v>6622333</v>
      </c>
      <c r="AD518" s="25">
        <v>18</v>
      </c>
      <c r="AE518" s="25">
        <f t="shared" si="232"/>
        <v>33</v>
      </c>
    </row>
    <row r="519" spans="1:31" s="25" customFormat="1" x14ac:dyDescent="0.45">
      <c r="A519" s="25">
        <f t="shared" si="226"/>
        <v>10018340</v>
      </c>
      <c r="B519" s="25">
        <v>0</v>
      </c>
      <c r="C519" s="25">
        <v>18</v>
      </c>
      <c r="D519" s="25">
        <f t="shared" si="231"/>
        <v>34</v>
      </c>
      <c r="E519" s="25" t="s">
        <v>795</v>
      </c>
      <c r="F519" s="25" t="s">
        <v>840</v>
      </c>
      <c r="G519" s="58" t="s">
        <v>835</v>
      </c>
      <c r="H519" s="58">
        <v>35</v>
      </c>
      <c r="I519" s="58" t="s">
        <v>63</v>
      </c>
      <c r="J519" s="25" t="str">
        <f t="shared" si="227"/>
        <v>任意9个英雄固有技能升级至35级</v>
      </c>
      <c r="K519" s="25">
        <f t="shared" si="228"/>
        <v>10018340</v>
      </c>
      <c r="L519" s="25" t="s">
        <v>797</v>
      </c>
      <c r="M519" s="25" t="e">
        <f t="shared" si="233"/>
        <v>#N/A</v>
      </c>
      <c r="N519" s="25" t="s">
        <v>254</v>
      </c>
      <c r="O519" s="25" t="s">
        <v>52</v>
      </c>
      <c r="P519" s="4" t="s">
        <v>491</v>
      </c>
      <c r="Q519" s="25" t="s">
        <v>52</v>
      </c>
      <c r="R519" s="25" t="s">
        <v>836</v>
      </c>
      <c r="S519" s="52" t="str">
        <f t="shared" si="229"/>
        <v>satisfyInherentSkillLvHeroCnt{level:35,cnt:9}</v>
      </c>
      <c r="T519" s="52" t="s">
        <v>52</v>
      </c>
      <c r="U519" s="52"/>
      <c r="V519" s="52" t="s">
        <v>798</v>
      </c>
      <c r="W519" s="25">
        <f>VLOOKUP(V519,[1]界面跳转!$I:$J,2,FALSE)</f>
        <v>7683</v>
      </c>
      <c r="Y519" s="25" t="s">
        <v>56</v>
      </c>
      <c r="Z519" s="25" t="s">
        <v>57</v>
      </c>
      <c r="AA519" s="25">
        <f t="shared" si="230"/>
        <v>18034</v>
      </c>
      <c r="AB519" s="25">
        <v>6622334</v>
      </c>
      <c r="AD519" s="25">
        <v>18</v>
      </c>
      <c r="AE519" s="25">
        <f t="shared" si="232"/>
        <v>34</v>
      </c>
    </row>
    <row r="520" spans="1:31" s="25" customFormat="1" x14ac:dyDescent="0.45">
      <c r="A520" s="25">
        <f t="shared" si="226"/>
        <v>10018350</v>
      </c>
      <c r="B520" s="25">
        <v>0</v>
      </c>
      <c r="C520" s="25">
        <v>18</v>
      </c>
      <c r="D520" s="25">
        <f t="shared" si="231"/>
        <v>35</v>
      </c>
      <c r="E520" s="25" t="s">
        <v>795</v>
      </c>
      <c r="F520" s="25" t="s">
        <v>841</v>
      </c>
      <c r="G520" s="58" t="s">
        <v>835</v>
      </c>
      <c r="H520" s="58">
        <v>40</v>
      </c>
      <c r="I520" s="58" t="s">
        <v>63</v>
      </c>
      <c r="J520" s="25" t="str">
        <f t="shared" si="227"/>
        <v>任意9个英雄固有技能升级至40级</v>
      </c>
      <c r="K520" s="25">
        <f t="shared" si="228"/>
        <v>10018350</v>
      </c>
      <c r="L520" s="25" t="s">
        <v>797</v>
      </c>
      <c r="M520" s="25" t="e">
        <f t="shared" si="233"/>
        <v>#N/A</v>
      </c>
      <c r="N520" s="25" t="s">
        <v>254</v>
      </c>
      <c r="O520" s="25" t="s">
        <v>52</v>
      </c>
      <c r="P520" s="4" t="s">
        <v>491</v>
      </c>
      <c r="Q520" s="25" t="s">
        <v>52</v>
      </c>
      <c r="R520" s="25" t="s">
        <v>836</v>
      </c>
      <c r="S520" s="52" t="str">
        <f t="shared" si="229"/>
        <v>satisfyInherentSkillLvHeroCnt{level:40,cnt:9}</v>
      </c>
      <c r="T520" s="52" t="s">
        <v>52</v>
      </c>
      <c r="U520" s="52"/>
      <c r="V520" s="52" t="s">
        <v>798</v>
      </c>
      <c r="W520" s="25">
        <f>VLOOKUP(V520,[1]界面跳转!$I:$J,2,FALSE)</f>
        <v>7683</v>
      </c>
      <c r="Y520" s="25" t="s">
        <v>56</v>
      </c>
      <c r="Z520" s="25" t="s">
        <v>57</v>
      </c>
      <c r="AA520" s="25">
        <f t="shared" si="230"/>
        <v>18035</v>
      </c>
      <c r="AB520" s="25">
        <v>6622335</v>
      </c>
      <c r="AD520" s="25">
        <v>18</v>
      </c>
      <c r="AE520" s="25">
        <f t="shared" si="232"/>
        <v>35</v>
      </c>
    </row>
    <row r="521" spans="1:31" s="25" customFormat="1" x14ac:dyDescent="0.45">
      <c r="A521" s="25">
        <f t="shared" si="226"/>
        <v>10018360</v>
      </c>
      <c r="B521" s="25">
        <v>0</v>
      </c>
      <c r="C521" s="25">
        <v>18</v>
      </c>
      <c r="D521" s="25">
        <f t="shared" si="231"/>
        <v>36</v>
      </c>
      <c r="E521" s="25" t="s">
        <v>795</v>
      </c>
      <c r="F521" s="25" t="s">
        <v>842</v>
      </c>
      <c r="G521" s="58" t="s">
        <v>843</v>
      </c>
      <c r="H521" s="58">
        <v>15</v>
      </c>
      <c r="I521" s="58" t="s">
        <v>63</v>
      </c>
      <c r="J521" s="25" t="str">
        <f t="shared" si="227"/>
        <v>任意12个英雄固有技能升级至15级</v>
      </c>
      <c r="K521" s="25">
        <f t="shared" si="228"/>
        <v>10018360</v>
      </c>
      <c r="L521" s="25" t="s">
        <v>797</v>
      </c>
      <c r="M521" s="25" t="e">
        <f t="shared" si="233"/>
        <v>#N/A</v>
      </c>
      <c r="N521" s="25" t="s">
        <v>254</v>
      </c>
      <c r="O521" s="25" t="s">
        <v>52</v>
      </c>
      <c r="P521" s="4" t="s">
        <v>491</v>
      </c>
      <c r="Q521" s="25" t="s">
        <v>52</v>
      </c>
      <c r="R521" s="25" t="s">
        <v>844</v>
      </c>
      <c r="S521" s="52" t="str">
        <f t="shared" si="229"/>
        <v>satisfyInherentSkillLvHeroCnt{level:15,cnt:12}</v>
      </c>
      <c r="T521" s="52" t="s">
        <v>52</v>
      </c>
      <c r="U521" s="52"/>
      <c r="V521" s="52" t="s">
        <v>798</v>
      </c>
      <c r="W521" s="25">
        <f>VLOOKUP(V521,[1]界面跳转!$I:$J,2,FALSE)</f>
        <v>7683</v>
      </c>
      <c r="Y521" s="25" t="s">
        <v>56</v>
      </c>
      <c r="Z521" s="25" t="s">
        <v>57</v>
      </c>
      <c r="AA521" s="25">
        <f t="shared" si="230"/>
        <v>18036</v>
      </c>
      <c r="AB521" s="25">
        <v>6622336</v>
      </c>
      <c r="AD521" s="25">
        <v>18</v>
      </c>
      <c r="AE521" s="25">
        <f t="shared" si="232"/>
        <v>36</v>
      </c>
    </row>
    <row r="522" spans="1:31" s="25" customFormat="1" x14ac:dyDescent="0.45">
      <c r="A522" s="25">
        <f t="shared" si="226"/>
        <v>10018370</v>
      </c>
      <c r="B522" s="25">
        <v>0</v>
      </c>
      <c r="C522" s="25">
        <v>18</v>
      </c>
      <c r="D522" s="25">
        <f t="shared" si="231"/>
        <v>37</v>
      </c>
      <c r="E522" s="25" t="s">
        <v>795</v>
      </c>
      <c r="F522" s="25" t="s">
        <v>845</v>
      </c>
      <c r="G522" s="58" t="s">
        <v>843</v>
      </c>
      <c r="H522" s="58">
        <v>20</v>
      </c>
      <c r="I522" s="58" t="s">
        <v>63</v>
      </c>
      <c r="J522" s="25" t="str">
        <f t="shared" si="227"/>
        <v>任意12个英雄固有技能升级至20级</v>
      </c>
      <c r="K522" s="25">
        <f t="shared" si="228"/>
        <v>10018370</v>
      </c>
      <c r="L522" s="25" t="s">
        <v>797</v>
      </c>
      <c r="M522" s="25" t="e">
        <f t="shared" si="233"/>
        <v>#N/A</v>
      </c>
      <c r="N522" s="25" t="s">
        <v>254</v>
      </c>
      <c r="O522" s="25" t="s">
        <v>52</v>
      </c>
      <c r="P522" s="4" t="s">
        <v>491</v>
      </c>
      <c r="Q522" s="25" t="s">
        <v>52</v>
      </c>
      <c r="R522" s="25" t="s">
        <v>844</v>
      </c>
      <c r="S522" s="52" t="str">
        <f t="shared" si="229"/>
        <v>satisfyInherentSkillLvHeroCnt{level:20,cnt:12}</v>
      </c>
      <c r="T522" s="52" t="s">
        <v>52</v>
      </c>
      <c r="U522" s="52"/>
      <c r="V522" s="52" t="s">
        <v>798</v>
      </c>
      <c r="W522" s="25">
        <f>VLOOKUP(V522,[1]界面跳转!$I:$J,2,FALSE)</f>
        <v>7683</v>
      </c>
      <c r="Y522" s="25" t="s">
        <v>56</v>
      </c>
      <c r="Z522" s="25" t="s">
        <v>57</v>
      </c>
      <c r="AA522" s="25">
        <f t="shared" si="230"/>
        <v>18037</v>
      </c>
      <c r="AB522" s="25">
        <v>6622337</v>
      </c>
      <c r="AD522" s="25">
        <v>18</v>
      </c>
      <c r="AE522" s="25">
        <f t="shared" si="232"/>
        <v>37</v>
      </c>
    </row>
    <row r="523" spans="1:31" s="25" customFormat="1" x14ac:dyDescent="0.45">
      <c r="A523" s="25">
        <f t="shared" si="226"/>
        <v>10018380</v>
      </c>
      <c r="B523" s="25">
        <v>0</v>
      </c>
      <c r="C523" s="25">
        <v>18</v>
      </c>
      <c r="D523" s="25">
        <f t="shared" si="231"/>
        <v>38</v>
      </c>
      <c r="E523" s="25" t="s">
        <v>795</v>
      </c>
      <c r="F523" s="25" t="s">
        <v>846</v>
      </c>
      <c r="G523" s="58" t="s">
        <v>843</v>
      </c>
      <c r="H523" s="58">
        <v>25</v>
      </c>
      <c r="I523" s="58" t="s">
        <v>63</v>
      </c>
      <c r="J523" s="25" t="str">
        <f t="shared" si="227"/>
        <v>任意12个英雄固有技能升级至25级</v>
      </c>
      <c r="K523" s="25">
        <f t="shared" si="228"/>
        <v>10018380</v>
      </c>
      <c r="L523" s="25" t="s">
        <v>797</v>
      </c>
      <c r="M523" s="25" t="e">
        <f t="shared" si="233"/>
        <v>#N/A</v>
      </c>
      <c r="N523" s="25" t="s">
        <v>254</v>
      </c>
      <c r="O523" s="25" t="s">
        <v>52</v>
      </c>
      <c r="P523" s="4" t="s">
        <v>491</v>
      </c>
      <c r="Q523" s="25" t="s">
        <v>52</v>
      </c>
      <c r="R523" s="25" t="s">
        <v>844</v>
      </c>
      <c r="S523" s="52" t="str">
        <f t="shared" si="229"/>
        <v>satisfyInherentSkillLvHeroCnt{level:25,cnt:12}</v>
      </c>
      <c r="T523" s="52" t="s">
        <v>52</v>
      </c>
      <c r="U523" s="52"/>
      <c r="V523" s="52" t="s">
        <v>798</v>
      </c>
      <c r="W523" s="25">
        <f>VLOOKUP(V523,[1]界面跳转!$I:$J,2,FALSE)</f>
        <v>7683</v>
      </c>
      <c r="Y523" s="25" t="s">
        <v>56</v>
      </c>
      <c r="Z523" s="25" t="s">
        <v>57</v>
      </c>
      <c r="AA523" s="25">
        <f t="shared" si="230"/>
        <v>18038</v>
      </c>
      <c r="AB523" s="25">
        <v>6622338</v>
      </c>
      <c r="AD523" s="25">
        <v>18</v>
      </c>
      <c r="AE523" s="25">
        <f t="shared" si="232"/>
        <v>38</v>
      </c>
    </row>
    <row r="524" spans="1:31" s="25" customFormat="1" x14ac:dyDescent="0.45">
      <c r="A524" s="25">
        <f t="shared" si="226"/>
        <v>10018390</v>
      </c>
      <c r="B524" s="25">
        <v>0</v>
      </c>
      <c r="C524" s="25">
        <v>18</v>
      </c>
      <c r="D524" s="25">
        <f t="shared" si="231"/>
        <v>39</v>
      </c>
      <c r="E524" s="25" t="s">
        <v>795</v>
      </c>
      <c r="F524" s="25" t="s">
        <v>847</v>
      </c>
      <c r="G524" s="58" t="s">
        <v>843</v>
      </c>
      <c r="H524" s="58">
        <v>30</v>
      </c>
      <c r="I524" s="58" t="s">
        <v>63</v>
      </c>
      <c r="J524" s="25" t="str">
        <f t="shared" si="227"/>
        <v>任意12个英雄固有技能升级至30级</v>
      </c>
      <c r="K524" s="25">
        <f t="shared" si="228"/>
        <v>10018390</v>
      </c>
      <c r="L524" s="25" t="s">
        <v>797</v>
      </c>
      <c r="M524" s="25" t="e">
        <f t="shared" si="233"/>
        <v>#N/A</v>
      </c>
      <c r="N524" s="25" t="s">
        <v>254</v>
      </c>
      <c r="O524" s="25" t="s">
        <v>52</v>
      </c>
      <c r="P524" s="4" t="s">
        <v>491</v>
      </c>
      <c r="Q524" s="25" t="s">
        <v>52</v>
      </c>
      <c r="R524" s="25" t="s">
        <v>844</v>
      </c>
      <c r="S524" s="52" t="str">
        <f t="shared" si="229"/>
        <v>satisfyInherentSkillLvHeroCnt{level:30,cnt:12}</v>
      </c>
      <c r="T524" s="52" t="s">
        <v>52</v>
      </c>
      <c r="U524" s="52"/>
      <c r="V524" s="52" t="s">
        <v>798</v>
      </c>
      <c r="W524" s="25">
        <f>VLOOKUP(V524,[1]界面跳转!$I:$J,2,FALSE)</f>
        <v>7683</v>
      </c>
      <c r="Y524" s="25" t="s">
        <v>56</v>
      </c>
      <c r="Z524" s="25" t="s">
        <v>57</v>
      </c>
      <c r="AA524" s="25">
        <f t="shared" si="230"/>
        <v>18039</v>
      </c>
      <c r="AB524" s="25">
        <v>6622339</v>
      </c>
      <c r="AD524" s="25">
        <v>18</v>
      </c>
      <c r="AE524" s="25">
        <f t="shared" si="232"/>
        <v>39</v>
      </c>
    </row>
    <row r="525" spans="1:31" s="25" customFormat="1" x14ac:dyDescent="0.45">
      <c r="A525" s="25">
        <f t="shared" si="226"/>
        <v>10018400</v>
      </c>
      <c r="B525" s="25">
        <v>0</v>
      </c>
      <c r="C525" s="25">
        <v>18</v>
      </c>
      <c r="D525" s="25">
        <f t="shared" si="231"/>
        <v>40</v>
      </c>
      <c r="E525" s="25" t="s">
        <v>795</v>
      </c>
      <c r="F525" s="25" t="s">
        <v>848</v>
      </c>
      <c r="G525" s="58" t="s">
        <v>843</v>
      </c>
      <c r="H525" s="58">
        <v>35</v>
      </c>
      <c r="I525" s="58" t="s">
        <v>63</v>
      </c>
      <c r="J525" s="25" t="str">
        <f t="shared" si="227"/>
        <v>任意12个英雄固有技能升级至35级</v>
      </c>
      <c r="K525" s="25">
        <f t="shared" si="228"/>
        <v>10018400</v>
      </c>
      <c r="L525" s="25" t="s">
        <v>797</v>
      </c>
      <c r="M525" s="25" t="e">
        <f t="shared" si="233"/>
        <v>#N/A</v>
      </c>
      <c r="N525" s="25" t="s">
        <v>254</v>
      </c>
      <c r="O525" s="25" t="s">
        <v>52</v>
      </c>
      <c r="P525" s="4" t="s">
        <v>491</v>
      </c>
      <c r="Q525" s="25" t="s">
        <v>52</v>
      </c>
      <c r="R525" s="25" t="s">
        <v>844</v>
      </c>
      <c r="S525" s="52" t="str">
        <f t="shared" si="229"/>
        <v>satisfyInherentSkillLvHeroCnt{level:35,cnt:12}</v>
      </c>
      <c r="T525" s="52" t="s">
        <v>52</v>
      </c>
      <c r="U525" s="52"/>
      <c r="V525" s="52" t="s">
        <v>798</v>
      </c>
      <c r="W525" s="25">
        <f>VLOOKUP(V525,[1]界面跳转!$I:$J,2,FALSE)</f>
        <v>7683</v>
      </c>
      <c r="Y525" s="25" t="s">
        <v>56</v>
      </c>
      <c r="Z525" s="25" t="s">
        <v>57</v>
      </c>
      <c r="AA525" s="25">
        <f t="shared" si="230"/>
        <v>18040</v>
      </c>
      <c r="AB525" s="25">
        <v>6622340</v>
      </c>
      <c r="AD525" s="25">
        <v>18</v>
      </c>
      <c r="AE525" s="25">
        <f t="shared" si="232"/>
        <v>40</v>
      </c>
    </row>
    <row r="526" spans="1:31" s="25" customFormat="1" x14ac:dyDescent="0.45">
      <c r="A526" s="25">
        <f t="shared" si="226"/>
        <v>10018410</v>
      </c>
      <c r="B526" s="25">
        <v>0</v>
      </c>
      <c r="C526" s="25">
        <v>18</v>
      </c>
      <c r="D526" s="25">
        <f t="shared" si="231"/>
        <v>41</v>
      </c>
      <c r="E526" s="25" t="s">
        <v>795</v>
      </c>
      <c r="F526" s="25" t="s">
        <v>849</v>
      </c>
      <c r="G526" s="58" t="s">
        <v>843</v>
      </c>
      <c r="H526" s="58">
        <v>40</v>
      </c>
      <c r="I526" s="58" t="s">
        <v>63</v>
      </c>
      <c r="J526" s="25" t="str">
        <f t="shared" si="227"/>
        <v>任意12个英雄固有技能升级至40级</v>
      </c>
      <c r="K526" s="25">
        <f t="shared" si="228"/>
        <v>10018410</v>
      </c>
      <c r="L526" s="25" t="s">
        <v>797</v>
      </c>
      <c r="M526" s="25" t="e">
        <f t="shared" ref="M526:M557" si="234">VLOOKUP(L526,J:K,2,FALSE)</f>
        <v>#N/A</v>
      </c>
      <c r="N526" s="25" t="s">
        <v>254</v>
      </c>
      <c r="O526" s="25" t="s">
        <v>52</v>
      </c>
      <c r="P526" s="4" t="s">
        <v>491</v>
      </c>
      <c r="Q526" s="25" t="s">
        <v>52</v>
      </c>
      <c r="R526" s="25" t="s">
        <v>844</v>
      </c>
      <c r="S526" s="52" t="str">
        <f t="shared" si="229"/>
        <v>satisfyInherentSkillLvHeroCnt{level:40,cnt:12}</v>
      </c>
      <c r="T526" s="52" t="s">
        <v>52</v>
      </c>
      <c r="U526" s="52"/>
      <c r="V526" s="52" t="s">
        <v>798</v>
      </c>
      <c r="W526" s="25">
        <f>VLOOKUP(V526,[1]界面跳转!$I:$J,2,FALSE)</f>
        <v>7683</v>
      </c>
      <c r="Y526" s="25" t="s">
        <v>56</v>
      </c>
      <c r="Z526" s="25" t="s">
        <v>57</v>
      </c>
      <c r="AA526" s="25">
        <f t="shared" si="230"/>
        <v>18041</v>
      </c>
      <c r="AB526" s="25">
        <v>6622341</v>
      </c>
      <c r="AD526" s="25">
        <v>18</v>
      </c>
      <c r="AE526" s="25">
        <f t="shared" si="232"/>
        <v>41</v>
      </c>
    </row>
    <row r="527" spans="1:31" s="26" customFormat="1" x14ac:dyDescent="0.45">
      <c r="A527" s="26">
        <f t="shared" ref="A527:A549" si="235">10000000+B527*100000+C527*1000+D527*10</f>
        <v>10019010</v>
      </c>
      <c r="B527" s="26">
        <v>0</v>
      </c>
      <c r="C527" s="26">
        <v>19</v>
      </c>
      <c r="D527" s="26">
        <f t="shared" ref="D527:D590" si="236">IF(C527=C526,D526+1,1)</f>
        <v>1</v>
      </c>
      <c r="E527" s="26" t="s">
        <v>850</v>
      </c>
      <c r="F527" s="26" t="s">
        <v>851</v>
      </c>
      <c r="G527" s="54" t="s">
        <v>852</v>
      </c>
      <c r="H527" s="26">
        <v>1</v>
      </c>
      <c r="I527" s="26" t="s">
        <v>853</v>
      </c>
      <c r="J527" s="26" t="str">
        <f t="shared" ref="J527:J548" si="237">G527&amp;H527&amp;I527</f>
        <v>帝国军演通关第1层</v>
      </c>
      <c r="K527" s="26">
        <f t="shared" ref="K527:K548" si="238">A527</f>
        <v>10019010</v>
      </c>
      <c r="L527" s="26" t="s">
        <v>854</v>
      </c>
      <c r="M527" s="26">
        <v>11101120</v>
      </c>
      <c r="N527" s="26" t="s">
        <v>254</v>
      </c>
      <c r="O527" s="26" t="s">
        <v>52</v>
      </c>
      <c r="P527" s="4" t="s">
        <v>491</v>
      </c>
      <c r="Q527" s="26" t="s">
        <v>52</v>
      </c>
      <c r="R527" s="63" t="s">
        <v>3250</v>
      </c>
      <c r="S527" s="48" t="str">
        <f t="shared" ref="S527:S548" si="239">SUBSTITUTE(R527,"@@@",H527)</f>
        <v>babelTowerLevelReach{level:1,stage:6}</v>
      </c>
      <c r="T527" s="48" t="s">
        <v>52</v>
      </c>
      <c r="U527" s="48"/>
      <c r="V527" s="48" t="s">
        <v>855</v>
      </c>
      <c r="W527" s="26">
        <v>100173</v>
      </c>
      <c r="Y527" s="26" t="s">
        <v>56</v>
      </c>
      <c r="Z527" s="26" t="s">
        <v>57</v>
      </c>
      <c r="AA527" s="25">
        <f t="shared" si="230"/>
        <v>19001</v>
      </c>
      <c r="AB527" s="26">
        <v>6622301</v>
      </c>
      <c r="AD527" s="26">
        <v>19</v>
      </c>
      <c r="AE527" s="25">
        <f t="shared" si="232"/>
        <v>1</v>
      </c>
    </row>
    <row r="528" spans="1:31" s="26" customFormat="1" x14ac:dyDescent="0.45">
      <c r="A528" s="26">
        <f t="shared" si="235"/>
        <v>10019020</v>
      </c>
      <c r="B528" s="26">
        <v>0</v>
      </c>
      <c r="C528" s="26">
        <v>19</v>
      </c>
      <c r="D528" s="26">
        <f t="shared" si="236"/>
        <v>2</v>
      </c>
      <c r="E528" s="26" t="s">
        <v>850</v>
      </c>
      <c r="F528" s="26" t="s">
        <v>856</v>
      </c>
      <c r="G528" s="54" t="s">
        <v>852</v>
      </c>
      <c r="H528" s="26">
        <v>2</v>
      </c>
      <c r="I528" s="26" t="s">
        <v>853</v>
      </c>
      <c r="J528" s="26" t="str">
        <f t="shared" si="237"/>
        <v>帝国军演通关第2层</v>
      </c>
      <c r="K528" s="26">
        <f t="shared" si="238"/>
        <v>10019020</v>
      </c>
      <c r="L528" s="26" t="s">
        <v>854</v>
      </c>
      <c r="M528" s="26">
        <v>11101120</v>
      </c>
      <c r="N528" s="26" t="s">
        <v>254</v>
      </c>
      <c r="O528" s="26" t="s">
        <v>52</v>
      </c>
      <c r="P528" s="4" t="s">
        <v>491</v>
      </c>
      <c r="Q528" s="26" t="s">
        <v>52</v>
      </c>
      <c r="R528" s="63" t="s">
        <v>3250</v>
      </c>
      <c r="S528" s="48" t="str">
        <f t="shared" si="239"/>
        <v>babelTowerLevelReach{level:2,stage:6}</v>
      </c>
      <c r="T528" s="48" t="s">
        <v>52</v>
      </c>
      <c r="U528" s="48"/>
      <c r="V528" s="48" t="s">
        <v>855</v>
      </c>
      <c r="W528" s="26">
        <v>100173</v>
      </c>
      <c r="Y528" s="26" t="s">
        <v>56</v>
      </c>
      <c r="Z528" s="26" t="s">
        <v>57</v>
      </c>
      <c r="AA528" s="25">
        <f t="shared" si="230"/>
        <v>19002</v>
      </c>
      <c r="AB528" s="26">
        <v>6622302</v>
      </c>
      <c r="AD528" s="26">
        <v>19</v>
      </c>
      <c r="AE528" s="26">
        <f t="shared" ref="AE528:AE549" si="240">IF(AD528=AD527,AE527+1,1)</f>
        <v>2</v>
      </c>
    </row>
    <row r="529" spans="1:31" s="26" customFormat="1" x14ac:dyDescent="0.45">
      <c r="A529" s="26">
        <f t="shared" si="235"/>
        <v>10019030</v>
      </c>
      <c r="B529" s="26">
        <v>0</v>
      </c>
      <c r="C529" s="26">
        <v>19</v>
      </c>
      <c r="D529" s="26">
        <f t="shared" si="236"/>
        <v>3</v>
      </c>
      <c r="E529" s="26" t="s">
        <v>850</v>
      </c>
      <c r="F529" s="26" t="s">
        <v>857</v>
      </c>
      <c r="G529" s="54" t="s">
        <v>852</v>
      </c>
      <c r="H529" s="26">
        <v>3</v>
      </c>
      <c r="I529" s="26" t="s">
        <v>853</v>
      </c>
      <c r="J529" s="26" t="str">
        <f t="shared" si="237"/>
        <v>帝国军演通关第3层</v>
      </c>
      <c r="K529" s="26">
        <f t="shared" si="238"/>
        <v>10019030</v>
      </c>
      <c r="L529" s="26" t="s">
        <v>854</v>
      </c>
      <c r="M529" s="26">
        <v>11101120</v>
      </c>
      <c r="N529" s="26" t="s">
        <v>254</v>
      </c>
      <c r="O529" s="26" t="s">
        <v>52</v>
      </c>
      <c r="P529" s="4" t="s">
        <v>491</v>
      </c>
      <c r="Q529" s="26" t="s">
        <v>52</v>
      </c>
      <c r="R529" s="63" t="s">
        <v>3250</v>
      </c>
      <c r="S529" s="48" t="str">
        <f t="shared" si="239"/>
        <v>babelTowerLevelReach{level:3,stage:6}</v>
      </c>
      <c r="T529" s="48" t="s">
        <v>52</v>
      </c>
      <c r="U529" s="48"/>
      <c r="V529" s="48" t="s">
        <v>855</v>
      </c>
      <c r="W529" s="26">
        <v>100173</v>
      </c>
      <c r="Y529" s="26" t="s">
        <v>56</v>
      </c>
      <c r="Z529" s="26" t="s">
        <v>57</v>
      </c>
      <c r="AA529" s="25">
        <f t="shared" si="230"/>
        <v>19003</v>
      </c>
      <c r="AB529" s="26">
        <v>6622303</v>
      </c>
      <c r="AD529" s="26">
        <v>19</v>
      </c>
      <c r="AE529" s="26">
        <f t="shared" si="240"/>
        <v>3</v>
      </c>
    </row>
    <row r="530" spans="1:31" s="26" customFormat="1" x14ac:dyDescent="0.45">
      <c r="A530" s="26">
        <f t="shared" si="235"/>
        <v>10019040</v>
      </c>
      <c r="B530" s="26">
        <v>0</v>
      </c>
      <c r="C530" s="26">
        <v>19</v>
      </c>
      <c r="D530" s="26">
        <f t="shared" si="236"/>
        <v>4</v>
      </c>
      <c r="E530" s="26" t="s">
        <v>850</v>
      </c>
      <c r="F530" s="26" t="s">
        <v>858</v>
      </c>
      <c r="G530" s="54" t="s">
        <v>852</v>
      </c>
      <c r="H530" s="26">
        <v>4</v>
      </c>
      <c r="I530" s="26" t="s">
        <v>853</v>
      </c>
      <c r="J530" s="26" t="str">
        <f t="shared" si="237"/>
        <v>帝国军演通关第4层</v>
      </c>
      <c r="K530" s="26">
        <f t="shared" si="238"/>
        <v>10019040</v>
      </c>
      <c r="L530" s="26" t="s">
        <v>854</v>
      </c>
      <c r="M530" s="26">
        <v>11101120</v>
      </c>
      <c r="N530" s="26" t="s">
        <v>254</v>
      </c>
      <c r="O530" s="26" t="s">
        <v>52</v>
      </c>
      <c r="P530" s="4" t="s">
        <v>491</v>
      </c>
      <c r="Q530" s="26" t="s">
        <v>52</v>
      </c>
      <c r="R530" s="63" t="s">
        <v>3250</v>
      </c>
      <c r="S530" s="48" t="str">
        <f t="shared" si="239"/>
        <v>babelTowerLevelReach{level:4,stage:6}</v>
      </c>
      <c r="T530" s="48" t="s">
        <v>52</v>
      </c>
      <c r="U530" s="48"/>
      <c r="V530" s="48" t="s">
        <v>855</v>
      </c>
      <c r="W530" s="26">
        <v>100173</v>
      </c>
      <c r="Y530" s="26" t="s">
        <v>56</v>
      </c>
      <c r="Z530" s="26" t="s">
        <v>57</v>
      </c>
      <c r="AA530" s="25">
        <f t="shared" si="230"/>
        <v>19004</v>
      </c>
      <c r="AB530" s="26">
        <v>6622304</v>
      </c>
      <c r="AD530" s="26">
        <v>19</v>
      </c>
      <c r="AE530" s="26">
        <f t="shared" si="240"/>
        <v>4</v>
      </c>
    </row>
    <row r="531" spans="1:31" s="26" customFormat="1" x14ac:dyDescent="0.45">
      <c r="A531" s="26">
        <f t="shared" si="235"/>
        <v>10019050</v>
      </c>
      <c r="B531" s="26">
        <v>0</v>
      </c>
      <c r="C531" s="26">
        <v>19</v>
      </c>
      <c r="D531" s="26">
        <f t="shared" si="236"/>
        <v>5</v>
      </c>
      <c r="E531" s="26" t="s">
        <v>850</v>
      </c>
      <c r="F531" s="26" t="s">
        <v>859</v>
      </c>
      <c r="G531" s="54" t="s">
        <v>852</v>
      </c>
      <c r="H531" s="26">
        <v>5</v>
      </c>
      <c r="I531" s="26" t="s">
        <v>853</v>
      </c>
      <c r="J531" s="26" t="str">
        <f t="shared" si="237"/>
        <v>帝国军演通关第5层</v>
      </c>
      <c r="K531" s="26">
        <f t="shared" si="238"/>
        <v>10019050</v>
      </c>
      <c r="L531" s="26" t="s">
        <v>854</v>
      </c>
      <c r="M531" s="26">
        <v>11101120</v>
      </c>
      <c r="N531" s="26" t="s">
        <v>254</v>
      </c>
      <c r="O531" s="26" t="s">
        <v>860</v>
      </c>
      <c r="P531" s="4" t="s">
        <v>491</v>
      </c>
      <c r="Q531" s="26" t="s">
        <v>52</v>
      </c>
      <c r="R531" s="63" t="s">
        <v>3250</v>
      </c>
      <c r="S531" s="48" t="str">
        <f t="shared" si="239"/>
        <v>babelTowerLevelReach{level:5,stage:6}</v>
      </c>
      <c r="T531" s="48" t="s">
        <v>52</v>
      </c>
      <c r="U531" s="48"/>
      <c r="V531" s="48" t="s">
        <v>855</v>
      </c>
      <c r="W531" s="26">
        <v>100173</v>
      </c>
      <c r="Y531" s="26" t="s">
        <v>56</v>
      </c>
      <c r="Z531" s="26" t="s">
        <v>57</v>
      </c>
      <c r="AA531" s="25">
        <f t="shared" si="230"/>
        <v>19005</v>
      </c>
      <c r="AB531" s="26">
        <v>6622305</v>
      </c>
      <c r="AD531" s="26">
        <v>19</v>
      </c>
      <c r="AE531" s="26">
        <f t="shared" si="240"/>
        <v>5</v>
      </c>
    </row>
    <row r="532" spans="1:31" s="26" customFormat="1" x14ac:dyDescent="0.45">
      <c r="A532" s="26">
        <f t="shared" si="235"/>
        <v>10019060</v>
      </c>
      <c r="B532" s="26">
        <v>0</v>
      </c>
      <c r="C532" s="26">
        <v>19</v>
      </c>
      <c r="D532" s="26">
        <f t="shared" si="236"/>
        <v>6</v>
      </c>
      <c r="E532" s="26" t="s">
        <v>850</v>
      </c>
      <c r="F532" s="26" t="s">
        <v>861</v>
      </c>
      <c r="G532" s="54" t="s">
        <v>852</v>
      </c>
      <c r="H532" s="26">
        <v>6</v>
      </c>
      <c r="I532" s="26" t="s">
        <v>853</v>
      </c>
      <c r="J532" s="26" t="str">
        <f t="shared" si="237"/>
        <v>帝国军演通关第6层</v>
      </c>
      <c r="K532" s="26">
        <f t="shared" si="238"/>
        <v>10019060</v>
      </c>
      <c r="L532" s="26" t="s">
        <v>854</v>
      </c>
      <c r="M532" s="26">
        <v>11101120</v>
      </c>
      <c r="N532" s="26" t="s">
        <v>254</v>
      </c>
      <c r="O532" s="26" t="s">
        <v>52</v>
      </c>
      <c r="P532" s="4" t="s">
        <v>491</v>
      </c>
      <c r="Q532" s="26" t="s">
        <v>52</v>
      </c>
      <c r="R532" s="63" t="s">
        <v>3250</v>
      </c>
      <c r="S532" s="48" t="str">
        <f t="shared" si="239"/>
        <v>babelTowerLevelReach{level:6,stage:6}</v>
      </c>
      <c r="T532" s="48" t="s">
        <v>52</v>
      </c>
      <c r="U532" s="48"/>
      <c r="V532" s="48" t="s">
        <v>855</v>
      </c>
      <c r="W532" s="26">
        <v>100173</v>
      </c>
      <c r="Y532" s="26" t="s">
        <v>56</v>
      </c>
      <c r="Z532" s="26" t="s">
        <v>57</v>
      </c>
      <c r="AA532" s="25">
        <f t="shared" si="230"/>
        <v>19006</v>
      </c>
      <c r="AB532" s="26">
        <v>6622306</v>
      </c>
      <c r="AD532" s="26">
        <v>19</v>
      </c>
      <c r="AE532" s="26">
        <f t="shared" si="240"/>
        <v>6</v>
      </c>
    </row>
    <row r="533" spans="1:31" s="26" customFormat="1" x14ac:dyDescent="0.45">
      <c r="A533" s="26">
        <f t="shared" si="235"/>
        <v>10019070</v>
      </c>
      <c r="B533" s="26">
        <v>0</v>
      </c>
      <c r="C533" s="26">
        <v>19</v>
      </c>
      <c r="D533" s="26">
        <f t="shared" si="236"/>
        <v>7</v>
      </c>
      <c r="E533" s="26" t="s">
        <v>850</v>
      </c>
      <c r="F533" s="26" t="s">
        <v>862</v>
      </c>
      <c r="G533" s="54" t="s">
        <v>852</v>
      </c>
      <c r="H533" s="26">
        <v>7</v>
      </c>
      <c r="I533" s="26" t="s">
        <v>853</v>
      </c>
      <c r="J533" s="26" t="str">
        <f t="shared" si="237"/>
        <v>帝国军演通关第7层</v>
      </c>
      <c r="K533" s="26">
        <f t="shared" si="238"/>
        <v>10019070</v>
      </c>
      <c r="L533" s="26" t="s">
        <v>854</v>
      </c>
      <c r="M533" s="26">
        <v>11101120</v>
      </c>
      <c r="N533" s="26" t="s">
        <v>254</v>
      </c>
      <c r="O533" s="26" t="s">
        <v>52</v>
      </c>
      <c r="P533" s="4" t="s">
        <v>491</v>
      </c>
      <c r="Q533" s="26" t="s">
        <v>52</v>
      </c>
      <c r="R533" s="63" t="s">
        <v>3250</v>
      </c>
      <c r="S533" s="48" t="str">
        <f t="shared" si="239"/>
        <v>babelTowerLevelReach{level:7,stage:6}</v>
      </c>
      <c r="T533" s="48" t="s">
        <v>52</v>
      </c>
      <c r="U533" s="48"/>
      <c r="V533" s="48" t="s">
        <v>855</v>
      </c>
      <c r="W533" s="26">
        <v>100173</v>
      </c>
      <c r="Y533" s="26" t="s">
        <v>56</v>
      </c>
      <c r="Z533" s="26" t="s">
        <v>57</v>
      </c>
      <c r="AA533" s="25">
        <f t="shared" si="230"/>
        <v>19007</v>
      </c>
      <c r="AB533" s="26">
        <v>6622307</v>
      </c>
      <c r="AD533" s="26">
        <v>19</v>
      </c>
      <c r="AE533" s="26">
        <f t="shared" si="240"/>
        <v>7</v>
      </c>
    </row>
    <row r="534" spans="1:31" s="26" customFormat="1" x14ac:dyDescent="0.45">
      <c r="A534" s="26">
        <f t="shared" si="235"/>
        <v>10019080</v>
      </c>
      <c r="B534" s="26">
        <v>0</v>
      </c>
      <c r="C534" s="26">
        <v>19</v>
      </c>
      <c r="D534" s="26">
        <f t="shared" si="236"/>
        <v>8</v>
      </c>
      <c r="E534" s="26" t="s">
        <v>850</v>
      </c>
      <c r="F534" s="26" t="s">
        <v>863</v>
      </c>
      <c r="G534" s="54" t="s">
        <v>852</v>
      </c>
      <c r="H534" s="26">
        <v>8</v>
      </c>
      <c r="I534" s="26" t="s">
        <v>853</v>
      </c>
      <c r="J534" s="26" t="str">
        <f t="shared" si="237"/>
        <v>帝国军演通关第8层</v>
      </c>
      <c r="K534" s="26">
        <f t="shared" si="238"/>
        <v>10019080</v>
      </c>
      <c r="L534" s="26" t="s">
        <v>854</v>
      </c>
      <c r="M534" s="26">
        <v>11101120</v>
      </c>
      <c r="N534" s="26" t="s">
        <v>254</v>
      </c>
      <c r="O534" s="26" t="s">
        <v>52</v>
      </c>
      <c r="P534" s="4" t="s">
        <v>491</v>
      </c>
      <c r="Q534" s="26" t="s">
        <v>52</v>
      </c>
      <c r="R534" s="63" t="s">
        <v>3250</v>
      </c>
      <c r="S534" s="48" t="str">
        <f t="shared" si="239"/>
        <v>babelTowerLevelReach{level:8,stage:6}</v>
      </c>
      <c r="T534" s="48" t="s">
        <v>52</v>
      </c>
      <c r="U534" s="48"/>
      <c r="V534" s="48" t="s">
        <v>855</v>
      </c>
      <c r="W534" s="26">
        <v>100173</v>
      </c>
      <c r="Y534" s="26" t="s">
        <v>56</v>
      </c>
      <c r="Z534" s="26" t="s">
        <v>57</v>
      </c>
      <c r="AA534" s="25">
        <f t="shared" si="230"/>
        <v>19008</v>
      </c>
      <c r="AB534" s="26">
        <v>6622308</v>
      </c>
      <c r="AD534" s="26">
        <v>19</v>
      </c>
      <c r="AE534" s="26">
        <f t="shared" si="240"/>
        <v>8</v>
      </c>
    </row>
    <row r="535" spans="1:31" s="26" customFormat="1" x14ac:dyDescent="0.45">
      <c r="A535" s="26">
        <f t="shared" si="235"/>
        <v>10019090</v>
      </c>
      <c r="B535" s="26">
        <v>0</v>
      </c>
      <c r="C535" s="26">
        <v>19</v>
      </c>
      <c r="D535" s="26">
        <f t="shared" si="236"/>
        <v>9</v>
      </c>
      <c r="E535" s="26" t="s">
        <v>850</v>
      </c>
      <c r="F535" s="26" t="s">
        <v>864</v>
      </c>
      <c r="G535" s="54" t="s">
        <v>852</v>
      </c>
      <c r="H535" s="26">
        <v>9</v>
      </c>
      <c r="I535" s="26" t="s">
        <v>853</v>
      </c>
      <c r="J535" s="26" t="str">
        <f t="shared" si="237"/>
        <v>帝国军演通关第9层</v>
      </c>
      <c r="K535" s="26">
        <f t="shared" si="238"/>
        <v>10019090</v>
      </c>
      <c r="L535" s="26" t="s">
        <v>854</v>
      </c>
      <c r="M535" s="26">
        <v>11101120</v>
      </c>
      <c r="N535" s="26" t="s">
        <v>254</v>
      </c>
      <c r="O535" s="26" t="s">
        <v>52</v>
      </c>
      <c r="P535" s="4" t="s">
        <v>491</v>
      </c>
      <c r="Q535" s="26" t="s">
        <v>52</v>
      </c>
      <c r="R535" s="63" t="s">
        <v>3250</v>
      </c>
      <c r="S535" s="48" t="str">
        <f t="shared" si="239"/>
        <v>babelTowerLevelReach{level:9,stage:6}</v>
      </c>
      <c r="T535" s="48" t="s">
        <v>52</v>
      </c>
      <c r="U535" s="48"/>
      <c r="V535" s="48" t="s">
        <v>855</v>
      </c>
      <c r="W535" s="26">
        <v>100173</v>
      </c>
      <c r="Y535" s="26" t="s">
        <v>56</v>
      </c>
      <c r="Z535" s="26" t="s">
        <v>57</v>
      </c>
      <c r="AA535" s="25">
        <f t="shared" si="230"/>
        <v>19009</v>
      </c>
      <c r="AB535" s="26">
        <v>6622309</v>
      </c>
      <c r="AD535" s="26">
        <v>19</v>
      </c>
      <c r="AE535" s="26">
        <f t="shared" si="240"/>
        <v>9</v>
      </c>
    </row>
    <row r="536" spans="1:31" s="26" customFormat="1" x14ac:dyDescent="0.45">
      <c r="A536" s="26">
        <f t="shared" si="235"/>
        <v>10019100</v>
      </c>
      <c r="B536" s="26">
        <v>0</v>
      </c>
      <c r="C536" s="26">
        <v>19</v>
      </c>
      <c r="D536" s="26">
        <f t="shared" si="236"/>
        <v>10</v>
      </c>
      <c r="E536" s="26" t="s">
        <v>850</v>
      </c>
      <c r="F536" s="26" t="s">
        <v>865</v>
      </c>
      <c r="G536" s="54" t="s">
        <v>852</v>
      </c>
      <c r="H536" s="26">
        <v>10</v>
      </c>
      <c r="I536" s="26" t="s">
        <v>853</v>
      </c>
      <c r="J536" s="26" t="str">
        <f t="shared" si="237"/>
        <v>帝国军演通关第10层</v>
      </c>
      <c r="K536" s="26">
        <f t="shared" si="238"/>
        <v>10019100</v>
      </c>
      <c r="L536" s="26" t="s">
        <v>854</v>
      </c>
      <c r="M536" s="26">
        <v>11101120</v>
      </c>
      <c r="N536" s="26" t="s">
        <v>254</v>
      </c>
      <c r="O536" s="26" t="s">
        <v>52</v>
      </c>
      <c r="P536" s="4" t="s">
        <v>491</v>
      </c>
      <c r="Q536" s="26" t="s">
        <v>52</v>
      </c>
      <c r="R536" s="63" t="s">
        <v>3250</v>
      </c>
      <c r="S536" s="48" t="str">
        <f t="shared" si="239"/>
        <v>babelTowerLevelReach{level:10,stage:6}</v>
      </c>
      <c r="T536" s="48" t="s">
        <v>52</v>
      </c>
      <c r="U536" s="48"/>
      <c r="V536" s="48" t="s">
        <v>855</v>
      </c>
      <c r="W536" s="26">
        <v>100173</v>
      </c>
      <c r="Y536" s="26" t="s">
        <v>56</v>
      </c>
      <c r="Z536" s="26" t="s">
        <v>57</v>
      </c>
      <c r="AA536" s="25">
        <f t="shared" si="230"/>
        <v>19010</v>
      </c>
      <c r="AB536" s="26">
        <v>6622310</v>
      </c>
      <c r="AD536" s="26">
        <v>19</v>
      </c>
      <c r="AE536" s="26">
        <f t="shared" si="240"/>
        <v>10</v>
      </c>
    </row>
    <row r="537" spans="1:31" s="26" customFormat="1" x14ac:dyDescent="0.45">
      <c r="A537" s="26">
        <f t="shared" si="235"/>
        <v>10019110</v>
      </c>
      <c r="B537" s="26">
        <v>0</v>
      </c>
      <c r="C537" s="26">
        <v>19</v>
      </c>
      <c r="D537" s="26">
        <f t="shared" si="236"/>
        <v>11</v>
      </c>
      <c r="E537" s="26" t="s">
        <v>850</v>
      </c>
      <c r="F537" s="26" t="s">
        <v>866</v>
      </c>
      <c r="G537" s="54" t="s">
        <v>852</v>
      </c>
      <c r="H537" s="26">
        <v>12</v>
      </c>
      <c r="I537" s="26" t="s">
        <v>853</v>
      </c>
      <c r="J537" s="26" t="str">
        <f t="shared" si="237"/>
        <v>帝国军演通关第12层</v>
      </c>
      <c r="K537" s="26">
        <f t="shared" si="238"/>
        <v>10019110</v>
      </c>
      <c r="L537" s="26" t="s">
        <v>854</v>
      </c>
      <c r="M537" s="26">
        <v>11101120</v>
      </c>
      <c r="N537" s="26" t="s">
        <v>254</v>
      </c>
      <c r="O537" s="26" t="s">
        <v>52</v>
      </c>
      <c r="P537" s="4" t="s">
        <v>491</v>
      </c>
      <c r="Q537" s="26" t="s">
        <v>52</v>
      </c>
      <c r="R537" s="63" t="s">
        <v>3250</v>
      </c>
      <c r="S537" s="48" t="str">
        <f t="shared" si="239"/>
        <v>babelTowerLevelReach{level:12,stage:6}</v>
      </c>
      <c r="T537" s="48" t="s">
        <v>52</v>
      </c>
      <c r="U537" s="48"/>
      <c r="V537" s="48" t="s">
        <v>855</v>
      </c>
      <c r="W537" s="26">
        <v>100173</v>
      </c>
      <c r="Y537" s="26" t="s">
        <v>56</v>
      </c>
      <c r="Z537" s="26" t="s">
        <v>57</v>
      </c>
      <c r="AA537" s="25">
        <f t="shared" si="230"/>
        <v>19011</v>
      </c>
      <c r="AB537" s="26">
        <v>6622311</v>
      </c>
      <c r="AD537" s="26">
        <v>19</v>
      </c>
      <c r="AE537" s="26">
        <f t="shared" si="240"/>
        <v>11</v>
      </c>
    </row>
    <row r="538" spans="1:31" s="26" customFormat="1" x14ac:dyDescent="0.45">
      <c r="A538" s="26">
        <f t="shared" si="235"/>
        <v>10019120</v>
      </c>
      <c r="B538" s="26">
        <v>0</v>
      </c>
      <c r="C538" s="26">
        <v>19</v>
      </c>
      <c r="D538" s="26">
        <f t="shared" si="236"/>
        <v>12</v>
      </c>
      <c r="E538" s="26" t="s">
        <v>850</v>
      </c>
      <c r="F538" s="26" t="s">
        <v>867</v>
      </c>
      <c r="G538" s="54" t="s">
        <v>852</v>
      </c>
      <c r="H538" s="26">
        <v>14</v>
      </c>
      <c r="I538" s="26" t="s">
        <v>853</v>
      </c>
      <c r="J538" s="26" t="str">
        <f t="shared" si="237"/>
        <v>帝国军演通关第14层</v>
      </c>
      <c r="K538" s="26">
        <f t="shared" si="238"/>
        <v>10019120</v>
      </c>
      <c r="L538" s="26" t="s">
        <v>854</v>
      </c>
      <c r="M538" s="26">
        <v>11101120</v>
      </c>
      <c r="N538" s="26" t="s">
        <v>254</v>
      </c>
      <c r="O538" s="26" t="s">
        <v>52</v>
      </c>
      <c r="P538" s="4" t="s">
        <v>491</v>
      </c>
      <c r="Q538" s="26" t="s">
        <v>52</v>
      </c>
      <c r="R538" s="63" t="s">
        <v>3250</v>
      </c>
      <c r="S538" s="48" t="str">
        <f t="shared" si="239"/>
        <v>babelTowerLevelReach{level:14,stage:6}</v>
      </c>
      <c r="T538" s="48" t="s">
        <v>52</v>
      </c>
      <c r="U538" s="48"/>
      <c r="V538" s="48" t="s">
        <v>855</v>
      </c>
      <c r="W538" s="26">
        <v>100173</v>
      </c>
      <c r="Y538" s="26" t="s">
        <v>56</v>
      </c>
      <c r="Z538" s="26" t="s">
        <v>57</v>
      </c>
      <c r="AA538" s="25">
        <f t="shared" si="230"/>
        <v>19012</v>
      </c>
      <c r="AB538" s="26">
        <v>6622312</v>
      </c>
      <c r="AD538" s="26">
        <v>19</v>
      </c>
      <c r="AE538" s="26">
        <f t="shared" si="240"/>
        <v>12</v>
      </c>
    </row>
    <row r="539" spans="1:31" s="26" customFormat="1" x14ac:dyDescent="0.45">
      <c r="A539" s="26">
        <f t="shared" si="235"/>
        <v>10019130</v>
      </c>
      <c r="B539" s="26">
        <v>0</v>
      </c>
      <c r="C539" s="26">
        <v>19</v>
      </c>
      <c r="D539" s="26">
        <f t="shared" si="236"/>
        <v>13</v>
      </c>
      <c r="E539" s="26" t="s">
        <v>850</v>
      </c>
      <c r="F539" s="26" t="s">
        <v>868</v>
      </c>
      <c r="G539" s="54" t="s">
        <v>852</v>
      </c>
      <c r="H539" s="26">
        <v>16</v>
      </c>
      <c r="I539" s="26" t="s">
        <v>853</v>
      </c>
      <c r="J539" s="26" t="str">
        <f t="shared" si="237"/>
        <v>帝国军演通关第16层</v>
      </c>
      <c r="K539" s="26">
        <f t="shared" si="238"/>
        <v>10019130</v>
      </c>
      <c r="L539" s="26" t="s">
        <v>854</v>
      </c>
      <c r="M539" s="26">
        <v>11101120</v>
      </c>
      <c r="N539" s="26" t="s">
        <v>254</v>
      </c>
      <c r="O539" s="26" t="s">
        <v>52</v>
      </c>
      <c r="P539" s="4" t="s">
        <v>491</v>
      </c>
      <c r="Q539" s="26" t="s">
        <v>52</v>
      </c>
      <c r="R539" s="63" t="s">
        <v>3250</v>
      </c>
      <c r="S539" s="48" t="str">
        <f t="shared" si="239"/>
        <v>babelTowerLevelReach{level:16,stage:6}</v>
      </c>
      <c r="T539" s="48" t="s">
        <v>52</v>
      </c>
      <c r="U539" s="48"/>
      <c r="V539" s="48" t="s">
        <v>855</v>
      </c>
      <c r="W539" s="26">
        <v>100173</v>
      </c>
      <c r="Y539" s="26" t="s">
        <v>56</v>
      </c>
      <c r="Z539" s="26" t="s">
        <v>57</v>
      </c>
      <c r="AA539" s="25">
        <f t="shared" si="230"/>
        <v>19013</v>
      </c>
      <c r="AB539" s="26">
        <v>6622313</v>
      </c>
      <c r="AD539" s="26">
        <v>19</v>
      </c>
      <c r="AE539" s="26">
        <f t="shared" si="240"/>
        <v>13</v>
      </c>
    </row>
    <row r="540" spans="1:31" s="26" customFormat="1" x14ac:dyDescent="0.45">
      <c r="A540" s="26">
        <f t="shared" si="235"/>
        <v>10019140</v>
      </c>
      <c r="B540" s="26">
        <v>0</v>
      </c>
      <c r="C540" s="26">
        <v>19</v>
      </c>
      <c r="D540" s="26">
        <f t="shared" si="236"/>
        <v>14</v>
      </c>
      <c r="E540" s="26" t="s">
        <v>850</v>
      </c>
      <c r="F540" s="26" t="s">
        <v>869</v>
      </c>
      <c r="G540" s="54" t="s">
        <v>852</v>
      </c>
      <c r="H540" s="26">
        <v>18</v>
      </c>
      <c r="I540" s="26" t="s">
        <v>853</v>
      </c>
      <c r="J540" s="26" t="str">
        <f t="shared" si="237"/>
        <v>帝国军演通关第18层</v>
      </c>
      <c r="K540" s="26">
        <f t="shared" si="238"/>
        <v>10019140</v>
      </c>
      <c r="L540" s="26" t="s">
        <v>854</v>
      </c>
      <c r="M540" s="26">
        <v>11101120</v>
      </c>
      <c r="N540" s="26" t="s">
        <v>254</v>
      </c>
      <c r="O540" s="26" t="s">
        <v>52</v>
      </c>
      <c r="P540" s="4" t="s">
        <v>491</v>
      </c>
      <c r="Q540" s="26" t="s">
        <v>52</v>
      </c>
      <c r="R540" s="63" t="s">
        <v>3250</v>
      </c>
      <c r="S540" s="48" t="str">
        <f t="shared" si="239"/>
        <v>babelTowerLevelReach{level:18,stage:6}</v>
      </c>
      <c r="T540" s="48" t="s">
        <v>52</v>
      </c>
      <c r="U540" s="48"/>
      <c r="V540" s="48" t="s">
        <v>855</v>
      </c>
      <c r="W540" s="26">
        <v>100173</v>
      </c>
      <c r="Y540" s="26" t="s">
        <v>56</v>
      </c>
      <c r="Z540" s="26" t="s">
        <v>57</v>
      </c>
      <c r="AA540" s="25">
        <f t="shared" si="230"/>
        <v>19014</v>
      </c>
      <c r="AB540" s="26">
        <v>6622314</v>
      </c>
      <c r="AD540" s="26">
        <v>19</v>
      </c>
      <c r="AE540" s="26">
        <f t="shared" si="240"/>
        <v>14</v>
      </c>
    </row>
    <row r="541" spans="1:31" s="26" customFormat="1" x14ac:dyDescent="0.45">
      <c r="A541" s="26">
        <f t="shared" si="235"/>
        <v>10019150</v>
      </c>
      <c r="B541" s="26">
        <v>0</v>
      </c>
      <c r="C541" s="26">
        <v>19</v>
      </c>
      <c r="D541" s="26">
        <f t="shared" si="236"/>
        <v>15</v>
      </c>
      <c r="E541" s="26" t="s">
        <v>850</v>
      </c>
      <c r="F541" s="26" t="s">
        <v>870</v>
      </c>
      <c r="G541" s="54" t="s">
        <v>852</v>
      </c>
      <c r="H541" s="26">
        <v>20</v>
      </c>
      <c r="I541" s="26" t="s">
        <v>853</v>
      </c>
      <c r="J541" s="26" t="str">
        <f t="shared" si="237"/>
        <v>帝国军演通关第20层</v>
      </c>
      <c r="K541" s="26">
        <f t="shared" si="238"/>
        <v>10019150</v>
      </c>
      <c r="L541" s="26" t="s">
        <v>854</v>
      </c>
      <c r="M541" s="26">
        <v>11101120</v>
      </c>
      <c r="N541" s="26" t="s">
        <v>254</v>
      </c>
      <c r="O541" s="26" t="s">
        <v>52</v>
      </c>
      <c r="P541" s="4" t="s">
        <v>491</v>
      </c>
      <c r="Q541" s="26" t="s">
        <v>52</v>
      </c>
      <c r="R541" s="63" t="s">
        <v>3250</v>
      </c>
      <c r="S541" s="48" t="str">
        <f t="shared" si="239"/>
        <v>babelTowerLevelReach{level:20,stage:6}</v>
      </c>
      <c r="T541" s="48" t="s">
        <v>52</v>
      </c>
      <c r="U541" s="48"/>
      <c r="V541" s="48" t="s">
        <v>855</v>
      </c>
      <c r="W541" s="26">
        <v>100173</v>
      </c>
      <c r="Y541" s="26" t="s">
        <v>56</v>
      </c>
      <c r="Z541" s="26" t="s">
        <v>57</v>
      </c>
      <c r="AA541" s="25">
        <f t="shared" si="230"/>
        <v>19015</v>
      </c>
      <c r="AB541" s="26">
        <v>6622315</v>
      </c>
      <c r="AD541" s="26">
        <v>19</v>
      </c>
      <c r="AE541" s="26">
        <f t="shared" si="240"/>
        <v>15</v>
      </c>
    </row>
    <row r="542" spans="1:31" s="26" customFormat="1" x14ac:dyDescent="0.45">
      <c r="A542" s="26">
        <f t="shared" si="235"/>
        <v>10019160</v>
      </c>
      <c r="B542" s="26">
        <v>0</v>
      </c>
      <c r="C542" s="26">
        <v>19</v>
      </c>
      <c r="D542" s="26">
        <f t="shared" si="236"/>
        <v>16</v>
      </c>
      <c r="E542" s="26" t="s">
        <v>850</v>
      </c>
      <c r="F542" s="26" t="s">
        <v>871</v>
      </c>
      <c r="G542" s="54" t="s">
        <v>852</v>
      </c>
      <c r="H542" s="26">
        <v>22</v>
      </c>
      <c r="I542" s="26" t="s">
        <v>853</v>
      </c>
      <c r="J542" s="26" t="str">
        <f t="shared" si="237"/>
        <v>帝国军演通关第22层</v>
      </c>
      <c r="K542" s="26">
        <f t="shared" si="238"/>
        <v>10019160</v>
      </c>
      <c r="L542" s="26" t="s">
        <v>854</v>
      </c>
      <c r="M542" s="26">
        <v>11101120</v>
      </c>
      <c r="N542" s="26" t="s">
        <v>254</v>
      </c>
      <c r="O542" s="26" t="s">
        <v>52</v>
      </c>
      <c r="P542" s="4" t="s">
        <v>491</v>
      </c>
      <c r="Q542" s="26" t="s">
        <v>52</v>
      </c>
      <c r="R542" s="63" t="s">
        <v>3250</v>
      </c>
      <c r="S542" s="48" t="str">
        <f t="shared" si="239"/>
        <v>babelTowerLevelReach{level:22,stage:6}</v>
      </c>
      <c r="T542" s="48" t="s">
        <v>52</v>
      </c>
      <c r="U542" s="48"/>
      <c r="V542" s="48" t="s">
        <v>855</v>
      </c>
      <c r="W542" s="26">
        <v>100173</v>
      </c>
      <c r="Y542" s="26" t="s">
        <v>56</v>
      </c>
      <c r="Z542" s="26" t="s">
        <v>57</v>
      </c>
      <c r="AA542" s="25">
        <f t="shared" si="230"/>
        <v>19016</v>
      </c>
      <c r="AB542" s="26">
        <v>6622316</v>
      </c>
      <c r="AD542" s="26">
        <v>19</v>
      </c>
      <c r="AE542" s="26">
        <f t="shared" si="240"/>
        <v>16</v>
      </c>
    </row>
    <row r="543" spans="1:31" s="26" customFormat="1" x14ac:dyDescent="0.45">
      <c r="A543" s="26">
        <f t="shared" si="235"/>
        <v>10019170</v>
      </c>
      <c r="B543" s="26">
        <v>0</v>
      </c>
      <c r="C543" s="26">
        <v>19</v>
      </c>
      <c r="D543" s="26">
        <f t="shared" si="236"/>
        <v>17</v>
      </c>
      <c r="E543" s="26" t="s">
        <v>850</v>
      </c>
      <c r="F543" s="26" t="s">
        <v>872</v>
      </c>
      <c r="G543" s="54" t="s">
        <v>852</v>
      </c>
      <c r="H543" s="26">
        <v>25</v>
      </c>
      <c r="I543" s="26" t="s">
        <v>853</v>
      </c>
      <c r="J543" s="26" t="str">
        <f t="shared" si="237"/>
        <v>帝国军演通关第25层</v>
      </c>
      <c r="K543" s="26">
        <f t="shared" si="238"/>
        <v>10019170</v>
      </c>
      <c r="L543" s="26" t="s">
        <v>854</v>
      </c>
      <c r="M543" s="26">
        <v>11101120</v>
      </c>
      <c r="N543" s="26" t="s">
        <v>254</v>
      </c>
      <c r="O543" s="26" t="s">
        <v>52</v>
      </c>
      <c r="P543" s="4" t="s">
        <v>491</v>
      </c>
      <c r="Q543" s="26" t="s">
        <v>52</v>
      </c>
      <c r="R543" s="63" t="s">
        <v>3250</v>
      </c>
      <c r="S543" s="48" t="str">
        <f t="shared" si="239"/>
        <v>babelTowerLevelReach{level:25,stage:6}</v>
      </c>
      <c r="T543" s="48" t="s">
        <v>52</v>
      </c>
      <c r="U543" s="48"/>
      <c r="V543" s="48" t="s">
        <v>855</v>
      </c>
      <c r="W543" s="26">
        <v>100173</v>
      </c>
      <c r="Y543" s="26" t="s">
        <v>56</v>
      </c>
      <c r="Z543" s="26" t="s">
        <v>57</v>
      </c>
      <c r="AA543" s="25">
        <f t="shared" si="230"/>
        <v>19017</v>
      </c>
      <c r="AB543" s="26">
        <v>6622317</v>
      </c>
      <c r="AD543" s="26">
        <v>19</v>
      </c>
      <c r="AE543" s="26">
        <f t="shared" si="240"/>
        <v>17</v>
      </c>
    </row>
    <row r="544" spans="1:31" s="26" customFormat="1" x14ac:dyDescent="0.45">
      <c r="A544" s="26">
        <f t="shared" si="235"/>
        <v>10019180</v>
      </c>
      <c r="B544" s="26">
        <v>0</v>
      </c>
      <c r="C544" s="26">
        <v>19</v>
      </c>
      <c r="D544" s="26">
        <f t="shared" si="236"/>
        <v>18</v>
      </c>
      <c r="E544" s="26" t="s">
        <v>850</v>
      </c>
      <c r="F544" s="26" t="s">
        <v>873</v>
      </c>
      <c r="G544" s="54" t="s">
        <v>852</v>
      </c>
      <c r="H544" s="26">
        <v>30</v>
      </c>
      <c r="I544" s="26" t="s">
        <v>853</v>
      </c>
      <c r="J544" s="26" t="str">
        <f t="shared" si="237"/>
        <v>帝国军演通关第30层</v>
      </c>
      <c r="K544" s="26">
        <f t="shared" si="238"/>
        <v>10019180</v>
      </c>
      <c r="L544" s="26" t="s">
        <v>854</v>
      </c>
      <c r="M544" s="26">
        <v>11101120</v>
      </c>
      <c r="N544" s="26" t="s">
        <v>254</v>
      </c>
      <c r="O544" s="26" t="s">
        <v>52</v>
      </c>
      <c r="P544" s="4" t="s">
        <v>491</v>
      </c>
      <c r="Q544" s="26" t="s">
        <v>52</v>
      </c>
      <c r="R544" s="63" t="s">
        <v>3250</v>
      </c>
      <c r="S544" s="48" t="str">
        <f t="shared" si="239"/>
        <v>babelTowerLevelReach{level:30,stage:6}</v>
      </c>
      <c r="T544" s="48" t="s">
        <v>52</v>
      </c>
      <c r="U544" s="48"/>
      <c r="V544" s="48" t="s">
        <v>855</v>
      </c>
      <c r="W544" s="26">
        <v>100173</v>
      </c>
      <c r="Y544" s="26" t="s">
        <v>56</v>
      </c>
      <c r="Z544" s="26" t="s">
        <v>57</v>
      </c>
      <c r="AA544" s="25">
        <f t="shared" si="230"/>
        <v>19018</v>
      </c>
      <c r="AB544" s="26">
        <v>6622318</v>
      </c>
      <c r="AD544" s="26">
        <v>19</v>
      </c>
      <c r="AE544" s="26">
        <f t="shared" si="240"/>
        <v>18</v>
      </c>
    </row>
    <row r="545" spans="1:31" s="26" customFormat="1" x14ac:dyDescent="0.45">
      <c r="A545" s="26">
        <f t="shared" si="235"/>
        <v>10019190</v>
      </c>
      <c r="B545" s="26">
        <v>0</v>
      </c>
      <c r="C545" s="26">
        <v>19</v>
      </c>
      <c r="D545" s="26">
        <f t="shared" si="236"/>
        <v>19</v>
      </c>
      <c r="E545" s="26" t="s">
        <v>850</v>
      </c>
      <c r="F545" s="26" t="s">
        <v>874</v>
      </c>
      <c r="G545" s="54" t="s">
        <v>852</v>
      </c>
      <c r="H545" s="26">
        <v>35</v>
      </c>
      <c r="I545" s="26" t="s">
        <v>853</v>
      </c>
      <c r="J545" s="26" t="str">
        <f t="shared" si="237"/>
        <v>帝国军演通关第35层</v>
      </c>
      <c r="K545" s="26">
        <f t="shared" si="238"/>
        <v>10019190</v>
      </c>
      <c r="L545" s="26" t="s">
        <v>854</v>
      </c>
      <c r="M545" s="26">
        <v>11101120</v>
      </c>
      <c r="N545" s="26" t="s">
        <v>254</v>
      </c>
      <c r="O545" s="26" t="s">
        <v>52</v>
      </c>
      <c r="P545" s="4" t="s">
        <v>491</v>
      </c>
      <c r="Q545" s="26" t="s">
        <v>52</v>
      </c>
      <c r="R545" s="63" t="s">
        <v>3250</v>
      </c>
      <c r="S545" s="48" t="str">
        <f t="shared" si="239"/>
        <v>babelTowerLevelReach{level:35,stage:6}</v>
      </c>
      <c r="T545" s="48" t="s">
        <v>52</v>
      </c>
      <c r="U545" s="48"/>
      <c r="V545" s="48" t="s">
        <v>855</v>
      </c>
      <c r="W545" s="26">
        <v>100173</v>
      </c>
      <c r="Y545" s="26" t="s">
        <v>56</v>
      </c>
      <c r="Z545" s="26" t="s">
        <v>57</v>
      </c>
      <c r="AA545" s="25">
        <f t="shared" si="230"/>
        <v>19019</v>
      </c>
      <c r="AB545" s="26">
        <v>6622319</v>
      </c>
      <c r="AD545" s="26">
        <v>19</v>
      </c>
      <c r="AE545" s="26">
        <f t="shared" si="240"/>
        <v>19</v>
      </c>
    </row>
    <row r="546" spans="1:31" s="26" customFormat="1" x14ac:dyDescent="0.45">
      <c r="A546" s="26">
        <f t="shared" si="235"/>
        <v>10019200</v>
      </c>
      <c r="B546" s="26">
        <v>0</v>
      </c>
      <c r="C546" s="26">
        <v>19</v>
      </c>
      <c r="D546" s="26">
        <f t="shared" si="236"/>
        <v>20</v>
      </c>
      <c r="E546" s="26" t="s">
        <v>850</v>
      </c>
      <c r="F546" s="26" t="s">
        <v>875</v>
      </c>
      <c r="G546" s="54" t="s">
        <v>852</v>
      </c>
      <c r="H546" s="26">
        <v>40</v>
      </c>
      <c r="I546" s="26" t="s">
        <v>853</v>
      </c>
      <c r="J546" s="26" t="str">
        <f t="shared" si="237"/>
        <v>帝国军演通关第40层</v>
      </c>
      <c r="K546" s="26">
        <f t="shared" si="238"/>
        <v>10019200</v>
      </c>
      <c r="L546" s="26" t="s">
        <v>854</v>
      </c>
      <c r="M546" s="26">
        <v>11101120</v>
      </c>
      <c r="N546" s="26" t="s">
        <v>254</v>
      </c>
      <c r="O546" s="26" t="s">
        <v>52</v>
      </c>
      <c r="P546" s="4" t="s">
        <v>491</v>
      </c>
      <c r="Q546" s="26" t="s">
        <v>52</v>
      </c>
      <c r="R546" s="63" t="s">
        <v>3250</v>
      </c>
      <c r="S546" s="48" t="str">
        <f t="shared" si="239"/>
        <v>babelTowerLevelReach{level:40,stage:6}</v>
      </c>
      <c r="T546" s="48" t="s">
        <v>52</v>
      </c>
      <c r="U546" s="48"/>
      <c r="V546" s="48" t="s">
        <v>855</v>
      </c>
      <c r="W546" s="26">
        <v>100173</v>
      </c>
      <c r="Y546" s="26" t="s">
        <v>56</v>
      </c>
      <c r="Z546" s="26" t="s">
        <v>57</v>
      </c>
      <c r="AA546" s="25">
        <f t="shared" si="230"/>
        <v>19020</v>
      </c>
      <c r="AB546" s="26">
        <v>6622320</v>
      </c>
      <c r="AD546" s="26">
        <v>19</v>
      </c>
      <c r="AE546" s="26">
        <f t="shared" si="240"/>
        <v>20</v>
      </c>
    </row>
    <row r="547" spans="1:31" s="26" customFormat="1" x14ac:dyDescent="0.45">
      <c r="A547" s="26">
        <f t="shared" si="235"/>
        <v>10019210</v>
      </c>
      <c r="B547" s="26">
        <v>0</v>
      </c>
      <c r="C547" s="26">
        <v>19</v>
      </c>
      <c r="D547" s="26">
        <f t="shared" si="236"/>
        <v>21</v>
      </c>
      <c r="E547" s="26" t="s">
        <v>850</v>
      </c>
      <c r="F547" s="26" t="s">
        <v>876</v>
      </c>
      <c r="G547" s="54" t="s">
        <v>852</v>
      </c>
      <c r="H547" s="26">
        <v>45</v>
      </c>
      <c r="I547" s="26" t="s">
        <v>853</v>
      </c>
      <c r="J547" s="26" t="str">
        <f t="shared" si="237"/>
        <v>帝国军演通关第45层</v>
      </c>
      <c r="K547" s="26">
        <f t="shared" si="238"/>
        <v>10019210</v>
      </c>
      <c r="L547" s="26" t="s">
        <v>854</v>
      </c>
      <c r="M547" s="26">
        <v>11101120</v>
      </c>
      <c r="N547" s="26" t="s">
        <v>254</v>
      </c>
      <c r="O547" s="26" t="s">
        <v>52</v>
      </c>
      <c r="P547" s="4" t="s">
        <v>491</v>
      </c>
      <c r="Q547" s="26" t="s">
        <v>52</v>
      </c>
      <c r="R547" s="63" t="s">
        <v>3250</v>
      </c>
      <c r="S547" s="48" t="str">
        <f t="shared" si="239"/>
        <v>babelTowerLevelReach{level:45,stage:6}</v>
      </c>
      <c r="T547" s="48" t="s">
        <v>52</v>
      </c>
      <c r="U547" s="48"/>
      <c r="V547" s="48" t="s">
        <v>855</v>
      </c>
      <c r="W547" s="26">
        <v>100173</v>
      </c>
      <c r="Y547" s="26" t="s">
        <v>56</v>
      </c>
      <c r="Z547" s="26" t="s">
        <v>57</v>
      </c>
      <c r="AA547" s="25">
        <f t="shared" si="230"/>
        <v>19021</v>
      </c>
      <c r="AB547" s="26">
        <v>6622321</v>
      </c>
      <c r="AD547" s="26">
        <v>19</v>
      </c>
      <c r="AE547" s="26">
        <f t="shared" si="240"/>
        <v>21</v>
      </c>
    </row>
    <row r="548" spans="1:31" s="26" customFormat="1" x14ac:dyDescent="0.45">
      <c r="A548" s="26">
        <f t="shared" si="235"/>
        <v>10019220</v>
      </c>
      <c r="B548" s="26">
        <v>0</v>
      </c>
      <c r="C548" s="26">
        <v>19</v>
      </c>
      <c r="D548" s="26">
        <f t="shared" si="236"/>
        <v>22</v>
      </c>
      <c r="E548" s="26" t="s">
        <v>850</v>
      </c>
      <c r="F548" s="26" t="s">
        <v>877</v>
      </c>
      <c r="G548" s="54" t="s">
        <v>852</v>
      </c>
      <c r="H548" s="26">
        <v>50</v>
      </c>
      <c r="I548" s="26" t="s">
        <v>853</v>
      </c>
      <c r="J548" s="26" t="str">
        <f t="shared" si="237"/>
        <v>帝国军演通关第50层</v>
      </c>
      <c r="K548" s="26">
        <f t="shared" si="238"/>
        <v>10019220</v>
      </c>
      <c r="L548" s="26" t="s">
        <v>854</v>
      </c>
      <c r="M548" s="26">
        <v>11101120</v>
      </c>
      <c r="N548" s="26" t="s">
        <v>254</v>
      </c>
      <c r="O548" s="26" t="s">
        <v>52</v>
      </c>
      <c r="P548" s="4" t="s">
        <v>491</v>
      </c>
      <c r="Q548" s="26" t="s">
        <v>52</v>
      </c>
      <c r="R548" s="63" t="s">
        <v>3250</v>
      </c>
      <c r="S548" s="48" t="str">
        <f t="shared" si="239"/>
        <v>babelTowerLevelReach{level:50,stage:6}</v>
      </c>
      <c r="T548" s="48" t="s">
        <v>52</v>
      </c>
      <c r="U548" s="48"/>
      <c r="V548" s="48" t="s">
        <v>855</v>
      </c>
      <c r="W548" s="26">
        <v>100173</v>
      </c>
      <c r="Y548" s="26" t="s">
        <v>56</v>
      </c>
      <c r="Z548" s="26" t="s">
        <v>57</v>
      </c>
      <c r="AA548" s="25">
        <f t="shared" si="230"/>
        <v>19022</v>
      </c>
      <c r="AB548" s="26">
        <v>6622322</v>
      </c>
      <c r="AD548" s="26">
        <v>19</v>
      </c>
      <c r="AE548" s="26">
        <f t="shared" si="240"/>
        <v>22</v>
      </c>
    </row>
    <row r="549" spans="1:31" s="23" customFormat="1" x14ac:dyDescent="0.45">
      <c r="A549" s="26">
        <f t="shared" si="235"/>
        <v>10020010</v>
      </c>
      <c r="B549" s="23">
        <v>0</v>
      </c>
      <c r="C549" s="23">
        <v>20</v>
      </c>
      <c r="D549" s="23">
        <f t="shared" si="236"/>
        <v>1</v>
      </c>
      <c r="E549" s="23" t="s">
        <v>878</v>
      </c>
      <c r="F549" s="23" t="s">
        <v>142</v>
      </c>
      <c r="G549" s="55" t="s">
        <v>106</v>
      </c>
      <c r="H549" s="55">
        <v>5</v>
      </c>
      <c r="I549" s="55" t="s">
        <v>63</v>
      </c>
      <c r="J549" s="23" t="str">
        <f t="shared" ref="J549:J560" si="241">G549&amp;H549&amp;I549</f>
        <v>升级城墙至5级</v>
      </c>
      <c r="K549" s="23">
        <f t="shared" ref="K549:K560" si="242">A549</f>
        <v>10020010</v>
      </c>
      <c r="L549" s="23" t="s">
        <v>879</v>
      </c>
      <c r="M549" s="23">
        <f t="shared" ref="M549:M580" si="243">VLOOKUP(L549,J:K,2,FALSE)</f>
        <v>10801020</v>
      </c>
      <c r="N549" s="23" t="s">
        <v>254</v>
      </c>
      <c r="O549" s="23" t="s">
        <v>52</v>
      </c>
      <c r="P549" s="4" t="s">
        <v>491</v>
      </c>
      <c r="Q549" s="23" t="s">
        <v>52</v>
      </c>
      <c r="R549" s="23" t="s">
        <v>107</v>
      </c>
      <c r="S549" s="24" t="str">
        <f t="shared" ref="S549:S560" si="244">SUBSTITUTE(R549,"@@@",H549)</f>
        <v>buildingLevelUp{buildingType:215,buildingLevel:5}</v>
      </c>
      <c r="T549" s="24" t="s">
        <v>52</v>
      </c>
      <c r="U549" s="23" t="s">
        <v>880</v>
      </c>
      <c r="V549" s="24" t="s">
        <v>249</v>
      </c>
      <c r="W549" s="23">
        <f>VLOOKUP(V549,[1]界面跳转!$I:$J,2,FALSE)</f>
        <v>7039</v>
      </c>
      <c r="Y549" s="23" t="s">
        <v>56</v>
      </c>
      <c r="Z549" s="23" t="s">
        <v>57</v>
      </c>
      <c r="AA549" s="25">
        <f t="shared" si="230"/>
        <v>20001</v>
      </c>
      <c r="AB549" s="23">
        <v>6622305</v>
      </c>
      <c r="AD549" s="23">
        <v>20</v>
      </c>
      <c r="AE549" s="23">
        <f t="shared" si="240"/>
        <v>1</v>
      </c>
    </row>
    <row r="550" spans="1:31" s="23" customFormat="1" x14ac:dyDescent="0.45">
      <c r="A550" s="23">
        <f t="shared" ref="A550:A560" si="245">10000000+B550*100000+C550*1000+D550*10</f>
        <v>10020020</v>
      </c>
      <c r="B550" s="23">
        <v>0</v>
      </c>
      <c r="C550" s="23">
        <v>20</v>
      </c>
      <c r="D550" s="23">
        <f t="shared" si="236"/>
        <v>2</v>
      </c>
      <c r="E550" s="23" t="s">
        <v>878</v>
      </c>
      <c r="F550" t="s">
        <v>138</v>
      </c>
      <c r="G550" s="55" t="s">
        <v>139</v>
      </c>
      <c r="H550" s="55">
        <v>5</v>
      </c>
      <c r="I550" s="55" t="s">
        <v>63</v>
      </c>
      <c r="J550" s="23" t="str">
        <f t="shared" si="241"/>
        <v>升级瞭望塔至5级</v>
      </c>
      <c r="K550" s="23">
        <f t="shared" si="242"/>
        <v>10020020</v>
      </c>
      <c r="L550" s="23" t="s">
        <v>879</v>
      </c>
      <c r="M550" s="23">
        <f t="shared" si="243"/>
        <v>10801020</v>
      </c>
      <c r="N550" s="23" t="s">
        <v>254</v>
      </c>
      <c r="O550" s="23" t="s">
        <v>52</v>
      </c>
      <c r="P550" s="4" t="s">
        <v>491</v>
      </c>
      <c r="Q550" s="23" t="s">
        <v>52</v>
      </c>
      <c r="R550" s="23" t="s">
        <v>140</v>
      </c>
      <c r="S550" s="24" t="str">
        <f t="shared" si="244"/>
        <v>buildingLevelUp{buildingType:226,buildingLevel:5}</v>
      </c>
      <c r="T550" s="24" t="s">
        <v>52</v>
      </c>
      <c r="U550" s="23" t="s">
        <v>881</v>
      </c>
      <c r="V550" s="24" t="s">
        <v>449</v>
      </c>
      <c r="W550" s="23">
        <f>VLOOKUP(V550,[1]界面跳转!$I:$J,2,FALSE)</f>
        <v>7049</v>
      </c>
      <c r="Y550" s="23" t="s">
        <v>56</v>
      </c>
      <c r="Z550" s="23" t="s">
        <v>57</v>
      </c>
      <c r="AA550" s="25">
        <f t="shared" ref="AA550:AA602" si="246">AD550*1000+AE550</f>
        <v>20002</v>
      </c>
      <c r="AB550" s="23">
        <v>6622305</v>
      </c>
      <c r="AD550" s="23">
        <v>20</v>
      </c>
      <c r="AE550" s="23">
        <f t="shared" ref="AE550:AE613" si="247">IF(AD550=AD549,AE549+1,1)</f>
        <v>2</v>
      </c>
    </row>
    <row r="551" spans="1:31" s="23" customFormat="1" x14ac:dyDescent="0.45">
      <c r="A551" s="23">
        <f t="shared" si="245"/>
        <v>10020030</v>
      </c>
      <c r="B551" s="23">
        <v>0</v>
      </c>
      <c r="C551" s="23">
        <v>20</v>
      </c>
      <c r="D551" s="23">
        <f t="shared" si="236"/>
        <v>3</v>
      </c>
      <c r="E551" s="23" t="s">
        <v>878</v>
      </c>
      <c r="F551" s="23" t="s">
        <v>882</v>
      </c>
      <c r="G551" s="55" t="s">
        <v>883</v>
      </c>
      <c r="H551" s="55">
        <v>5</v>
      </c>
      <c r="I551" s="55" t="s">
        <v>63</v>
      </c>
      <c r="J551" s="23" t="str">
        <f t="shared" si="241"/>
        <v>升级2个防卫塔至5级</v>
      </c>
      <c r="K551" s="23">
        <f t="shared" si="242"/>
        <v>10020030</v>
      </c>
      <c r="L551" s="23" t="s">
        <v>879</v>
      </c>
      <c r="M551" s="23">
        <f t="shared" si="243"/>
        <v>10801020</v>
      </c>
      <c r="N551" s="23" t="s">
        <v>254</v>
      </c>
      <c r="O551" s="23" t="s">
        <v>52</v>
      </c>
      <c r="P551" s="4" t="s">
        <v>491</v>
      </c>
      <c r="Q551" s="23" t="s">
        <v>52</v>
      </c>
      <c r="R551" s="23" t="s">
        <v>884</v>
      </c>
      <c r="S551" s="24" t="str">
        <f t="shared" si="244"/>
        <v>buildingLevelUp{buildingType:227,buildingLevel:5}</v>
      </c>
      <c r="T551" s="24" t="s">
        <v>52</v>
      </c>
      <c r="U551" s="23" t="s">
        <v>885</v>
      </c>
      <c r="V551" s="24" t="s">
        <v>886</v>
      </c>
      <c r="W551" s="23">
        <f>VLOOKUP(V551,[1]界面跳转!$I:$J,2,FALSE)</f>
        <v>7051</v>
      </c>
      <c r="Y551" s="23" t="s">
        <v>56</v>
      </c>
      <c r="Z551" s="23" t="s">
        <v>57</v>
      </c>
      <c r="AA551" s="25">
        <f t="shared" si="246"/>
        <v>20003</v>
      </c>
      <c r="AB551" s="23">
        <v>6622305</v>
      </c>
      <c r="AD551" s="23">
        <v>20</v>
      </c>
      <c r="AE551" s="23">
        <f t="shared" si="247"/>
        <v>3</v>
      </c>
    </row>
    <row r="552" spans="1:31" s="23" customFormat="1" x14ac:dyDescent="0.45">
      <c r="A552" s="23">
        <f t="shared" si="245"/>
        <v>10020040</v>
      </c>
      <c r="B552" s="23">
        <v>0</v>
      </c>
      <c r="C552" s="23">
        <v>20</v>
      </c>
      <c r="D552" s="23">
        <f t="shared" si="236"/>
        <v>4</v>
      </c>
      <c r="E552" s="23" t="s">
        <v>878</v>
      </c>
      <c r="F552" s="23" t="s">
        <v>176</v>
      </c>
      <c r="G552" s="55" t="s">
        <v>106</v>
      </c>
      <c r="H552" s="55">
        <v>6</v>
      </c>
      <c r="I552" s="55" t="s">
        <v>63</v>
      </c>
      <c r="J552" s="23" t="str">
        <f t="shared" si="241"/>
        <v>升级城墙至6级</v>
      </c>
      <c r="K552" s="23">
        <f t="shared" si="242"/>
        <v>10020040</v>
      </c>
      <c r="L552" s="23" t="s">
        <v>879</v>
      </c>
      <c r="M552" s="23">
        <f t="shared" si="243"/>
        <v>10801020</v>
      </c>
      <c r="N552" s="23" t="s">
        <v>254</v>
      </c>
      <c r="O552" s="23" t="s">
        <v>52</v>
      </c>
      <c r="P552" s="4" t="s">
        <v>491</v>
      </c>
      <c r="Q552" s="23" t="s">
        <v>52</v>
      </c>
      <c r="R552" s="23" t="s">
        <v>107</v>
      </c>
      <c r="S552" s="24" t="str">
        <f t="shared" si="244"/>
        <v>buildingLevelUp{buildingType:215,buildingLevel:6}</v>
      </c>
      <c r="T552" s="24" t="s">
        <v>52</v>
      </c>
      <c r="U552" s="23" t="s">
        <v>880</v>
      </c>
      <c r="V552" s="24" t="s">
        <v>249</v>
      </c>
      <c r="W552" s="23">
        <f>VLOOKUP(V552,[1]界面跳转!$I:$J,2,FALSE)</f>
        <v>7039</v>
      </c>
      <c r="Y552" s="23" t="s">
        <v>56</v>
      </c>
      <c r="Z552" s="23" t="s">
        <v>57</v>
      </c>
      <c r="AA552" s="25">
        <f t="shared" si="246"/>
        <v>20004</v>
      </c>
      <c r="AB552" s="23">
        <v>6622306</v>
      </c>
      <c r="AD552" s="23">
        <v>20</v>
      </c>
      <c r="AE552" s="23">
        <f t="shared" si="247"/>
        <v>4</v>
      </c>
    </row>
    <row r="553" spans="1:31" s="23" customFormat="1" x14ac:dyDescent="0.45">
      <c r="A553" s="23">
        <f t="shared" si="245"/>
        <v>10020050</v>
      </c>
      <c r="B553" s="23">
        <v>0</v>
      </c>
      <c r="C553" s="23">
        <v>20</v>
      </c>
      <c r="D553" s="23">
        <f t="shared" si="236"/>
        <v>5</v>
      </c>
      <c r="E553" s="23" t="s">
        <v>878</v>
      </c>
      <c r="F553" t="s">
        <v>887</v>
      </c>
      <c r="G553" s="55" t="s">
        <v>139</v>
      </c>
      <c r="H553" s="55">
        <v>6</v>
      </c>
      <c r="I553" s="55" t="s">
        <v>63</v>
      </c>
      <c r="J553" s="23" t="str">
        <f t="shared" si="241"/>
        <v>升级瞭望塔至6级</v>
      </c>
      <c r="K553" s="23">
        <f t="shared" si="242"/>
        <v>10020050</v>
      </c>
      <c r="L553" s="23" t="s">
        <v>879</v>
      </c>
      <c r="M553" s="23">
        <f t="shared" si="243"/>
        <v>10801020</v>
      </c>
      <c r="N553" s="23" t="s">
        <v>254</v>
      </c>
      <c r="O553" s="23" t="s">
        <v>52</v>
      </c>
      <c r="P553" s="4" t="s">
        <v>491</v>
      </c>
      <c r="Q553" s="23" t="s">
        <v>52</v>
      </c>
      <c r="R553" s="23" t="s">
        <v>140</v>
      </c>
      <c r="S553" s="24" t="str">
        <f t="shared" si="244"/>
        <v>buildingLevelUp{buildingType:226,buildingLevel:6}</v>
      </c>
      <c r="T553" s="24" t="s">
        <v>52</v>
      </c>
      <c r="U553" s="23" t="s">
        <v>881</v>
      </c>
      <c r="V553" s="24" t="s">
        <v>449</v>
      </c>
      <c r="W553" s="23">
        <f>VLOOKUP(V553,[1]界面跳转!$I:$J,2,FALSE)</f>
        <v>7049</v>
      </c>
      <c r="Y553" s="23" t="s">
        <v>56</v>
      </c>
      <c r="Z553" s="23" t="s">
        <v>57</v>
      </c>
      <c r="AA553" s="25">
        <f t="shared" si="246"/>
        <v>20005</v>
      </c>
      <c r="AB553" s="23">
        <v>6622306</v>
      </c>
      <c r="AD553" s="23">
        <v>20</v>
      </c>
      <c r="AE553" s="23">
        <f t="shared" si="247"/>
        <v>5</v>
      </c>
    </row>
    <row r="554" spans="1:31" s="23" customFormat="1" x14ac:dyDescent="0.45">
      <c r="A554" s="23">
        <f t="shared" si="245"/>
        <v>10020060</v>
      </c>
      <c r="B554" s="23">
        <v>0</v>
      </c>
      <c r="C554" s="23">
        <v>20</v>
      </c>
      <c r="D554" s="23">
        <f t="shared" si="236"/>
        <v>6</v>
      </c>
      <c r="E554" s="23" t="s">
        <v>878</v>
      </c>
      <c r="F554" s="23" t="s">
        <v>888</v>
      </c>
      <c r="G554" s="55" t="s">
        <v>883</v>
      </c>
      <c r="H554" s="55">
        <v>6</v>
      </c>
      <c r="I554" s="55" t="s">
        <v>63</v>
      </c>
      <c r="J554" s="23" t="str">
        <f t="shared" si="241"/>
        <v>升级2个防卫塔至6级</v>
      </c>
      <c r="K554" s="23">
        <f t="shared" si="242"/>
        <v>10020060</v>
      </c>
      <c r="L554" s="23" t="s">
        <v>879</v>
      </c>
      <c r="M554" s="23">
        <f t="shared" si="243"/>
        <v>10801020</v>
      </c>
      <c r="N554" s="23" t="s">
        <v>254</v>
      </c>
      <c r="O554" s="23" t="s">
        <v>52</v>
      </c>
      <c r="P554" s="4" t="s">
        <v>491</v>
      </c>
      <c r="Q554" s="23" t="s">
        <v>52</v>
      </c>
      <c r="R554" s="23" t="s">
        <v>884</v>
      </c>
      <c r="S554" s="24" t="str">
        <f t="shared" si="244"/>
        <v>buildingLevelUp{buildingType:227,buildingLevel:6}</v>
      </c>
      <c r="T554" s="24" t="s">
        <v>52</v>
      </c>
      <c r="U554" s="23" t="s">
        <v>885</v>
      </c>
      <c r="V554" s="24" t="s">
        <v>886</v>
      </c>
      <c r="W554" s="23">
        <f>VLOOKUP(V554,[1]界面跳转!$I:$J,2,FALSE)</f>
        <v>7051</v>
      </c>
      <c r="Y554" s="23" t="s">
        <v>56</v>
      </c>
      <c r="Z554" s="23" t="s">
        <v>57</v>
      </c>
      <c r="AA554" s="25">
        <f t="shared" si="246"/>
        <v>20006</v>
      </c>
      <c r="AB554" s="23">
        <v>6622306</v>
      </c>
      <c r="AD554" s="23">
        <v>20</v>
      </c>
      <c r="AE554" s="23">
        <f t="shared" si="247"/>
        <v>6</v>
      </c>
    </row>
    <row r="555" spans="1:31" s="23" customFormat="1" x14ac:dyDescent="0.45">
      <c r="A555" s="23">
        <f t="shared" si="245"/>
        <v>10020070</v>
      </c>
      <c r="B555" s="23">
        <v>0</v>
      </c>
      <c r="C555" s="23">
        <v>20</v>
      </c>
      <c r="D555" s="23">
        <f t="shared" si="236"/>
        <v>7</v>
      </c>
      <c r="E555" s="23" t="s">
        <v>878</v>
      </c>
      <c r="F555" s="23" t="s">
        <v>182</v>
      </c>
      <c r="G555" s="55" t="s">
        <v>106</v>
      </c>
      <c r="H555" s="55">
        <v>7</v>
      </c>
      <c r="I555" s="55" t="s">
        <v>63</v>
      </c>
      <c r="J555" s="23" t="str">
        <f t="shared" si="241"/>
        <v>升级城墙至7级</v>
      </c>
      <c r="K555" s="23">
        <f t="shared" si="242"/>
        <v>10020070</v>
      </c>
      <c r="L555" s="23" t="s">
        <v>879</v>
      </c>
      <c r="M555" s="23">
        <f t="shared" si="243"/>
        <v>10801020</v>
      </c>
      <c r="N555" s="23" t="s">
        <v>254</v>
      </c>
      <c r="O555" s="23" t="s">
        <v>52</v>
      </c>
      <c r="P555" s="4" t="s">
        <v>491</v>
      </c>
      <c r="Q555" s="23" t="s">
        <v>52</v>
      </c>
      <c r="R555" s="23" t="s">
        <v>107</v>
      </c>
      <c r="S555" s="24" t="str">
        <f t="shared" si="244"/>
        <v>buildingLevelUp{buildingType:215,buildingLevel:7}</v>
      </c>
      <c r="T555" s="24" t="s">
        <v>52</v>
      </c>
      <c r="U555" s="23" t="s">
        <v>880</v>
      </c>
      <c r="V555" s="24" t="s">
        <v>249</v>
      </c>
      <c r="W555" s="23">
        <f>VLOOKUP(V555,[1]界面跳转!$I:$J,2,FALSE)</f>
        <v>7039</v>
      </c>
      <c r="Y555" s="23" t="s">
        <v>56</v>
      </c>
      <c r="Z555" s="23" t="s">
        <v>57</v>
      </c>
      <c r="AA555" s="25">
        <f t="shared" si="246"/>
        <v>20007</v>
      </c>
      <c r="AB555" s="23">
        <v>6622307</v>
      </c>
      <c r="AD555" s="23">
        <v>20</v>
      </c>
      <c r="AE555" s="23">
        <f t="shared" si="247"/>
        <v>7</v>
      </c>
    </row>
    <row r="556" spans="1:31" s="23" customFormat="1" x14ac:dyDescent="0.45">
      <c r="A556" s="23">
        <f t="shared" si="245"/>
        <v>10020080</v>
      </c>
      <c r="B556" s="23">
        <v>0</v>
      </c>
      <c r="C556" s="23">
        <v>20</v>
      </c>
      <c r="D556" s="23">
        <f t="shared" si="236"/>
        <v>8</v>
      </c>
      <c r="E556" s="23" t="s">
        <v>878</v>
      </c>
      <c r="F556" t="s">
        <v>275</v>
      </c>
      <c r="G556" s="55" t="s">
        <v>139</v>
      </c>
      <c r="H556" s="55">
        <v>7</v>
      </c>
      <c r="I556" s="55" t="s">
        <v>63</v>
      </c>
      <c r="J556" s="23" t="str">
        <f t="shared" si="241"/>
        <v>升级瞭望塔至7级</v>
      </c>
      <c r="K556" s="23">
        <f t="shared" si="242"/>
        <v>10020080</v>
      </c>
      <c r="L556" s="23" t="s">
        <v>879</v>
      </c>
      <c r="M556" s="23">
        <f t="shared" si="243"/>
        <v>10801020</v>
      </c>
      <c r="N556" s="23" t="s">
        <v>254</v>
      </c>
      <c r="O556" s="23" t="s">
        <v>52</v>
      </c>
      <c r="P556" s="4" t="s">
        <v>491</v>
      </c>
      <c r="Q556" s="23" t="s">
        <v>52</v>
      </c>
      <c r="R556" s="23" t="s">
        <v>140</v>
      </c>
      <c r="S556" s="24" t="str">
        <f t="shared" si="244"/>
        <v>buildingLevelUp{buildingType:226,buildingLevel:7}</v>
      </c>
      <c r="T556" s="24" t="s">
        <v>52</v>
      </c>
      <c r="U556" s="23" t="s">
        <v>881</v>
      </c>
      <c r="V556" s="24" t="s">
        <v>449</v>
      </c>
      <c r="W556" s="23">
        <f>VLOOKUP(V556,[1]界面跳转!$I:$J,2,FALSE)</f>
        <v>7049</v>
      </c>
      <c r="Y556" s="23" t="s">
        <v>56</v>
      </c>
      <c r="Z556" s="23" t="s">
        <v>57</v>
      </c>
      <c r="AA556" s="25">
        <f t="shared" si="246"/>
        <v>20008</v>
      </c>
      <c r="AB556" s="23">
        <v>6622307</v>
      </c>
      <c r="AD556" s="23">
        <v>20</v>
      </c>
      <c r="AE556" s="23">
        <f t="shared" si="247"/>
        <v>8</v>
      </c>
    </row>
    <row r="557" spans="1:31" s="23" customFormat="1" x14ac:dyDescent="0.45">
      <c r="A557" s="23">
        <f t="shared" si="245"/>
        <v>10020090</v>
      </c>
      <c r="B557" s="23">
        <v>0</v>
      </c>
      <c r="C557" s="23">
        <v>20</v>
      </c>
      <c r="D557" s="23">
        <f t="shared" si="236"/>
        <v>9</v>
      </c>
      <c r="E557" s="23" t="s">
        <v>878</v>
      </c>
      <c r="F557" s="23" t="s">
        <v>889</v>
      </c>
      <c r="G557" s="55" t="s">
        <v>883</v>
      </c>
      <c r="H557" s="55">
        <v>7</v>
      </c>
      <c r="I557" s="55" t="s">
        <v>63</v>
      </c>
      <c r="J557" s="23" t="str">
        <f t="shared" si="241"/>
        <v>升级2个防卫塔至7级</v>
      </c>
      <c r="K557" s="23">
        <f t="shared" si="242"/>
        <v>10020090</v>
      </c>
      <c r="L557" s="23" t="s">
        <v>879</v>
      </c>
      <c r="M557" s="23">
        <f t="shared" si="243"/>
        <v>10801020</v>
      </c>
      <c r="N557" s="23" t="s">
        <v>254</v>
      </c>
      <c r="O557" s="23" t="s">
        <v>52</v>
      </c>
      <c r="P557" s="4" t="s">
        <v>491</v>
      </c>
      <c r="Q557" s="23" t="s">
        <v>52</v>
      </c>
      <c r="R557" s="23" t="s">
        <v>884</v>
      </c>
      <c r="S557" s="24" t="str">
        <f t="shared" si="244"/>
        <v>buildingLevelUp{buildingType:227,buildingLevel:7}</v>
      </c>
      <c r="T557" s="24" t="s">
        <v>52</v>
      </c>
      <c r="U557" s="23" t="s">
        <v>885</v>
      </c>
      <c r="V557" s="24" t="s">
        <v>886</v>
      </c>
      <c r="W557" s="23">
        <f>VLOOKUP(V557,[1]界面跳转!$I:$J,2,FALSE)</f>
        <v>7051</v>
      </c>
      <c r="Y557" s="23" t="s">
        <v>56</v>
      </c>
      <c r="Z557" s="23" t="s">
        <v>57</v>
      </c>
      <c r="AA557" s="25">
        <f t="shared" si="246"/>
        <v>20009</v>
      </c>
      <c r="AB557" s="23">
        <v>6622307</v>
      </c>
      <c r="AD557" s="23">
        <v>20</v>
      </c>
      <c r="AE557" s="23">
        <f t="shared" si="247"/>
        <v>9</v>
      </c>
    </row>
    <row r="558" spans="1:31" s="23" customFormat="1" x14ac:dyDescent="0.45">
      <c r="A558" s="23">
        <f t="shared" si="245"/>
        <v>10020100</v>
      </c>
      <c r="B558" s="23">
        <v>0</v>
      </c>
      <c r="C558" s="23">
        <v>20</v>
      </c>
      <c r="D558" s="23">
        <f t="shared" si="236"/>
        <v>10</v>
      </c>
      <c r="E558" s="23" t="s">
        <v>878</v>
      </c>
      <c r="F558" s="23" t="s">
        <v>198</v>
      </c>
      <c r="G558" s="55" t="s">
        <v>106</v>
      </c>
      <c r="H558" s="55">
        <v>8</v>
      </c>
      <c r="I558" s="55" t="s">
        <v>63</v>
      </c>
      <c r="J558" s="23" t="str">
        <f t="shared" si="241"/>
        <v>升级城墙至8级</v>
      </c>
      <c r="K558" s="23">
        <f t="shared" si="242"/>
        <v>10020100</v>
      </c>
      <c r="L558" s="23" t="s">
        <v>879</v>
      </c>
      <c r="M558" s="23">
        <f t="shared" si="243"/>
        <v>10801020</v>
      </c>
      <c r="N558" s="23" t="s">
        <v>254</v>
      </c>
      <c r="O558" s="23" t="s">
        <v>52</v>
      </c>
      <c r="P558" s="4" t="s">
        <v>491</v>
      </c>
      <c r="Q558" s="23" t="s">
        <v>52</v>
      </c>
      <c r="R558" s="23" t="s">
        <v>107</v>
      </c>
      <c r="S558" s="24" t="str">
        <f t="shared" si="244"/>
        <v>buildingLevelUp{buildingType:215,buildingLevel:8}</v>
      </c>
      <c r="T558" s="24" t="s">
        <v>52</v>
      </c>
      <c r="U558" s="23" t="s">
        <v>880</v>
      </c>
      <c r="V558" s="24" t="s">
        <v>249</v>
      </c>
      <c r="W558" s="23">
        <f>VLOOKUP(V558,[1]界面跳转!$I:$J,2,FALSE)</f>
        <v>7039</v>
      </c>
      <c r="Y558" s="23" t="s">
        <v>56</v>
      </c>
      <c r="Z558" s="23" t="s">
        <v>57</v>
      </c>
      <c r="AA558" s="25">
        <f t="shared" si="246"/>
        <v>20010</v>
      </c>
      <c r="AB558" s="23">
        <v>6622308</v>
      </c>
      <c r="AD558" s="23">
        <v>20</v>
      </c>
      <c r="AE558" s="23">
        <f t="shared" si="247"/>
        <v>10</v>
      </c>
    </row>
    <row r="559" spans="1:31" s="23" customFormat="1" x14ac:dyDescent="0.45">
      <c r="A559" s="23">
        <f t="shared" si="245"/>
        <v>10020110</v>
      </c>
      <c r="B559" s="23">
        <v>0</v>
      </c>
      <c r="C559" s="23">
        <v>20</v>
      </c>
      <c r="D559" s="23">
        <f t="shared" si="236"/>
        <v>11</v>
      </c>
      <c r="E559" s="23" t="s">
        <v>878</v>
      </c>
      <c r="F559" t="s">
        <v>890</v>
      </c>
      <c r="G559" s="55" t="s">
        <v>139</v>
      </c>
      <c r="H559" s="55">
        <v>8</v>
      </c>
      <c r="I559" s="55" t="s">
        <v>63</v>
      </c>
      <c r="J559" s="23" t="str">
        <f t="shared" si="241"/>
        <v>升级瞭望塔至8级</v>
      </c>
      <c r="K559" s="23">
        <f t="shared" si="242"/>
        <v>10020110</v>
      </c>
      <c r="L559" s="23" t="s">
        <v>879</v>
      </c>
      <c r="M559" s="23">
        <f t="shared" si="243"/>
        <v>10801020</v>
      </c>
      <c r="N559" s="23" t="s">
        <v>254</v>
      </c>
      <c r="O559" s="23" t="s">
        <v>52</v>
      </c>
      <c r="P559" s="4" t="s">
        <v>491</v>
      </c>
      <c r="Q559" s="23" t="s">
        <v>52</v>
      </c>
      <c r="R559" s="23" t="s">
        <v>140</v>
      </c>
      <c r="S559" s="24" t="str">
        <f t="shared" si="244"/>
        <v>buildingLevelUp{buildingType:226,buildingLevel:8}</v>
      </c>
      <c r="T559" s="24" t="s">
        <v>52</v>
      </c>
      <c r="U559" s="23" t="s">
        <v>881</v>
      </c>
      <c r="V559" s="24" t="s">
        <v>449</v>
      </c>
      <c r="W559" s="23">
        <f>VLOOKUP(V559,[1]界面跳转!$I:$J,2,FALSE)</f>
        <v>7049</v>
      </c>
      <c r="Y559" s="23" t="s">
        <v>56</v>
      </c>
      <c r="Z559" s="23" t="s">
        <v>57</v>
      </c>
      <c r="AA559" s="25">
        <f t="shared" si="246"/>
        <v>20011</v>
      </c>
      <c r="AB559" s="23">
        <v>6622308</v>
      </c>
      <c r="AD559" s="23">
        <v>20</v>
      </c>
      <c r="AE559" s="23">
        <f t="shared" si="247"/>
        <v>11</v>
      </c>
    </row>
    <row r="560" spans="1:31" s="23" customFormat="1" x14ac:dyDescent="0.45">
      <c r="A560" s="23">
        <f t="shared" si="245"/>
        <v>10020120</v>
      </c>
      <c r="B560" s="23">
        <v>0</v>
      </c>
      <c r="C560" s="23">
        <v>20</v>
      </c>
      <c r="D560" s="23">
        <f t="shared" si="236"/>
        <v>12</v>
      </c>
      <c r="E560" s="23" t="s">
        <v>878</v>
      </c>
      <c r="F560" s="23" t="s">
        <v>891</v>
      </c>
      <c r="G560" s="55" t="s">
        <v>883</v>
      </c>
      <c r="H560" s="55">
        <v>8</v>
      </c>
      <c r="I560" s="55" t="s">
        <v>63</v>
      </c>
      <c r="J560" s="23" t="str">
        <f t="shared" si="241"/>
        <v>升级2个防卫塔至8级</v>
      </c>
      <c r="K560" s="23">
        <f t="shared" si="242"/>
        <v>10020120</v>
      </c>
      <c r="L560" s="23" t="s">
        <v>879</v>
      </c>
      <c r="M560" s="23">
        <f t="shared" si="243"/>
        <v>10801020</v>
      </c>
      <c r="N560" s="23" t="s">
        <v>254</v>
      </c>
      <c r="O560" s="23" t="s">
        <v>52</v>
      </c>
      <c r="P560" s="4" t="s">
        <v>491</v>
      </c>
      <c r="Q560" s="23" t="s">
        <v>52</v>
      </c>
      <c r="R560" s="23" t="s">
        <v>884</v>
      </c>
      <c r="S560" s="24" t="str">
        <f t="shared" si="244"/>
        <v>buildingLevelUp{buildingType:227,buildingLevel:8}</v>
      </c>
      <c r="T560" s="24" t="s">
        <v>52</v>
      </c>
      <c r="U560" s="23" t="s">
        <v>885</v>
      </c>
      <c r="V560" s="24" t="s">
        <v>886</v>
      </c>
      <c r="W560" s="23">
        <f>VLOOKUP(V560,[1]界面跳转!$I:$J,2,FALSE)</f>
        <v>7051</v>
      </c>
      <c r="Y560" s="23" t="s">
        <v>56</v>
      </c>
      <c r="Z560" s="23" t="s">
        <v>57</v>
      </c>
      <c r="AA560" s="25">
        <f t="shared" si="246"/>
        <v>20012</v>
      </c>
      <c r="AB560" s="23">
        <v>6622308</v>
      </c>
      <c r="AD560" s="23">
        <v>20</v>
      </c>
      <c r="AE560" s="23">
        <f t="shared" si="247"/>
        <v>12</v>
      </c>
    </row>
    <row r="561" spans="1:31" s="23" customFormat="1" x14ac:dyDescent="0.45">
      <c r="A561" s="23">
        <f t="shared" ref="A561:A614" si="248">10000000+B561*100000+C561*1000+D561*10</f>
        <v>10020130</v>
      </c>
      <c r="B561" s="23">
        <v>0</v>
      </c>
      <c r="C561" s="23">
        <v>20</v>
      </c>
      <c r="D561" s="23">
        <f t="shared" si="236"/>
        <v>13</v>
      </c>
      <c r="E561" s="23" t="s">
        <v>878</v>
      </c>
      <c r="F561" t="s">
        <v>892</v>
      </c>
      <c r="G561" s="55" t="s">
        <v>319</v>
      </c>
      <c r="H561" s="55">
        <v>8</v>
      </c>
      <c r="I561" s="55" t="s">
        <v>63</v>
      </c>
      <c r="J561" s="23" t="str">
        <f t="shared" ref="J561:J614" si="249">G561&amp;H561&amp;I561</f>
        <v>升级大使馆至8级</v>
      </c>
      <c r="K561" s="23">
        <f t="shared" ref="K561:K614" si="250">A561</f>
        <v>10020130</v>
      </c>
      <c r="L561" s="23" t="s">
        <v>879</v>
      </c>
      <c r="M561" s="23">
        <f t="shared" si="243"/>
        <v>10801020</v>
      </c>
      <c r="N561" s="23" t="s">
        <v>254</v>
      </c>
      <c r="O561" s="23" t="s">
        <v>52</v>
      </c>
      <c r="P561" s="4" t="s">
        <v>491</v>
      </c>
      <c r="Q561" s="23" t="s">
        <v>52</v>
      </c>
      <c r="R561" s="23" t="s">
        <v>320</v>
      </c>
      <c r="S561" s="24" t="str">
        <f t="shared" ref="S561:S614" si="251">SUBSTITUTE(R561,"@@@",H561)</f>
        <v>buildingLevelUp{buildingType:230,buildingLevel:8}</v>
      </c>
      <c r="T561" s="24" t="s">
        <v>52</v>
      </c>
      <c r="U561" s="23" t="s">
        <v>893</v>
      </c>
      <c r="V561" s="24" t="s">
        <v>322</v>
      </c>
      <c r="W561" s="23">
        <f>VLOOKUP(V561,[1]界面跳转!$I:$J,2,FALSE)</f>
        <v>7055</v>
      </c>
      <c r="Y561" s="23" t="s">
        <v>56</v>
      </c>
      <c r="Z561" s="23" t="s">
        <v>57</v>
      </c>
      <c r="AA561" s="25">
        <f t="shared" si="246"/>
        <v>20013</v>
      </c>
      <c r="AB561" s="23">
        <v>6622308</v>
      </c>
      <c r="AD561" s="23">
        <v>20</v>
      </c>
      <c r="AE561" s="23">
        <f t="shared" si="247"/>
        <v>13</v>
      </c>
    </row>
    <row r="562" spans="1:31" s="23" customFormat="1" x14ac:dyDescent="0.45">
      <c r="A562" s="23">
        <f t="shared" si="248"/>
        <v>10020140</v>
      </c>
      <c r="B562" s="23">
        <v>0</v>
      </c>
      <c r="C562" s="23">
        <v>20</v>
      </c>
      <c r="D562" s="23">
        <f t="shared" si="236"/>
        <v>14</v>
      </c>
      <c r="E562" s="23" t="s">
        <v>878</v>
      </c>
      <c r="F562" s="23" t="s">
        <v>894</v>
      </c>
      <c r="G562" s="55" t="s">
        <v>268</v>
      </c>
      <c r="H562" s="55">
        <v>9</v>
      </c>
      <c r="I562" s="55" t="s">
        <v>63</v>
      </c>
      <c r="J562" s="23" t="str">
        <f t="shared" si="249"/>
        <v>升级市集至9级</v>
      </c>
      <c r="K562" s="23">
        <f t="shared" si="250"/>
        <v>10020140</v>
      </c>
      <c r="L562" s="23" t="s">
        <v>879</v>
      </c>
      <c r="M562" s="23">
        <f t="shared" si="243"/>
        <v>10801020</v>
      </c>
      <c r="N562" s="23" t="s">
        <v>254</v>
      </c>
      <c r="O562" s="23" t="s">
        <v>52</v>
      </c>
      <c r="P562" s="4" t="s">
        <v>491</v>
      </c>
      <c r="Q562" s="23" t="s">
        <v>52</v>
      </c>
      <c r="R562" s="23" t="s">
        <v>269</v>
      </c>
      <c r="S562" s="24" t="str">
        <f t="shared" si="251"/>
        <v>buildingLevelUp{buildingType:231,buildingLevel:9}</v>
      </c>
      <c r="T562" s="24" t="s">
        <v>52</v>
      </c>
      <c r="U562" s="23" t="s">
        <v>895</v>
      </c>
      <c r="V562" s="24" t="s">
        <v>271</v>
      </c>
      <c r="W562" s="23">
        <f>VLOOKUP(V562,[1]界面跳转!$I:$J,2,FALSE)</f>
        <v>7058</v>
      </c>
      <c r="Y562" s="23" t="s">
        <v>56</v>
      </c>
      <c r="Z562" s="23" t="s">
        <v>57</v>
      </c>
      <c r="AA562" s="25">
        <f t="shared" si="246"/>
        <v>20014</v>
      </c>
      <c r="AB562" s="23">
        <v>6622309</v>
      </c>
      <c r="AD562" s="23">
        <v>20</v>
      </c>
      <c r="AE562" s="23">
        <f t="shared" si="247"/>
        <v>14</v>
      </c>
    </row>
    <row r="563" spans="1:31" s="23" customFormat="1" x14ac:dyDescent="0.45">
      <c r="A563" s="23">
        <f t="shared" si="248"/>
        <v>10020150</v>
      </c>
      <c r="B563" s="23">
        <v>0</v>
      </c>
      <c r="C563" s="23">
        <v>20</v>
      </c>
      <c r="D563" s="23">
        <f t="shared" si="236"/>
        <v>15</v>
      </c>
      <c r="E563" s="23" t="s">
        <v>878</v>
      </c>
      <c r="F563" s="23" t="s">
        <v>203</v>
      </c>
      <c r="G563" s="55" t="s">
        <v>106</v>
      </c>
      <c r="H563" s="55">
        <v>9</v>
      </c>
      <c r="I563" s="55" t="s">
        <v>63</v>
      </c>
      <c r="J563" s="23" t="str">
        <f t="shared" si="249"/>
        <v>升级城墙至9级</v>
      </c>
      <c r="K563" s="23">
        <f t="shared" si="250"/>
        <v>10020150</v>
      </c>
      <c r="L563" s="23" t="s">
        <v>879</v>
      </c>
      <c r="M563" s="23">
        <f t="shared" si="243"/>
        <v>10801020</v>
      </c>
      <c r="N563" s="23" t="s">
        <v>254</v>
      </c>
      <c r="O563" s="23" t="s">
        <v>52</v>
      </c>
      <c r="P563" s="4" t="s">
        <v>491</v>
      </c>
      <c r="Q563" s="23" t="s">
        <v>52</v>
      </c>
      <c r="R563" s="23" t="s">
        <v>107</v>
      </c>
      <c r="S563" s="24" t="str">
        <f t="shared" si="251"/>
        <v>buildingLevelUp{buildingType:215,buildingLevel:9}</v>
      </c>
      <c r="T563" s="24" t="s">
        <v>52</v>
      </c>
      <c r="U563" s="23" t="s">
        <v>880</v>
      </c>
      <c r="V563" s="24" t="s">
        <v>249</v>
      </c>
      <c r="W563" s="23">
        <f>VLOOKUP(V563,[1]界面跳转!$I:$J,2,FALSE)</f>
        <v>7039</v>
      </c>
      <c r="Y563" s="23" t="s">
        <v>56</v>
      </c>
      <c r="Z563" s="23" t="s">
        <v>57</v>
      </c>
      <c r="AA563" s="25">
        <f t="shared" si="246"/>
        <v>20015</v>
      </c>
      <c r="AB563" s="23">
        <v>6622309</v>
      </c>
      <c r="AD563" s="23">
        <v>20</v>
      </c>
      <c r="AE563" s="23">
        <f t="shared" si="247"/>
        <v>15</v>
      </c>
    </row>
    <row r="564" spans="1:31" s="23" customFormat="1" x14ac:dyDescent="0.45">
      <c r="A564" s="23">
        <f t="shared" si="248"/>
        <v>10020160</v>
      </c>
      <c r="B564" s="23">
        <v>0</v>
      </c>
      <c r="C564" s="23">
        <v>20</v>
      </c>
      <c r="D564" s="23">
        <f t="shared" si="236"/>
        <v>16</v>
      </c>
      <c r="E564" s="23" t="s">
        <v>878</v>
      </c>
      <c r="F564" t="s">
        <v>896</v>
      </c>
      <c r="G564" s="55" t="s">
        <v>139</v>
      </c>
      <c r="H564" s="55">
        <v>9</v>
      </c>
      <c r="I564" s="55" t="s">
        <v>63</v>
      </c>
      <c r="J564" s="23" t="str">
        <f t="shared" si="249"/>
        <v>升级瞭望塔至9级</v>
      </c>
      <c r="K564" s="23">
        <f t="shared" si="250"/>
        <v>10020160</v>
      </c>
      <c r="L564" s="23" t="s">
        <v>879</v>
      </c>
      <c r="M564" s="23">
        <f t="shared" si="243"/>
        <v>10801020</v>
      </c>
      <c r="N564" s="23" t="s">
        <v>254</v>
      </c>
      <c r="O564" s="23" t="s">
        <v>52</v>
      </c>
      <c r="P564" s="4" t="s">
        <v>491</v>
      </c>
      <c r="Q564" s="23" t="s">
        <v>52</v>
      </c>
      <c r="R564" s="23" t="s">
        <v>140</v>
      </c>
      <c r="S564" s="24" t="str">
        <f t="shared" si="251"/>
        <v>buildingLevelUp{buildingType:226,buildingLevel:9}</v>
      </c>
      <c r="T564" s="24" t="s">
        <v>52</v>
      </c>
      <c r="U564" s="23" t="s">
        <v>881</v>
      </c>
      <c r="V564" s="24" t="s">
        <v>449</v>
      </c>
      <c r="W564" s="23">
        <f>VLOOKUP(V564,[1]界面跳转!$I:$J,2,FALSE)</f>
        <v>7049</v>
      </c>
      <c r="Y564" s="23" t="s">
        <v>56</v>
      </c>
      <c r="Z564" s="23" t="s">
        <v>57</v>
      </c>
      <c r="AA564" s="25">
        <f t="shared" si="246"/>
        <v>20016</v>
      </c>
      <c r="AB564" s="23">
        <v>6622309</v>
      </c>
      <c r="AD564" s="23">
        <v>20</v>
      </c>
      <c r="AE564" s="23">
        <f t="shared" si="247"/>
        <v>16</v>
      </c>
    </row>
    <row r="565" spans="1:31" s="23" customFormat="1" x14ac:dyDescent="0.45">
      <c r="A565" s="23">
        <f t="shared" si="248"/>
        <v>10020170</v>
      </c>
      <c r="B565" s="23">
        <v>0</v>
      </c>
      <c r="C565" s="23">
        <v>20</v>
      </c>
      <c r="D565" s="23">
        <f t="shared" si="236"/>
        <v>17</v>
      </c>
      <c r="E565" s="23" t="s">
        <v>878</v>
      </c>
      <c r="F565" s="23" t="s">
        <v>897</v>
      </c>
      <c r="G565" s="55" t="s">
        <v>883</v>
      </c>
      <c r="H565" s="55">
        <v>9</v>
      </c>
      <c r="I565" s="55" t="s">
        <v>63</v>
      </c>
      <c r="J565" s="23" t="str">
        <f t="shared" si="249"/>
        <v>升级2个防卫塔至9级</v>
      </c>
      <c r="K565" s="23">
        <f t="shared" si="250"/>
        <v>10020170</v>
      </c>
      <c r="L565" s="23" t="s">
        <v>879</v>
      </c>
      <c r="M565" s="23">
        <f t="shared" si="243"/>
        <v>10801020</v>
      </c>
      <c r="N565" s="23" t="s">
        <v>254</v>
      </c>
      <c r="O565" s="23" t="s">
        <v>52</v>
      </c>
      <c r="P565" s="4" t="s">
        <v>491</v>
      </c>
      <c r="Q565" s="23" t="s">
        <v>52</v>
      </c>
      <c r="R565" s="23" t="s">
        <v>884</v>
      </c>
      <c r="S565" s="24" t="str">
        <f t="shared" si="251"/>
        <v>buildingLevelUp{buildingType:227,buildingLevel:9}</v>
      </c>
      <c r="T565" s="24" t="s">
        <v>52</v>
      </c>
      <c r="U565" s="23" t="s">
        <v>885</v>
      </c>
      <c r="V565" s="24" t="s">
        <v>886</v>
      </c>
      <c r="W565" s="23">
        <f>VLOOKUP(V565,[1]界面跳转!$I:$J,2,FALSE)</f>
        <v>7051</v>
      </c>
      <c r="Y565" s="23" t="s">
        <v>56</v>
      </c>
      <c r="Z565" s="23" t="s">
        <v>57</v>
      </c>
      <c r="AA565" s="25">
        <f t="shared" si="246"/>
        <v>20017</v>
      </c>
      <c r="AB565" s="23">
        <v>6622309</v>
      </c>
      <c r="AD565" s="23">
        <v>20</v>
      </c>
      <c r="AE565" s="23">
        <f t="shared" si="247"/>
        <v>17</v>
      </c>
    </row>
    <row r="566" spans="1:31" s="23" customFormat="1" x14ac:dyDescent="0.45">
      <c r="A566" s="23">
        <f t="shared" si="248"/>
        <v>10020180</v>
      </c>
      <c r="B566" s="23">
        <v>0</v>
      </c>
      <c r="C566" s="23">
        <v>20</v>
      </c>
      <c r="D566" s="23">
        <f t="shared" si="236"/>
        <v>18</v>
      </c>
      <c r="E566" s="23" t="s">
        <v>878</v>
      </c>
      <c r="F566" t="s">
        <v>898</v>
      </c>
      <c r="G566" s="55" t="s">
        <v>319</v>
      </c>
      <c r="H566" s="55">
        <v>9</v>
      </c>
      <c r="I566" s="55" t="s">
        <v>63</v>
      </c>
      <c r="J566" s="23" t="str">
        <f t="shared" si="249"/>
        <v>升级大使馆至9级</v>
      </c>
      <c r="K566" s="23">
        <f t="shared" si="250"/>
        <v>10020180</v>
      </c>
      <c r="L566" s="23" t="s">
        <v>879</v>
      </c>
      <c r="M566" s="23">
        <f t="shared" si="243"/>
        <v>10801020</v>
      </c>
      <c r="N566" s="23" t="s">
        <v>254</v>
      </c>
      <c r="O566" s="23" t="s">
        <v>52</v>
      </c>
      <c r="P566" s="4" t="s">
        <v>491</v>
      </c>
      <c r="Q566" s="23" t="s">
        <v>52</v>
      </c>
      <c r="R566" s="23" t="s">
        <v>320</v>
      </c>
      <c r="S566" s="24" t="str">
        <f t="shared" si="251"/>
        <v>buildingLevelUp{buildingType:230,buildingLevel:9}</v>
      </c>
      <c r="T566" s="24" t="s">
        <v>52</v>
      </c>
      <c r="U566" s="23" t="s">
        <v>893</v>
      </c>
      <c r="V566" s="24" t="s">
        <v>322</v>
      </c>
      <c r="W566" s="23">
        <f>VLOOKUP(V566,[1]界面跳转!$I:$J,2,FALSE)</f>
        <v>7055</v>
      </c>
      <c r="Y566" s="23" t="s">
        <v>56</v>
      </c>
      <c r="Z566" s="23" t="s">
        <v>57</v>
      </c>
      <c r="AA566" s="25">
        <f t="shared" si="246"/>
        <v>20018</v>
      </c>
      <c r="AB566" s="23">
        <v>6622309</v>
      </c>
      <c r="AD566" s="23">
        <v>20</v>
      </c>
      <c r="AE566" s="23">
        <f t="shared" si="247"/>
        <v>18</v>
      </c>
    </row>
    <row r="567" spans="1:31" s="23" customFormat="1" x14ac:dyDescent="0.45">
      <c r="A567" s="23">
        <f t="shared" si="248"/>
        <v>10020190</v>
      </c>
      <c r="B567" s="23">
        <v>0</v>
      </c>
      <c r="C567" s="23">
        <v>20</v>
      </c>
      <c r="D567" s="23">
        <f t="shared" si="236"/>
        <v>19</v>
      </c>
      <c r="E567" s="23" t="s">
        <v>878</v>
      </c>
      <c r="F567" s="23" t="s">
        <v>899</v>
      </c>
      <c r="G567" s="55" t="s">
        <v>268</v>
      </c>
      <c r="H567" s="55">
        <v>10</v>
      </c>
      <c r="I567" s="55" t="s">
        <v>63</v>
      </c>
      <c r="J567" s="23" t="str">
        <f t="shared" si="249"/>
        <v>升级市集至10级</v>
      </c>
      <c r="K567" s="23">
        <f t="shared" si="250"/>
        <v>10020190</v>
      </c>
      <c r="L567" s="23" t="s">
        <v>879</v>
      </c>
      <c r="M567" s="23">
        <f t="shared" si="243"/>
        <v>10801020</v>
      </c>
      <c r="N567" s="23" t="s">
        <v>254</v>
      </c>
      <c r="O567" s="23" t="s">
        <v>52</v>
      </c>
      <c r="P567" s="4" t="s">
        <v>491</v>
      </c>
      <c r="Q567" s="23" t="s">
        <v>52</v>
      </c>
      <c r="R567" s="23" t="s">
        <v>269</v>
      </c>
      <c r="S567" s="24" t="str">
        <f t="shared" si="251"/>
        <v>buildingLevelUp{buildingType:231,buildingLevel:10}</v>
      </c>
      <c r="T567" s="24" t="s">
        <v>52</v>
      </c>
      <c r="U567" s="23" t="s">
        <v>895</v>
      </c>
      <c r="V567" s="24" t="s">
        <v>271</v>
      </c>
      <c r="W567" s="23">
        <f>VLOOKUP(V567,[1]界面跳转!$I:$J,2,FALSE)</f>
        <v>7058</v>
      </c>
      <c r="Y567" s="23" t="s">
        <v>56</v>
      </c>
      <c r="Z567" s="23" t="s">
        <v>57</v>
      </c>
      <c r="AA567" s="25">
        <f t="shared" si="246"/>
        <v>20019</v>
      </c>
      <c r="AB567" s="23">
        <v>6622310</v>
      </c>
      <c r="AD567" s="23">
        <v>20</v>
      </c>
      <c r="AE567" s="23">
        <f t="shared" si="247"/>
        <v>19</v>
      </c>
    </row>
    <row r="568" spans="1:31" s="23" customFormat="1" x14ac:dyDescent="0.45">
      <c r="A568" s="23">
        <f t="shared" si="248"/>
        <v>10020200</v>
      </c>
      <c r="B568" s="23">
        <v>0</v>
      </c>
      <c r="C568" s="23">
        <v>20</v>
      </c>
      <c r="D568" s="23">
        <f t="shared" si="236"/>
        <v>20</v>
      </c>
      <c r="E568" s="23" t="s">
        <v>878</v>
      </c>
      <c r="F568" s="23" t="s">
        <v>248</v>
      </c>
      <c r="G568" s="55" t="s">
        <v>106</v>
      </c>
      <c r="H568" s="55">
        <v>10</v>
      </c>
      <c r="I568" s="55" t="s">
        <v>63</v>
      </c>
      <c r="J568" s="23" t="str">
        <f t="shared" si="249"/>
        <v>升级城墙至10级</v>
      </c>
      <c r="K568" s="23">
        <f t="shared" si="250"/>
        <v>10020200</v>
      </c>
      <c r="L568" s="23" t="s">
        <v>879</v>
      </c>
      <c r="M568" s="23">
        <f t="shared" si="243"/>
        <v>10801020</v>
      </c>
      <c r="N568" s="23" t="s">
        <v>254</v>
      </c>
      <c r="O568" s="23" t="s">
        <v>52</v>
      </c>
      <c r="P568" s="4" t="s">
        <v>491</v>
      </c>
      <c r="Q568" s="23" t="s">
        <v>52</v>
      </c>
      <c r="R568" s="23" t="s">
        <v>107</v>
      </c>
      <c r="S568" s="24" t="str">
        <f t="shared" si="251"/>
        <v>buildingLevelUp{buildingType:215,buildingLevel:10}</v>
      </c>
      <c r="T568" s="24" t="s">
        <v>52</v>
      </c>
      <c r="U568" s="23" t="s">
        <v>880</v>
      </c>
      <c r="V568" s="24" t="s">
        <v>249</v>
      </c>
      <c r="W568" s="23">
        <f>VLOOKUP(V568,[1]界面跳转!$I:$J,2,FALSE)</f>
        <v>7039</v>
      </c>
      <c r="Y568" s="23" t="s">
        <v>56</v>
      </c>
      <c r="Z568" s="23" t="s">
        <v>57</v>
      </c>
      <c r="AA568" s="25">
        <f t="shared" si="246"/>
        <v>20020</v>
      </c>
      <c r="AB568" s="23">
        <v>6622310</v>
      </c>
      <c r="AD568" s="23">
        <v>20</v>
      </c>
      <c r="AE568" s="23">
        <f t="shared" si="247"/>
        <v>20</v>
      </c>
    </row>
    <row r="569" spans="1:31" s="23" customFormat="1" x14ac:dyDescent="0.45">
      <c r="A569" s="23">
        <f t="shared" si="248"/>
        <v>10020210</v>
      </c>
      <c r="B569" s="23">
        <v>0</v>
      </c>
      <c r="C569" s="23">
        <v>20</v>
      </c>
      <c r="D569" s="23">
        <f t="shared" si="236"/>
        <v>21</v>
      </c>
      <c r="E569" s="23" t="s">
        <v>878</v>
      </c>
      <c r="F569" t="s">
        <v>900</v>
      </c>
      <c r="G569" s="55" t="s">
        <v>139</v>
      </c>
      <c r="H569" s="55">
        <v>10</v>
      </c>
      <c r="I569" s="55" t="s">
        <v>63</v>
      </c>
      <c r="J569" s="23" t="str">
        <f t="shared" si="249"/>
        <v>升级瞭望塔至10级</v>
      </c>
      <c r="K569" s="23">
        <f t="shared" si="250"/>
        <v>10020210</v>
      </c>
      <c r="L569" s="23" t="s">
        <v>879</v>
      </c>
      <c r="M569" s="23">
        <f t="shared" si="243"/>
        <v>10801020</v>
      </c>
      <c r="N569" s="23" t="s">
        <v>254</v>
      </c>
      <c r="O569" s="23" t="s">
        <v>52</v>
      </c>
      <c r="P569" s="4" t="s">
        <v>491</v>
      </c>
      <c r="Q569" s="23" t="s">
        <v>52</v>
      </c>
      <c r="R569" s="23" t="s">
        <v>140</v>
      </c>
      <c r="S569" s="24" t="str">
        <f t="shared" si="251"/>
        <v>buildingLevelUp{buildingType:226,buildingLevel:10}</v>
      </c>
      <c r="T569" s="24" t="s">
        <v>52</v>
      </c>
      <c r="U569" s="23" t="s">
        <v>881</v>
      </c>
      <c r="V569" s="24" t="s">
        <v>449</v>
      </c>
      <c r="W569" s="23">
        <f>VLOOKUP(V569,[1]界面跳转!$I:$J,2,FALSE)</f>
        <v>7049</v>
      </c>
      <c r="Y569" s="23" t="s">
        <v>56</v>
      </c>
      <c r="Z569" s="23" t="s">
        <v>57</v>
      </c>
      <c r="AA569" s="25">
        <f t="shared" si="246"/>
        <v>20021</v>
      </c>
      <c r="AB569" s="23">
        <v>6622310</v>
      </c>
      <c r="AD569" s="23">
        <v>20</v>
      </c>
      <c r="AE569" s="23">
        <f t="shared" si="247"/>
        <v>21</v>
      </c>
    </row>
    <row r="570" spans="1:31" s="23" customFormat="1" x14ac:dyDescent="0.45">
      <c r="A570" s="23">
        <f t="shared" si="248"/>
        <v>10020220</v>
      </c>
      <c r="B570" s="23">
        <v>0</v>
      </c>
      <c r="C570" s="23">
        <v>20</v>
      </c>
      <c r="D570" s="23">
        <f t="shared" si="236"/>
        <v>22</v>
      </c>
      <c r="E570" s="23" t="s">
        <v>878</v>
      </c>
      <c r="F570" s="23" t="s">
        <v>901</v>
      </c>
      <c r="G570" s="55" t="s">
        <v>883</v>
      </c>
      <c r="H570" s="55">
        <v>10</v>
      </c>
      <c r="I570" s="55" t="s">
        <v>63</v>
      </c>
      <c r="J570" s="23" t="str">
        <f t="shared" si="249"/>
        <v>升级2个防卫塔至10级</v>
      </c>
      <c r="K570" s="23">
        <f t="shared" si="250"/>
        <v>10020220</v>
      </c>
      <c r="L570" s="23" t="s">
        <v>879</v>
      </c>
      <c r="M570" s="23">
        <f t="shared" si="243"/>
        <v>10801020</v>
      </c>
      <c r="N570" s="23" t="s">
        <v>254</v>
      </c>
      <c r="O570" s="23" t="s">
        <v>52</v>
      </c>
      <c r="P570" s="4" t="s">
        <v>491</v>
      </c>
      <c r="Q570" s="23" t="s">
        <v>52</v>
      </c>
      <c r="R570" s="23" t="s">
        <v>884</v>
      </c>
      <c r="S570" s="24" t="str">
        <f t="shared" si="251"/>
        <v>buildingLevelUp{buildingType:227,buildingLevel:10}</v>
      </c>
      <c r="T570" s="24" t="s">
        <v>52</v>
      </c>
      <c r="U570" s="23" t="s">
        <v>885</v>
      </c>
      <c r="V570" s="24" t="s">
        <v>886</v>
      </c>
      <c r="W570" s="23">
        <f>VLOOKUP(V570,[1]界面跳转!$I:$J,2,FALSE)</f>
        <v>7051</v>
      </c>
      <c r="Y570" s="23" t="s">
        <v>56</v>
      </c>
      <c r="Z570" s="23" t="s">
        <v>57</v>
      </c>
      <c r="AA570" s="25">
        <f t="shared" si="246"/>
        <v>20022</v>
      </c>
      <c r="AB570" s="23">
        <v>6622310</v>
      </c>
      <c r="AD570" s="23">
        <v>20</v>
      </c>
      <c r="AE570" s="23">
        <f t="shared" si="247"/>
        <v>22</v>
      </c>
    </row>
    <row r="571" spans="1:31" s="23" customFormat="1" x14ac:dyDescent="0.45">
      <c r="A571" s="23">
        <f t="shared" si="248"/>
        <v>10020230</v>
      </c>
      <c r="B571" s="23">
        <v>0</v>
      </c>
      <c r="C571" s="23">
        <v>20</v>
      </c>
      <c r="D571" s="23">
        <f t="shared" si="236"/>
        <v>23</v>
      </c>
      <c r="E571" s="23" t="s">
        <v>878</v>
      </c>
      <c r="F571" t="s">
        <v>902</v>
      </c>
      <c r="G571" s="55" t="s">
        <v>319</v>
      </c>
      <c r="H571" s="55">
        <v>10</v>
      </c>
      <c r="I571" s="55" t="s">
        <v>63</v>
      </c>
      <c r="J571" s="23" t="str">
        <f t="shared" si="249"/>
        <v>升级大使馆至10级</v>
      </c>
      <c r="K571" s="23">
        <f t="shared" si="250"/>
        <v>10020230</v>
      </c>
      <c r="L571" s="23" t="s">
        <v>879</v>
      </c>
      <c r="M571" s="23">
        <f t="shared" si="243"/>
        <v>10801020</v>
      </c>
      <c r="N571" s="23" t="s">
        <v>254</v>
      </c>
      <c r="O571" s="23" t="s">
        <v>52</v>
      </c>
      <c r="P571" s="4" t="s">
        <v>491</v>
      </c>
      <c r="Q571" s="23" t="s">
        <v>52</v>
      </c>
      <c r="R571" s="23" t="s">
        <v>320</v>
      </c>
      <c r="S571" s="24" t="str">
        <f t="shared" si="251"/>
        <v>buildingLevelUp{buildingType:230,buildingLevel:10}</v>
      </c>
      <c r="T571" s="24" t="s">
        <v>52</v>
      </c>
      <c r="U571" s="23" t="s">
        <v>893</v>
      </c>
      <c r="V571" s="24" t="s">
        <v>322</v>
      </c>
      <c r="W571" s="23">
        <f>VLOOKUP(V571,[1]界面跳转!$I:$J,2,FALSE)</f>
        <v>7055</v>
      </c>
      <c r="Y571" s="23" t="s">
        <v>56</v>
      </c>
      <c r="Z571" s="23" t="s">
        <v>57</v>
      </c>
      <c r="AA571" s="25">
        <f t="shared" si="246"/>
        <v>20023</v>
      </c>
      <c r="AB571" s="23">
        <v>6622310</v>
      </c>
      <c r="AD571" s="23">
        <v>20</v>
      </c>
      <c r="AE571" s="23">
        <f t="shared" si="247"/>
        <v>23</v>
      </c>
    </row>
    <row r="572" spans="1:31" s="23" customFormat="1" x14ac:dyDescent="0.45">
      <c r="A572" s="23">
        <f t="shared" si="248"/>
        <v>10020240</v>
      </c>
      <c r="B572" s="23">
        <v>0</v>
      </c>
      <c r="C572" s="23">
        <v>20</v>
      </c>
      <c r="D572" s="23">
        <f t="shared" si="236"/>
        <v>24</v>
      </c>
      <c r="E572" s="23" t="s">
        <v>878</v>
      </c>
      <c r="F572" t="s">
        <v>287</v>
      </c>
      <c r="G572" s="55" t="s">
        <v>288</v>
      </c>
      <c r="H572" s="55">
        <v>10</v>
      </c>
      <c r="I572" s="55" t="s">
        <v>63</v>
      </c>
      <c r="J572" s="23" t="str">
        <f t="shared" si="249"/>
        <v>升级战争大厅至10级</v>
      </c>
      <c r="K572" s="23">
        <f t="shared" si="250"/>
        <v>10020240</v>
      </c>
      <c r="L572" s="23" t="s">
        <v>879</v>
      </c>
      <c r="M572" s="23">
        <f t="shared" si="243"/>
        <v>10801020</v>
      </c>
      <c r="N572" s="23" t="s">
        <v>254</v>
      </c>
      <c r="O572" s="23" t="s">
        <v>52</v>
      </c>
      <c r="P572" s="4" t="s">
        <v>491</v>
      </c>
      <c r="Q572" s="23" t="s">
        <v>52</v>
      </c>
      <c r="R572" s="23" t="s">
        <v>289</v>
      </c>
      <c r="S572" s="24" t="str">
        <f t="shared" si="251"/>
        <v>buildingLevelUp{buildingType:229,buildingLevel:10}</v>
      </c>
      <c r="T572" s="24" t="s">
        <v>52</v>
      </c>
      <c r="U572" s="23" t="s">
        <v>290</v>
      </c>
      <c r="V572" s="24" t="s">
        <v>291</v>
      </c>
      <c r="W572" s="23">
        <f>VLOOKUP(V572,[1]界面跳转!$I:$J,2,FALSE)</f>
        <v>7052</v>
      </c>
      <c r="Y572" s="23" t="s">
        <v>56</v>
      </c>
      <c r="Z572" s="23" t="s">
        <v>57</v>
      </c>
      <c r="AA572" s="25">
        <f t="shared" si="246"/>
        <v>20024</v>
      </c>
      <c r="AB572" s="23">
        <v>6622310</v>
      </c>
      <c r="AD572" s="23">
        <v>20</v>
      </c>
      <c r="AE572" s="23">
        <f t="shared" si="247"/>
        <v>24</v>
      </c>
    </row>
    <row r="573" spans="1:31" s="23" customFormat="1" x14ac:dyDescent="0.45">
      <c r="A573" s="23">
        <f t="shared" si="248"/>
        <v>10020250</v>
      </c>
      <c r="B573" s="23">
        <v>0</v>
      </c>
      <c r="C573" s="23">
        <v>20</v>
      </c>
      <c r="D573" s="23">
        <f t="shared" si="236"/>
        <v>25</v>
      </c>
      <c r="E573" s="23" t="s">
        <v>878</v>
      </c>
      <c r="F573" s="23" t="s">
        <v>903</v>
      </c>
      <c r="G573" s="55" t="s">
        <v>268</v>
      </c>
      <c r="H573" s="55">
        <v>11</v>
      </c>
      <c r="I573" s="55" t="s">
        <v>63</v>
      </c>
      <c r="J573" s="23" t="str">
        <f t="shared" si="249"/>
        <v>升级市集至11级</v>
      </c>
      <c r="K573" s="23">
        <f t="shared" si="250"/>
        <v>10020250</v>
      </c>
      <c r="L573" s="23" t="s">
        <v>879</v>
      </c>
      <c r="M573" s="23">
        <f t="shared" si="243"/>
        <v>10801020</v>
      </c>
      <c r="N573" s="23" t="s">
        <v>254</v>
      </c>
      <c r="O573" s="23" t="s">
        <v>52</v>
      </c>
      <c r="P573" s="4" t="s">
        <v>491</v>
      </c>
      <c r="Q573" s="23" t="s">
        <v>52</v>
      </c>
      <c r="R573" s="23" t="s">
        <v>269</v>
      </c>
      <c r="S573" s="24" t="str">
        <f t="shared" si="251"/>
        <v>buildingLevelUp{buildingType:231,buildingLevel:11}</v>
      </c>
      <c r="T573" s="24" t="s">
        <v>52</v>
      </c>
      <c r="U573" s="23" t="s">
        <v>895</v>
      </c>
      <c r="V573" s="24" t="s">
        <v>271</v>
      </c>
      <c r="W573" s="23">
        <f>VLOOKUP(V573,[1]界面跳转!$I:$J,2,FALSE)</f>
        <v>7058</v>
      </c>
      <c r="Y573" s="23" t="s">
        <v>56</v>
      </c>
      <c r="Z573" s="23" t="s">
        <v>57</v>
      </c>
      <c r="AA573" s="25">
        <f t="shared" si="246"/>
        <v>20025</v>
      </c>
      <c r="AB573" s="23">
        <v>6622311</v>
      </c>
      <c r="AD573" s="23">
        <v>20</v>
      </c>
      <c r="AE573" s="23">
        <f t="shared" si="247"/>
        <v>25</v>
      </c>
    </row>
    <row r="574" spans="1:31" s="23" customFormat="1" x14ac:dyDescent="0.45">
      <c r="A574" s="23">
        <f t="shared" si="248"/>
        <v>10020260</v>
      </c>
      <c r="B574" s="23">
        <v>0</v>
      </c>
      <c r="C574" s="23">
        <v>20</v>
      </c>
      <c r="D574" s="23">
        <f t="shared" si="236"/>
        <v>26</v>
      </c>
      <c r="E574" s="23" t="s">
        <v>878</v>
      </c>
      <c r="F574" s="23" t="s">
        <v>274</v>
      </c>
      <c r="G574" s="55" t="s">
        <v>106</v>
      </c>
      <c r="H574" s="55">
        <v>11</v>
      </c>
      <c r="I574" s="55" t="s">
        <v>63</v>
      </c>
      <c r="J574" s="23" t="str">
        <f t="shared" si="249"/>
        <v>升级城墙至11级</v>
      </c>
      <c r="K574" s="23">
        <f t="shared" si="250"/>
        <v>10020260</v>
      </c>
      <c r="L574" s="23" t="s">
        <v>879</v>
      </c>
      <c r="M574" s="23">
        <f t="shared" si="243"/>
        <v>10801020</v>
      </c>
      <c r="N574" s="23" t="s">
        <v>254</v>
      </c>
      <c r="O574" s="23" t="s">
        <v>52</v>
      </c>
      <c r="P574" s="4" t="s">
        <v>491</v>
      </c>
      <c r="Q574" s="23" t="s">
        <v>52</v>
      </c>
      <c r="R574" s="23" t="s">
        <v>107</v>
      </c>
      <c r="S574" s="24" t="str">
        <f t="shared" si="251"/>
        <v>buildingLevelUp{buildingType:215,buildingLevel:11}</v>
      </c>
      <c r="T574" s="24" t="s">
        <v>52</v>
      </c>
      <c r="U574" s="23" t="s">
        <v>880</v>
      </c>
      <c r="V574" s="24" t="s">
        <v>249</v>
      </c>
      <c r="W574" s="23">
        <f>VLOOKUP(V574,[1]界面跳转!$I:$J,2,FALSE)</f>
        <v>7039</v>
      </c>
      <c r="Y574" s="23" t="s">
        <v>56</v>
      </c>
      <c r="Z574" s="23" t="s">
        <v>57</v>
      </c>
      <c r="AA574" s="25">
        <f t="shared" si="246"/>
        <v>20026</v>
      </c>
      <c r="AB574" s="23">
        <v>6622311</v>
      </c>
      <c r="AD574" s="23">
        <v>20</v>
      </c>
      <c r="AE574" s="23">
        <f t="shared" si="247"/>
        <v>26</v>
      </c>
    </row>
    <row r="575" spans="1:31" s="23" customFormat="1" x14ac:dyDescent="0.45">
      <c r="A575" s="23">
        <f t="shared" si="248"/>
        <v>10020270</v>
      </c>
      <c r="B575" s="23">
        <v>0</v>
      </c>
      <c r="C575" s="23">
        <v>20</v>
      </c>
      <c r="D575" s="23">
        <f t="shared" si="236"/>
        <v>27</v>
      </c>
      <c r="E575" s="23" t="s">
        <v>878</v>
      </c>
      <c r="F575" t="s">
        <v>904</v>
      </c>
      <c r="G575" s="55" t="s">
        <v>139</v>
      </c>
      <c r="H575" s="55">
        <v>11</v>
      </c>
      <c r="I575" s="55" t="s">
        <v>63</v>
      </c>
      <c r="J575" s="23" t="str">
        <f t="shared" si="249"/>
        <v>升级瞭望塔至11级</v>
      </c>
      <c r="K575" s="23">
        <f t="shared" si="250"/>
        <v>10020270</v>
      </c>
      <c r="L575" s="23" t="s">
        <v>879</v>
      </c>
      <c r="M575" s="23">
        <f t="shared" si="243"/>
        <v>10801020</v>
      </c>
      <c r="N575" s="23" t="s">
        <v>254</v>
      </c>
      <c r="O575" s="23" t="s">
        <v>52</v>
      </c>
      <c r="P575" s="4" t="s">
        <v>491</v>
      </c>
      <c r="Q575" s="23" t="s">
        <v>52</v>
      </c>
      <c r="R575" s="23" t="s">
        <v>140</v>
      </c>
      <c r="S575" s="24" t="str">
        <f t="shared" si="251"/>
        <v>buildingLevelUp{buildingType:226,buildingLevel:11}</v>
      </c>
      <c r="T575" s="24" t="s">
        <v>52</v>
      </c>
      <c r="U575" s="23" t="s">
        <v>881</v>
      </c>
      <c r="V575" s="24" t="s">
        <v>449</v>
      </c>
      <c r="W575" s="23">
        <f>VLOOKUP(V575,[1]界面跳转!$I:$J,2,FALSE)</f>
        <v>7049</v>
      </c>
      <c r="Y575" s="23" t="s">
        <v>56</v>
      </c>
      <c r="Z575" s="23" t="s">
        <v>57</v>
      </c>
      <c r="AA575" s="25">
        <f t="shared" si="246"/>
        <v>20027</v>
      </c>
      <c r="AB575" s="23">
        <v>6622311</v>
      </c>
      <c r="AD575" s="23">
        <v>20</v>
      </c>
      <c r="AE575" s="23">
        <f t="shared" si="247"/>
        <v>27</v>
      </c>
    </row>
    <row r="576" spans="1:31" s="23" customFormat="1" x14ac:dyDescent="0.45">
      <c r="A576" s="23">
        <f t="shared" si="248"/>
        <v>10020280</v>
      </c>
      <c r="B576" s="23">
        <v>0</v>
      </c>
      <c r="C576" s="23">
        <v>20</v>
      </c>
      <c r="D576" s="23">
        <f t="shared" si="236"/>
        <v>28</v>
      </c>
      <c r="E576" s="23" t="s">
        <v>878</v>
      </c>
      <c r="F576" s="23" t="s">
        <v>905</v>
      </c>
      <c r="G576" s="55" t="s">
        <v>883</v>
      </c>
      <c r="H576" s="55">
        <v>11</v>
      </c>
      <c r="I576" s="55" t="s">
        <v>63</v>
      </c>
      <c r="J576" s="23" t="str">
        <f t="shared" si="249"/>
        <v>升级2个防卫塔至11级</v>
      </c>
      <c r="K576" s="23">
        <f t="shared" si="250"/>
        <v>10020280</v>
      </c>
      <c r="L576" s="23" t="s">
        <v>879</v>
      </c>
      <c r="M576" s="23">
        <f t="shared" si="243"/>
        <v>10801020</v>
      </c>
      <c r="N576" s="23" t="s">
        <v>254</v>
      </c>
      <c r="O576" s="23" t="s">
        <v>52</v>
      </c>
      <c r="P576" s="4" t="s">
        <v>491</v>
      </c>
      <c r="Q576" s="23" t="s">
        <v>52</v>
      </c>
      <c r="R576" s="23" t="s">
        <v>884</v>
      </c>
      <c r="S576" s="24" t="str">
        <f t="shared" si="251"/>
        <v>buildingLevelUp{buildingType:227,buildingLevel:11}</v>
      </c>
      <c r="T576" s="24" t="s">
        <v>52</v>
      </c>
      <c r="U576" s="23" t="s">
        <v>885</v>
      </c>
      <c r="V576" s="24" t="s">
        <v>886</v>
      </c>
      <c r="W576" s="23">
        <f>VLOOKUP(V576,[1]界面跳转!$I:$J,2,FALSE)</f>
        <v>7051</v>
      </c>
      <c r="Y576" s="23" t="s">
        <v>56</v>
      </c>
      <c r="Z576" s="23" t="s">
        <v>57</v>
      </c>
      <c r="AA576" s="25">
        <f t="shared" si="246"/>
        <v>20028</v>
      </c>
      <c r="AB576" s="23">
        <v>6622311</v>
      </c>
      <c r="AD576" s="23">
        <v>20</v>
      </c>
      <c r="AE576" s="23">
        <f t="shared" si="247"/>
        <v>28</v>
      </c>
    </row>
    <row r="577" spans="1:31" s="23" customFormat="1" x14ac:dyDescent="0.45">
      <c r="A577" s="23">
        <f t="shared" si="248"/>
        <v>10020290</v>
      </c>
      <c r="B577" s="23">
        <v>0</v>
      </c>
      <c r="C577" s="23">
        <v>20</v>
      </c>
      <c r="D577" s="23">
        <f t="shared" si="236"/>
        <v>29</v>
      </c>
      <c r="E577" s="23" t="s">
        <v>878</v>
      </c>
      <c r="F577" t="s">
        <v>906</v>
      </c>
      <c r="G577" s="55" t="s">
        <v>319</v>
      </c>
      <c r="H577" s="55">
        <v>11</v>
      </c>
      <c r="I577" s="55" t="s">
        <v>63</v>
      </c>
      <c r="J577" s="23" t="str">
        <f t="shared" si="249"/>
        <v>升级大使馆至11级</v>
      </c>
      <c r="K577" s="23">
        <f t="shared" si="250"/>
        <v>10020290</v>
      </c>
      <c r="L577" s="23" t="s">
        <v>879</v>
      </c>
      <c r="M577" s="23">
        <f t="shared" si="243"/>
        <v>10801020</v>
      </c>
      <c r="N577" s="23" t="s">
        <v>254</v>
      </c>
      <c r="O577" s="23" t="s">
        <v>52</v>
      </c>
      <c r="P577" s="4" t="s">
        <v>491</v>
      </c>
      <c r="Q577" s="23" t="s">
        <v>52</v>
      </c>
      <c r="R577" s="23" t="s">
        <v>320</v>
      </c>
      <c r="S577" s="24" t="str">
        <f t="shared" si="251"/>
        <v>buildingLevelUp{buildingType:230,buildingLevel:11}</v>
      </c>
      <c r="T577" s="24" t="s">
        <v>52</v>
      </c>
      <c r="U577" s="23" t="s">
        <v>893</v>
      </c>
      <c r="V577" s="24" t="s">
        <v>322</v>
      </c>
      <c r="W577" s="23">
        <f>VLOOKUP(V577,[1]界面跳转!$I:$J,2,FALSE)</f>
        <v>7055</v>
      </c>
      <c r="Y577" s="23" t="s">
        <v>56</v>
      </c>
      <c r="Z577" s="23" t="s">
        <v>57</v>
      </c>
      <c r="AA577" s="25">
        <f t="shared" si="246"/>
        <v>20029</v>
      </c>
      <c r="AB577" s="23">
        <v>6622311</v>
      </c>
      <c r="AD577" s="23">
        <v>20</v>
      </c>
      <c r="AE577" s="23">
        <f t="shared" si="247"/>
        <v>29</v>
      </c>
    </row>
    <row r="578" spans="1:31" s="23" customFormat="1" x14ac:dyDescent="0.45">
      <c r="A578" s="23">
        <f t="shared" si="248"/>
        <v>10020300</v>
      </c>
      <c r="B578" s="23">
        <v>0</v>
      </c>
      <c r="C578" s="23">
        <v>20</v>
      </c>
      <c r="D578" s="23">
        <f t="shared" si="236"/>
        <v>30</v>
      </c>
      <c r="E578" s="23" t="s">
        <v>878</v>
      </c>
      <c r="F578" t="s">
        <v>907</v>
      </c>
      <c r="G578" s="55" t="s">
        <v>288</v>
      </c>
      <c r="H578" s="55">
        <v>11</v>
      </c>
      <c r="I578" s="55" t="s">
        <v>63</v>
      </c>
      <c r="J578" s="23" t="str">
        <f t="shared" si="249"/>
        <v>升级战争大厅至11级</v>
      </c>
      <c r="K578" s="23">
        <f t="shared" si="250"/>
        <v>10020300</v>
      </c>
      <c r="L578" s="23" t="s">
        <v>879</v>
      </c>
      <c r="M578" s="23">
        <f t="shared" si="243"/>
        <v>10801020</v>
      </c>
      <c r="N578" s="23" t="s">
        <v>254</v>
      </c>
      <c r="O578" s="23" t="s">
        <v>52</v>
      </c>
      <c r="P578" s="4" t="s">
        <v>491</v>
      </c>
      <c r="Q578" s="23" t="s">
        <v>52</v>
      </c>
      <c r="R578" s="23" t="s">
        <v>289</v>
      </c>
      <c r="S578" s="24" t="str">
        <f t="shared" si="251"/>
        <v>buildingLevelUp{buildingType:229,buildingLevel:11}</v>
      </c>
      <c r="T578" s="24" t="s">
        <v>52</v>
      </c>
      <c r="U578" s="23" t="s">
        <v>290</v>
      </c>
      <c r="V578" s="24" t="s">
        <v>291</v>
      </c>
      <c r="W578" s="23">
        <f>VLOOKUP(V578,[1]界面跳转!$I:$J,2,FALSE)</f>
        <v>7052</v>
      </c>
      <c r="Y578" s="23" t="s">
        <v>56</v>
      </c>
      <c r="Z578" s="23" t="s">
        <v>57</v>
      </c>
      <c r="AA578" s="25">
        <f t="shared" si="246"/>
        <v>20030</v>
      </c>
      <c r="AB578" s="23">
        <v>6622311</v>
      </c>
      <c r="AD578" s="23">
        <v>20</v>
      </c>
      <c r="AE578" s="23">
        <f t="shared" si="247"/>
        <v>30</v>
      </c>
    </row>
    <row r="579" spans="1:31" s="23" customFormat="1" x14ac:dyDescent="0.45">
      <c r="A579" s="23">
        <f t="shared" si="248"/>
        <v>10020310</v>
      </c>
      <c r="B579" s="23">
        <v>0</v>
      </c>
      <c r="C579" s="23">
        <v>20</v>
      </c>
      <c r="D579" s="23">
        <f t="shared" si="236"/>
        <v>31</v>
      </c>
      <c r="E579" s="23" t="s">
        <v>878</v>
      </c>
      <c r="F579" s="23" t="s">
        <v>908</v>
      </c>
      <c r="G579" s="55" t="s">
        <v>268</v>
      </c>
      <c r="H579" s="55">
        <v>12</v>
      </c>
      <c r="I579" s="55" t="s">
        <v>63</v>
      </c>
      <c r="J579" s="23" t="str">
        <f t="shared" si="249"/>
        <v>升级市集至12级</v>
      </c>
      <c r="K579" s="23">
        <f t="shared" si="250"/>
        <v>10020310</v>
      </c>
      <c r="L579" s="23" t="s">
        <v>879</v>
      </c>
      <c r="M579" s="23">
        <f t="shared" si="243"/>
        <v>10801020</v>
      </c>
      <c r="N579" s="23" t="s">
        <v>254</v>
      </c>
      <c r="O579" s="23" t="s">
        <v>52</v>
      </c>
      <c r="P579" s="4" t="s">
        <v>491</v>
      </c>
      <c r="Q579" s="23" t="s">
        <v>52</v>
      </c>
      <c r="R579" s="23" t="s">
        <v>269</v>
      </c>
      <c r="S579" s="24" t="str">
        <f t="shared" si="251"/>
        <v>buildingLevelUp{buildingType:231,buildingLevel:12}</v>
      </c>
      <c r="T579" s="24" t="s">
        <v>52</v>
      </c>
      <c r="U579" s="23" t="s">
        <v>895</v>
      </c>
      <c r="V579" s="24" t="s">
        <v>271</v>
      </c>
      <c r="W579" s="23">
        <f>VLOOKUP(V579,[1]界面跳转!$I:$J,2,FALSE)</f>
        <v>7058</v>
      </c>
      <c r="Y579" s="23" t="s">
        <v>56</v>
      </c>
      <c r="Z579" s="23" t="s">
        <v>57</v>
      </c>
      <c r="AA579" s="25">
        <f t="shared" si="246"/>
        <v>20031</v>
      </c>
      <c r="AB579" s="23">
        <v>6622312</v>
      </c>
      <c r="AD579" s="23">
        <v>20</v>
      </c>
      <c r="AE579" s="23">
        <f t="shared" si="247"/>
        <v>31</v>
      </c>
    </row>
    <row r="580" spans="1:31" s="23" customFormat="1" x14ac:dyDescent="0.45">
      <c r="A580" s="23">
        <f t="shared" si="248"/>
        <v>10020320</v>
      </c>
      <c r="B580" s="23">
        <v>0</v>
      </c>
      <c r="C580" s="23">
        <v>20</v>
      </c>
      <c r="D580" s="23">
        <f t="shared" si="236"/>
        <v>32</v>
      </c>
      <c r="E580" s="23" t="s">
        <v>878</v>
      </c>
      <c r="F580" s="23" t="s">
        <v>304</v>
      </c>
      <c r="G580" s="55" t="s">
        <v>106</v>
      </c>
      <c r="H580" s="55">
        <v>12</v>
      </c>
      <c r="I580" s="55" t="s">
        <v>63</v>
      </c>
      <c r="J580" s="23" t="str">
        <f t="shared" si="249"/>
        <v>升级城墙至12级</v>
      </c>
      <c r="K580" s="23">
        <f t="shared" si="250"/>
        <v>10020320</v>
      </c>
      <c r="L580" s="23" t="s">
        <v>879</v>
      </c>
      <c r="M580" s="23">
        <f t="shared" si="243"/>
        <v>10801020</v>
      </c>
      <c r="N580" s="23" t="s">
        <v>254</v>
      </c>
      <c r="O580" s="23" t="s">
        <v>52</v>
      </c>
      <c r="P580" s="4" t="s">
        <v>491</v>
      </c>
      <c r="Q580" s="23" t="s">
        <v>52</v>
      </c>
      <c r="R580" s="23" t="s">
        <v>107</v>
      </c>
      <c r="S580" s="24" t="str">
        <f t="shared" si="251"/>
        <v>buildingLevelUp{buildingType:215,buildingLevel:12}</v>
      </c>
      <c r="T580" s="24" t="s">
        <v>52</v>
      </c>
      <c r="U580" s="23" t="s">
        <v>880</v>
      </c>
      <c r="V580" s="24" t="s">
        <v>249</v>
      </c>
      <c r="W580" s="23">
        <f>VLOOKUP(V580,[1]界面跳转!$I:$J,2,FALSE)</f>
        <v>7039</v>
      </c>
      <c r="Y580" s="23" t="s">
        <v>56</v>
      </c>
      <c r="Z580" s="23" t="s">
        <v>57</v>
      </c>
      <c r="AA580" s="25">
        <f t="shared" si="246"/>
        <v>20032</v>
      </c>
      <c r="AB580" s="23">
        <v>6622312</v>
      </c>
      <c r="AD580" s="23">
        <v>20</v>
      </c>
      <c r="AE580" s="23">
        <f t="shared" si="247"/>
        <v>32</v>
      </c>
    </row>
    <row r="581" spans="1:31" s="23" customFormat="1" x14ac:dyDescent="0.45">
      <c r="A581" s="23">
        <f t="shared" si="248"/>
        <v>10020330</v>
      </c>
      <c r="B581" s="23">
        <v>0</v>
      </c>
      <c r="C581" s="23">
        <v>20</v>
      </c>
      <c r="D581" s="23">
        <f t="shared" si="236"/>
        <v>33</v>
      </c>
      <c r="E581" s="23" t="s">
        <v>878</v>
      </c>
      <c r="F581" t="s">
        <v>909</v>
      </c>
      <c r="G581" s="55" t="s">
        <v>139</v>
      </c>
      <c r="H581" s="55">
        <v>12</v>
      </c>
      <c r="I581" s="55" t="s">
        <v>63</v>
      </c>
      <c r="J581" s="23" t="str">
        <f t="shared" si="249"/>
        <v>升级瞭望塔至12级</v>
      </c>
      <c r="K581" s="23">
        <f t="shared" si="250"/>
        <v>10020330</v>
      </c>
      <c r="L581" s="23" t="s">
        <v>879</v>
      </c>
      <c r="M581" s="23">
        <f t="shared" ref="M581:M612" si="252">VLOOKUP(L581,J:K,2,FALSE)</f>
        <v>10801020</v>
      </c>
      <c r="N581" s="23" t="s">
        <v>254</v>
      </c>
      <c r="O581" s="23" t="s">
        <v>52</v>
      </c>
      <c r="P581" s="4" t="s">
        <v>491</v>
      </c>
      <c r="Q581" s="23" t="s">
        <v>52</v>
      </c>
      <c r="R581" s="23" t="s">
        <v>140</v>
      </c>
      <c r="S581" s="24" t="str">
        <f t="shared" si="251"/>
        <v>buildingLevelUp{buildingType:226,buildingLevel:12}</v>
      </c>
      <c r="T581" s="24" t="s">
        <v>52</v>
      </c>
      <c r="U581" s="23" t="s">
        <v>881</v>
      </c>
      <c r="V581" s="24" t="s">
        <v>449</v>
      </c>
      <c r="W581" s="23">
        <f>VLOOKUP(V581,[1]界面跳转!$I:$J,2,FALSE)</f>
        <v>7049</v>
      </c>
      <c r="Y581" s="23" t="s">
        <v>56</v>
      </c>
      <c r="Z581" s="23" t="s">
        <v>57</v>
      </c>
      <c r="AA581" s="25">
        <f t="shared" si="246"/>
        <v>20033</v>
      </c>
      <c r="AB581" s="23">
        <v>6622312</v>
      </c>
      <c r="AD581" s="23">
        <v>20</v>
      </c>
      <c r="AE581" s="23">
        <f t="shared" si="247"/>
        <v>33</v>
      </c>
    </row>
    <row r="582" spans="1:31" s="23" customFormat="1" x14ac:dyDescent="0.45">
      <c r="A582" s="23">
        <f t="shared" si="248"/>
        <v>10020340</v>
      </c>
      <c r="B582" s="23">
        <v>0</v>
      </c>
      <c r="C582" s="23">
        <v>20</v>
      </c>
      <c r="D582" s="23">
        <f t="shared" si="236"/>
        <v>34</v>
      </c>
      <c r="E582" s="23" t="s">
        <v>878</v>
      </c>
      <c r="F582" s="23" t="s">
        <v>910</v>
      </c>
      <c r="G582" s="55" t="s">
        <v>883</v>
      </c>
      <c r="H582" s="55">
        <v>12</v>
      </c>
      <c r="I582" s="55" t="s">
        <v>63</v>
      </c>
      <c r="J582" s="23" t="str">
        <f t="shared" si="249"/>
        <v>升级2个防卫塔至12级</v>
      </c>
      <c r="K582" s="23">
        <f t="shared" si="250"/>
        <v>10020340</v>
      </c>
      <c r="L582" s="23" t="s">
        <v>879</v>
      </c>
      <c r="M582" s="23">
        <f t="shared" si="252"/>
        <v>10801020</v>
      </c>
      <c r="N582" s="23" t="s">
        <v>254</v>
      </c>
      <c r="O582" s="23" t="s">
        <v>52</v>
      </c>
      <c r="P582" s="4" t="s">
        <v>491</v>
      </c>
      <c r="Q582" s="23" t="s">
        <v>52</v>
      </c>
      <c r="R582" s="23" t="s">
        <v>884</v>
      </c>
      <c r="S582" s="24" t="str">
        <f t="shared" si="251"/>
        <v>buildingLevelUp{buildingType:227,buildingLevel:12}</v>
      </c>
      <c r="T582" s="24" t="s">
        <v>52</v>
      </c>
      <c r="U582" s="23" t="s">
        <v>885</v>
      </c>
      <c r="V582" s="24" t="s">
        <v>886</v>
      </c>
      <c r="W582" s="23">
        <f>VLOOKUP(V582,[1]界面跳转!$I:$J,2,FALSE)</f>
        <v>7051</v>
      </c>
      <c r="Y582" s="23" t="s">
        <v>56</v>
      </c>
      <c r="Z582" s="23" t="s">
        <v>57</v>
      </c>
      <c r="AA582" s="25">
        <f t="shared" si="246"/>
        <v>20034</v>
      </c>
      <c r="AB582" s="23">
        <v>6622312</v>
      </c>
      <c r="AD582" s="23">
        <v>20</v>
      </c>
      <c r="AE582" s="23">
        <f t="shared" si="247"/>
        <v>34</v>
      </c>
    </row>
    <row r="583" spans="1:31" s="23" customFormat="1" x14ac:dyDescent="0.45">
      <c r="A583" s="23">
        <f t="shared" si="248"/>
        <v>10020350</v>
      </c>
      <c r="B583" s="23">
        <v>0</v>
      </c>
      <c r="C583" s="23">
        <v>20</v>
      </c>
      <c r="D583" s="23">
        <f t="shared" si="236"/>
        <v>35</v>
      </c>
      <c r="E583" s="23" t="s">
        <v>878</v>
      </c>
      <c r="F583" t="s">
        <v>911</v>
      </c>
      <c r="G583" s="55" t="s">
        <v>319</v>
      </c>
      <c r="H583" s="55">
        <v>12</v>
      </c>
      <c r="I583" s="55" t="s">
        <v>63</v>
      </c>
      <c r="J583" s="23" t="str">
        <f t="shared" si="249"/>
        <v>升级大使馆至12级</v>
      </c>
      <c r="K583" s="23">
        <f t="shared" si="250"/>
        <v>10020350</v>
      </c>
      <c r="L583" s="23" t="s">
        <v>879</v>
      </c>
      <c r="M583" s="23">
        <f t="shared" si="252"/>
        <v>10801020</v>
      </c>
      <c r="N583" s="23" t="s">
        <v>254</v>
      </c>
      <c r="O583" s="23" t="s">
        <v>52</v>
      </c>
      <c r="P583" s="4" t="s">
        <v>491</v>
      </c>
      <c r="Q583" s="23" t="s">
        <v>52</v>
      </c>
      <c r="R583" s="23" t="s">
        <v>320</v>
      </c>
      <c r="S583" s="24" t="str">
        <f t="shared" si="251"/>
        <v>buildingLevelUp{buildingType:230,buildingLevel:12}</v>
      </c>
      <c r="T583" s="24" t="s">
        <v>52</v>
      </c>
      <c r="U583" s="23" t="s">
        <v>893</v>
      </c>
      <c r="V583" s="24" t="s">
        <v>322</v>
      </c>
      <c r="W583" s="23">
        <f>VLOOKUP(V583,[1]界面跳转!$I:$J,2,FALSE)</f>
        <v>7055</v>
      </c>
      <c r="Y583" s="23" t="s">
        <v>56</v>
      </c>
      <c r="Z583" s="23" t="s">
        <v>57</v>
      </c>
      <c r="AA583" s="25">
        <f t="shared" si="246"/>
        <v>20035</v>
      </c>
      <c r="AB583" s="23">
        <v>6622312</v>
      </c>
      <c r="AD583" s="23">
        <v>20</v>
      </c>
      <c r="AE583" s="23">
        <f t="shared" si="247"/>
        <v>35</v>
      </c>
    </row>
    <row r="584" spans="1:31" s="23" customFormat="1" x14ac:dyDescent="0.45">
      <c r="A584" s="23">
        <f t="shared" si="248"/>
        <v>10020360</v>
      </c>
      <c r="B584" s="23">
        <v>0</v>
      </c>
      <c r="C584" s="23">
        <v>20</v>
      </c>
      <c r="D584" s="23">
        <f t="shared" si="236"/>
        <v>36</v>
      </c>
      <c r="E584" s="23" t="s">
        <v>878</v>
      </c>
      <c r="F584" t="s">
        <v>912</v>
      </c>
      <c r="G584" s="55" t="s">
        <v>288</v>
      </c>
      <c r="H584" s="55">
        <v>12</v>
      </c>
      <c r="I584" s="55" t="s">
        <v>63</v>
      </c>
      <c r="J584" s="23" t="str">
        <f t="shared" si="249"/>
        <v>升级战争大厅至12级</v>
      </c>
      <c r="K584" s="23">
        <f t="shared" si="250"/>
        <v>10020360</v>
      </c>
      <c r="L584" s="23" t="s">
        <v>879</v>
      </c>
      <c r="M584" s="23">
        <f t="shared" si="252"/>
        <v>10801020</v>
      </c>
      <c r="N584" s="23" t="s">
        <v>254</v>
      </c>
      <c r="O584" s="23" t="s">
        <v>52</v>
      </c>
      <c r="P584" s="4" t="s">
        <v>491</v>
      </c>
      <c r="Q584" s="23" t="s">
        <v>52</v>
      </c>
      <c r="R584" s="23" t="s">
        <v>289</v>
      </c>
      <c r="S584" s="24" t="str">
        <f t="shared" si="251"/>
        <v>buildingLevelUp{buildingType:229,buildingLevel:12}</v>
      </c>
      <c r="T584" s="24" t="s">
        <v>52</v>
      </c>
      <c r="U584" s="23" t="s">
        <v>290</v>
      </c>
      <c r="V584" s="24" t="s">
        <v>291</v>
      </c>
      <c r="W584" s="23">
        <f>VLOOKUP(V584,[1]界面跳转!$I:$J,2,FALSE)</f>
        <v>7052</v>
      </c>
      <c r="Y584" s="23" t="s">
        <v>56</v>
      </c>
      <c r="Z584" s="23" t="s">
        <v>57</v>
      </c>
      <c r="AA584" s="25">
        <f t="shared" si="246"/>
        <v>20036</v>
      </c>
      <c r="AB584" s="23">
        <v>6622312</v>
      </c>
      <c r="AD584" s="23">
        <v>20</v>
      </c>
      <c r="AE584" s="23">
        <f t="shared" si="247"/>
        <v>36</v>
      </c>
    </row>
    <row r="585" spans="1:31" s="23" customFormat="1" x14ac:dyDescent="0.45">
      <c r="A585" s="23">
        <f t="shared" si="248"/>
        <v>10020370</v>
      </c>
      <c r="B585" s="23">
        <v>0</v>
      </c>
      <c r="C585" s="23">
        <v>20</v>
      </c>
      <c r="D585" s="23">
        <f t="shared" si="236"/>
        <v>37</v>
      </c>
      <c r="E585" s="23" t="s">
        <v>878</v>
      </c>
      <c r="F585" s="23" t="s">
        <v>913</v>
      </c>
      <c r="G585" s="55" t="s">
        <v>268</v>
      </c>
      <c r="H585" s="55">
        <v>13</v>
      </c>
      <c r="I585" s="55" t="s">
        <v>63</v>
      </c>
      <c r="J585" s="23" t="str">
        <f t="shared" si="249"/>
        <v>升级市集至13级</v>
      </c>
      <c r="K585" s="23">
        <f t="shared" si="250"/>
        <v>10020370</v>
      </c>
      <c r="L585" s="23" t="s">
        <v>879</v>
      </c>
      <c r="M585" s="23">
        <f t="shared" si="252"/>
        <v>10801020</v>
      </c>
      <c r="N585" s="23" t="s">
        <v>254</v>
      </c>
      <c r="O585" s="23" t="s">
        <v>52</v>
      </c>
      <c r="P585" s="4" t="s">
        <v>491</v>
      </c>
      <c r="Q585" s="23" t="s">
        <v>52</v>
      </c>
      <c r="R585" s="23" t="s">
        <v>269</v>
      </c>
      <c r="S585" s="24" t="str">
        <f t="shared" si="251"/>
        <v>buildingLevelUp{buildingType:231,buildingLevel:13}</v>
      </c>
      <c r="T585" s="24" t="s">
        <v>52</v>
      </c>
      <c r="U585" s="23" t="s">
        <v>895</v>
      </c>
      <c r="V585" s="24" t="s">
        <v>271</v>
      </c>
      <c r="W585" s="23">
        <f>VLOOKUP(V585,[1]界面跳转!$I:$J,2,FALSE)</f>
        <v>7058</v>
      </c>
      <c r="Y585" s="23" t="s">
        <v>56</v>
      </c>
      <c r="Z585" s="23" t="s">
        <v>57</v>
      </c>
      <c r="AA585" s="25">
        <f t="shared" si="246"/>
        <v>20037</v>
      </c>
      <c r="AB585" s="23">
        <v>6622313</v>
      </c>
      <c r="AD585" s="23">
        <v>20</v>
      </c>
      <c r="AE585" s="23">
        <f t="shared" si="247"/>
        <v>37</v>
      </c>
    </row>
    <row r="586" spans="1:31" s="23" customFormat="1" x14ac:dyDescent="0.45">
      <c r="A586" s="23">
        <f t="shared" si="248"/>
        <v>10020380</v>
      </c>
      <c r="B586" s="23">
        <v>0</v>
      </c>
      <c r="C586" s="23">
        <v>20</v>
      </c>
      <c r="D586" s="23">
        <f t="shared" si="236"/>
        <v>38</v>
      </c>
      <c r="E586" s="23" t="s">
        <v>878</v>
      </c>
      <c r="F586" s="23" t="s">
        <v>323</v>
      </c>
      <c r="G586" s="55" t="s">
        <v>106</v>
      </c>
      <c r="H586" s="55">
        <v>13</v>
      </c>
      <c r="I586" s="55" t="s">
        <v>63</v>
      </c>
      <c r="J586" s="23" t="str">
        <f t="shared" si="249"/>
        <v>升级城墙至13级</v>
      </c>
      <c r="K586" s="23">
        <f t="shared" si="250"/>
        <v>10020380</v>
      </c>
      <c r="L586" s="23" t="s">
        <v>879</v>
      </c>
      <c r="M586" s="23">
        <f t="shared" si="252"/>
        <v>10801020</v>
      </c>
      <c r="N586" s="23" t="s">
        <v>254</v>
      </c>
      <c r="O586" s="23" t="s">
        <v>52</v>
      </c>
      <c r="P586" s="4" t="s">
        <v>491</v>
      </c>
      <c r="Q586" s="23" t="s">
        <v>52</v>
      </c>
      <c r="R586" s="23" t="s">
        <v>107</v>
      </c>
      <c r="S586" s="24" t="str">
        <f t="shared" si="251"/>
        <v>buildingLevelUp{buildingType:215,buildingLevel:13}</v>
      </c>
      <c r="T586" s="24" t="s">
        <v>52</v>
      </c>
      <c r="U586" s="23" t="s">
        <v>880</v>
      </c>
      <c r="V586" s="24" t="s">
        <v>249</v>
      </c>
      <c r="W586" s="23">
        <f>VLOOKUP(V586,[1]界面跳转!$I:$J,2,FALSE)</f>
        <v>7039</v>
      </c>
      <c r="Y586" s="23" t="s">
        <v>56</v>
      </c>
      <c r="Z586" s="23" t="s">
        <v>57</v>
      </c>
      <c r="AA586" s="25">
        <f t="shared" si="246"/>
        <v>20038</v>
      </c>
      <c r="AB586" s="23">
        <v>6622313</v>
      </c>
      <c r="AD586" s="23">
        <v>20</v>
      </c>
      <c r="AE586" s="23">
        <f t="shared" si="247"/>
        <v>38</v>
      </c>
    </row>
    <row r="587" spans="1:31" s="23" customFormat="1" x14ac:dyDescent="0.45">
      <c r="A587" s="23">
        <f t="shared" si="248"/>
        <v>10020390</v>
      </c>
      <c r="B587" s="23">
        <v>0</v>
      </c>
      <c r="C587" s="23">
        <v>20</v>
      </c>
      <c r="D587" s="23">
        <f t="shared" si="236"/>
        <v>39</v>
      </c>
      <c r="E587" s="23" t="s">
        <v>878</v>
      </c>
      <c r="F587" t="s">
        <v>914</v>
      </c>
      <c r="G587" s="55" t="s">
        <v>139</v>
      </c>
      <c r="H587" s="55">
        <v>13</v>
      </c>
      <c r="I587" s="55" t="s">
        <v>63</v>
      </c>
      <c r="J587" s="23" t="str">
        <f t="shared" si="249"/>
        <v>升级瞭望塔至13级</v>
      </c>
      <c r="K587" s="23">
        <f t="shared" si="250"/>
        <v>10020390</v>
      </c>
      <c r="L587" s="23" t="s">
        <v>879</v>
      </c>
      <c r="M587" s="23">
        <f t="shared" si="252"/>
        <v>10801020</v>
      </c>
      <c r="N587" s="23" t="s">
        <v>254</v>
      </c>
      <c r="O587" s="23" t="s">
        <v>52</v>
      </c>
      <c r="P587" s="4" t="s">
        <v>491</v>
      </c>
      <c r="Q587" s="23" t="s">
        <v>52</v>
      </c>
      <c r="R587" s="23" t="s">
        <v>140</v>
      </c>
      <c r="S587" s="24" t="str">
        <f t="shared" si="251"/>
        <v>buildingLevelUp{buildingType:226,buildingLevel:13}</v>
      </c>
      <c r="T587" s="24" t="s">
        <v>52</v>
      </c>
      <c r="U587" s="23" t="s">
        <v>881</v>
      </c>
      <c r="V587" s="24" t="s">
        <v>449</v>
      </c>
      <c r="W587" s="23">
        <f>VLOOKUP(V587,[1]界面跳转!$I:$J,2,FALSE)</f>
        <v>7049</v>
      </c>
      <c r="Y587" s="23" t="s">
        <v>56</v>
      </c>
      <c r="Z587" s="23" t="s">
        <v>57</v>
      </c>
      <c r="AA587" s="25">
        <f t="shared" si="246"/>
        <v>20039</v>
      </c>
      <c r="AB587" s="23">
        <v>6622313</v>
      </c>
      <c r="AD587" s="23">
        <v>20</v>
      </c>
      <c r="AE587" s="23">
        <f t="shared" si="247"/>
        <v>39</v>
      </c>
    </row>
    <row r="588" spans="1:31" s="23" customFormat="1" x14ac:dyDescent="0.45">
      <c r="A588" s="23">
        <f t="shared" si="248"/>
        <v>10020400</v>
      </c>
      <c r="B588" s="23">
        <v>0</v>
      </c>
      <c r="C588" s="23">
        <v>20</v>
      </c>
      <c r="D588" s="23">
        <f t="shared" si="236"/>
        <v>40</v>
      </c>
      <c r="E588" s="23" t="s">
        <v>878</v>
      </c>
      <c r="F588" s="23" t="s">
        <v>915</v>
      </c>
      <c r="G588" s="55" t="s">
        <v>883</v>
      </c>
      <c r="H588" s="55">
        <v>13</v>
      </c>
      <c r="I588" s="55" t="s">
        <v>63</v>
      </c>
      <c r="J588" s="23" t="str">
        <f t="shared" si="249"/>
        <v>升级2个防卫塔至13级</v>
      </c>
      <c r="K588" s="23">
        <f t="shared" si="250"/>
        <v>10020400</v>
      </c>
      <c r="L588" s="23" t="s">
        <v>879</v>
      </c>
      <c r="M588" s="23">
        <f t="shared" si="252"/>
        <v>10801020</v>
      </c>
      <c r="N588" s="23" t="s">
        <v>254</v>
      </c>
      <c r="O588" s="23" t="s">
        <v>52</v>
      </c>
      <c r="P588" s="4" t="s">
        <v>491</v>
      </c>
      <c r="Q588" s="23" t="s">
        <v>52</v>
      </c>
      <c r="R588" s="23" t="s">
        <v>884</v>
      </c>
      <c r="S588" s="24" t="str">
        <f t="shared" si="251"/>
        <v>buildingLevelUp{buildingType:227,buildingLevel:13}</v>
      </c>
      <c r="T588" s="24" t="s">
        <v>52</v>
      </c>
      <c r="U588" s="23" t="s">
        <v>885</v>
      </c>
      <c r="V588" s="24" t="s">
        <v>886</v>
      </c>
      <c r="W588" s="23">
        <f>VLOOKUP(V588,[1]界面跳转!$I:$J,2,FALSE)</f>
        <v>7051</v>
      </c>
      <c r="Y588" s="23" t="s">
        <v>56</v>
      </c>
      <c r="Z588" s="23" t="s">
        <v>57</v>
      </c>
      <c r="AA588" s="25">
        <f t="shared" si="246"/>
        <v>20040</v>
      </c>
      <c r="AB588" s="23">
        <v>6622313</v>
      </c>
      <c r="AD588" s="23">
        <v>20</v>
      </c>
      <c r="AE588" s="23">
        <f t="shared" si="247"/>
        <v>40</v>
      </c>
    </row>
    <row r="589" spans="1:31" s="23" customFormat="1" x14ac:dyDescent="0.45">
      <c r="A589" s="23">
        <f t="shared" si="248"/>
        <v>10020410</v>
      </c>
      <c r="B589" s="23">
        <v>0</v>
      </c>
      <c r="C589" s="23">
        <v>20</v>
      </c>
      <c r="D589" s="23">
        <f t="shared" si="236"/>
        <v>41</v>
      </c>
      <c r="E589" s="23" t="s">
        <v>878</v>
      </c>
      <c r="F589" t="s">
        <v>318</v>
      </c>
      <c r="G589" s="55" t="s">
        <v>319</v>
      </c>
      <c r="H589" s="55">
        <v>13</v>
      </c>
      <c r="I589" s="55" t="s">
        <v>63</v>
      </c>
      <c r="J589" s="23" t="str">
        <f t="shared" si="249"/>
        <v>升级大使馆至13级</v>
      </c>
      <c r="K589" s="23">
        <f t="shared" si="250"/>
        <v>10020410</v>
      </c>
      <c r="L589" s="23" t="s">
        <v>879</v>
      </c>
      <c r="M589" s="23">
        <f t="shared" si="252"/>
        <v>10801020</v>
      </c>
      <c r="N589" s="23" t="s">
        <v>254</v>
      </c>
      <c r="O589" s="23" t="s">
        <v>52</v>
      </c>
      <c r="P589" s="4" t="s">
        <v>491</v>
      </c>
      <c r="Q589" s="23" t="s">
        <v>52</v>
      </c>
      <c r="R589" s="23" t="s">
        <v>320</v>
      </c>
      <c r="S589" s="24" t="str">
        <f t="shared" si="251"/>
        <v>buildingLevelUp{buildingType:230,buildingLevel:13}</v>
      </c>
      <c r="T589" s="24" t="s">
        <v>52</v>
      </c>
      <c r="U589" s="23" t="s">
        <v>893</v>
      </c>
      <c r="V589" s="24" t="s">
        <v>322</v>
      </c>
      <c r="W589" s="23">
        <f>VLOOKUP(V589,[1]界面跳转!$I:$J,2,FALSE)</f>
        <v>7055</v>
      </c>
      <c r="Y589" s="23" t="s">
        <v>56</v>
      </c>
      <c r="Z589" s="23" t="s">
        <v>57</v>
      </c>
      <c r="AA589" s="25">
        <f t="shared" si="246"/>
        <v>20041</v>
      </c>
      <c r="AB589" s="23">
        <v>6622313</v>
      </c>
      <c r="AD589" s="23">
        <v>20</v>
      </c>
      <c r="AE589" s="23">
        <f t="shared" si="247"/>
        <v>41</v>
      </c>
    </row>
    <row r="590" spans="1:31" s="23" customFormat="1" x14ac:dyDescent="0.45">
      <c r="A590" s="23">
        <f t="shared" si="248"/>
        <v>10020420</v>
      </c>
      <c r="B590" s="23">
        <v>0</v>
      </c>
      <c r="C590" s="23">
        <v>20</v>
      </c>
      <c r="D590" s="23">
        <f t="shared" si="236"/>
        <v>42</v>
      </c>
      <c r="E590" s="23" t="s">
        <v>878</v>
      </c>
      <c r="F590" t="s">
        <v>916</v>
      </c>
      <c r="G590" s="55" t="s">
        <v>288</v>
      </c>
      <c r="H590" s="55">
        <v>13</v>
      </c>
      <c r="I590" s="55" t="s">
        <v>63</v>
      </c>
      <c r="J590" s="23" t="str">
        <f t="shared" si="249"/>
        <v>升级战争大厅至13级</v>
      </c>
      <c r="K590" s="23">
        <f t="shared" si="250"/>
        <v>10020420</v>
      </c>
      <c r="L590" s="23" t="s">
        <v>879</v>
      </c>
      <c r="M590" s="23">
        <f t="shared" si="252"/>
        <v>10801020</v>
      </c>
      <c r="N590" s="23" t="s">
        <v>254</v>
      </c>
      <c r="O590" s="23" t="s">
        <v>52</v>
      </c>
      <c r="P590" s="4" t="s">
        <v>491</v>
      </c>
      <c r="Q590" s="23" t="s">
        <v>52</v>
      </c>
      <c r="R590" s="23" t="s">
        <v>289</v>
      </c>
      <c r="S590" s="24" t="str">
        <f t="shared" si="251"/>
        <v>buildingLevelUp{buildingType:229,buildingLevel:13}</v>
      </c>
      <c r="T590" s="24" t="s">
        <v>52</v>
      </c>
      <c r="U590" s="23" t="s">
        <v>290</v>
      </c>
      <c r="V590" s="24" t="s">
        <v>291</v>
      </c>
      <c r="W590" s="23">
        <f>VLOOKUP(V590,[1]界面跳转!$I:$J,2,FALSE)</f>
        <v>7052</v>
      </c>
      <c r="Y590" s="23" t="s">
        <v>56</v>
      </c>
      <c r="Z590" s="23" t="s">
        <v>57</v>
      </c>
      <c r="AA590" s="25">
        <f t="shared" si="246"/>
        <v>20042</v>
      </c>
      <c r="AB590" s="23">
        <v>6622313</v>
      </c>
      <c r="AD590" s="23">
        <v>20</v>
      </c>
      <c r="AE590" s="23">
        <f t="shared" si="247"/>
        <v>42</v>
      </c>
    </row>
    <row r="591" spans="1:31" s="23" customFormat="1" x14ac:dyDescent="0.45">
      <c r="A591" s="23">
        <f t="shared" si="248"/>
        <v>10020430</v>
      </c>
      <c r="B591" s="23">
        <v>0</v>
      </c>
      <c r="C591" s="23">
        <v>20</v>
      </c>
      <c r="D591" s="23">
        <f t="shared" ref="D591:D654" si="253">IF(C591=C590,D590+1,1)</f>
        <v>43</v>
      </c>
      <c r="E591" s="23" t="s">
        <v>878</v>
      </c>
      <c r="F591" s="23" t="s">
        <v>917</v>
      </c>
      <c r="G591" s="55" t="s">
        <v>268</v>
      </c>
      <c r="H591" s="55">
        <v>14</v>
      </c>
      <c r="I591" s="55" t="s">
        <v>63</v>
      </c>
      <c r="J591" s="23" t="str">
        <f t="shared" si="249"/>
        <v>升级市集至14级</v>
      </c>
      <c r="K591" s="23">
        <f t="shared" si="250"/>
        <v>10020430</v>
      </c>
      <c r="L591" s="23" t="s">
        <v>879</v>
      </c>
      <c r="M591" s="23">
        <f t="shared" si="252"/>
        <v>10801020</v>
      </c>
      <c r="N591" s="23" t="s">
        <v>254</v>
      </c>
      <c r="O591" s="23" t="s">
        <v>52</v>
      </c>
      <c r="P591" s="4" t="s">
        <v>491</v>
      </c>
      <c r="Q591" s="23" t="s">
        <v>52</v>
      </c>
      <c r="R591" s="23" t="s">
        <v>269</v>
      </c>
      <c r="S591" s="24" t="str">
        <f t="shared" si="251"/>
        <v>buildingLevelUp{buildingType:231,buildingLevel:14}</v>
      </c>
      <c r="T591" s="24" t="s">
        <v>52</v>
      </c>
      <c r="U591" s="23" t="s">
        <v>895</v>
      </c>
      <c r="V591" s="24" t="s">
        <v>271</v>
      </c>
      <c r="W591" s="23">
        <f>VLOOKUP(V591,[1]界面跳转!$I:$J,2,FALSE)</f>
        <v>7058</v>
      </c>
      <c r="Y591" s="23" t="s">
        <v>56</v>
      </c>
      <c r="Z591" s="23" t="s">
        <v>57</v>
      </c>
      <c r="AA591" s="25">
        <f t="shared" si="246"/>
        <v>20043</v>
      </c>
      <c r="AB591" s="23">
        <v>6622314</v>
      </c>
      <c r="AD591" s="23">
        <v>20</v>
      </c>
      <c r="AE591" s="23">
        <f t="shared" si="247"/>
        <v>43</v>
      </c>
    </row>
    <row r="592" spans="1:31" s="23" customFormat="1" x14ac:dyDescent="0.45">
      <c r="A592" s="23">
        <f t="shared" si="248"/>
        <v>10020440</v>
      </c>
      <c r="B592" s="23">
        <v>0</v>
      </c>
      <c r="C592" s="23">
        <v>20</v>
      </c>
      <c r="D592" s="23">
        <f t="shared" si="253"/>
        <v>44</v>
      </c>
      <c r="E592" s="23" t="s">
        <v>878</v>
      </c>
      <c r="F592" s="23" t="s">
        <v>333</v>
      </c>
      <c r="G592" s="55" t="s">
        <v>106</v>
      </c>
      <c r="H592" s="55">
        <v>14</v>
      </c>
      <c r="I592" s="55" t="s">
        <v>63</v>
      </c>
      <c r="J592" s="23" t="str">
        <f t="shared" si="249"/>
        <v>升级城墙至14级</v>
      </c>
      <c r="K592" s="23">
        <f t="shared" si="250"/>
        <v>10020440</v>
      </c>
      <c r="L592" s="23" t="s">
        <v>879</v>
      </c>
      <c r="M592" s="23">
        <f t="shared" si="252"/>
        <v>10801020</v>
      </c>
      <c r="N592" s="23" t="s">
        <v>254</v>
      </c>
      <c r="O592" s="23" t="s">
        <v>52</v>
      </c>
      <c r="P592" s="4" t="s">
        <v>491</v>
      </c>
      <c r="Q592" s="23" t="s">
        <v>52</v>
      </c>
      <c r="R592" s="23" t="s">
        <v>107</v>
      </c>
      <c r="S592" s="24" t="str">
        <f t="shared" si="251"/>
        <v>buildingLevelUp{buildingType:215,buildingLevel:14}</v>
      </c>
      <c r="T592" s="24" t="s">
        <v>52</v>
      </c>
      <c r="U592" s="23" t="s">
        <v>880</v>
      </c>
      <c r="V592" s="24" t="s">
        <v>249</v>
      </c>
      <c r="W592" s="23">
        <f>VLOOKUP(V592,[1]界面跳转!$I:$J,2,FALSE)</f>
        <v>7039</v>
      </c>
      <c r="Y592" s="23" t="s">
        <v>56</v>
      </c>
      <c r="Z592" s="23" t="s">
        <v>57</v>
      </c>
      <c r="AA592" s="25">
        <f t="shared" si="246"/>
        <v>20044</v>
      </c>
      <c r="AB592" s="23">
        <v>6622314</v>
      </c>
      <c r="AD592" s="23">
        <v>20</v>
      </c>
      <c r="AE592" s="23">
        <f t="shared" si="247"/>
        <v>44</v>
      </c>
    </row>
    <row r="593" spans="1:31" s="23" customFormat="1" x14ac:dyDescent="0.45">
      <c r="A593" s="23">
        <f t="shared" si="248"/>
        <v>10020450</v>
      </c>
      <c r="B593" s="23">
        <v>0</v>
      </c>
      <c r="C593" s="23">
        <v>20</v>
      </c>
      <c r="D593" s="23">
        <f t="shared" si="253"/>
        <v>45</v>
      </c>
      <c r="E593" s="23" t="s">
        <v>878</v>
      </c>
      <c r="F593" t="s">
        <v>918</v>
      </c>
      <c r="G593" s="55" t="s">
        <v>139</v>
      </c>
      <c r="H593" s="55">
        <v>14</v>
      </c>
      <c r="I593" s="55" t="s">
        <v>63</v>
      </c>
      <c r="J593" s="23" t="str">
        <f t="shared" si="249"/>
        <v>升级瞭望塔至14级</v>
      </c>
      <c r="K593" s="23">
        <f t="shared" si="250"/>
        <v>10020450</v>
      </c>
      <c r="L593" s="23" t="s">
        <v>879</v>
      </c>
      <c r="M593" s="23">
        <f t="shared" si="252"/>
        <v>10801020</v>
      </c>
      <c r="N593" s="23" t="s">
        <v>254</v>
      </c>
      <c r="O593" s="23" t="s">
        <v>52</v>
      </c>
      <c r="P593" s="4" t="s">
        <v>491</v>
      </c>
      <c r="Q593" s="23" t="s">
        <v>52</v>
      </c>
      <c r="R593" s="23" t="s">
        <v>140</v>
      </c>
      <c r="S593" s="24" t="str">
        <f t="shared" si="251"/>
        <v>buildingLevelUp{buildingType:226,buildingLevel:14}</v>
      </c>
      <c r="T593" s="24" t="s">
        <v>52</v>
      </c>
      <c r="U593" s="23" t="s">
        <v>881</v>
      </c>
      <c r="V593" s="24" t="s">
        <v>449</v>
      </c>
      <c r="W593" s="23">
        <f>VLOOKUP(V593,[1]界面跳转!$I:$J,2,FALSE)</f>
        <v>7049</v>
      </c>
      <c r="Y593" s="23" t="s">
        <v>56</v>
      </c>
      <c r="Z593" s="23" t="s">
        <v>57</v>
      </c>
      <c r="AA593" s="25">
        <f t="shared" si="246"/>
        <v>20045</v>
      </c>
      <c r="AB593" s="23">
        <v>6622314</v>
      </c>
      <c r="AD593" s="23">
        <v>20</v>
      </c>
      <c r="AE593" s="23">
        <f t="shared" si="247"/>
        <v>45</v>
      </c>
    </row>
    <row r="594" spans="1:31" s="23" customFormat="1" x14ac:dyDescent="0.45">
      <c r="A594" s="23">
        <f t="shared" si="248"/>
        <v>10020460</v>
      </c>
      <c r="B594" s="23">
        <v>0</v>
      </c>
      <c r="C594" s="23">
        <v>20</v>
      </c>
      <c r="D594" s="23">
        <f t="shared" si="253"/>
        <v>46</v>
      </c>
      <c r="E594" s="23" t="s">
        <v>878</v>
      </c>
      <c r="F594" s="23" t="s">
        <v>919</v>
      </c>
      <c r="G594" s="55" t="s">
        <v>883</v>
      </c>
      <c r="H594" s="55">
        <v>14</v>
      </c>
      <c r="I594" s="55" t="s">
        <v>63</v>
      </c>
      <c r="J594" s="23" t="str">
        <f t="shared" si="249"/>
        <v>升级2个防卫塔至14级</v>
      </c>
      <c r="K594" s="23">
        <f t="shared" si="250"/>
        <v>10020460</v>
      </c>
      <c r="L594" s="23" t="s">
        <v>879</v>
      </c>
      <c r="M594" s="23">
        <f t="shared" si="252"/>
        <v>10801020</v>
      </c>
      <c r="N594" s="23" t="s">
        <v>254</v>
      </c>
      <c r="O594" s="23" t="s">
        <v>52</v>
      </c>
      <c r="P594" s="4" t="s">
        <v>491</v>
      </c>
      <c r="Q594" s="23" t="s">
        <v>52</v>
      </c>
      <c r="R594" s="23" t="s">
        <v>884</v>
      </c>
      <c r="S594" s="24" t="str">
        <f t="shared" si="251"/>
        <v>buildingLevelUp{buildingType:227,buildingLevel:14}</v>
      </c>
      <c r="T594" s="24" t="s">
        <v>52</v>
      </c>
      <c r="U594" s="23" t="s">
        <v>885</v>
      </c>
      <c r="V594" s="24" t="s">
        <v>886</v>
      </c>
      <c r="W594" s="23">
        <f>VLOOKUP(V594,[1]界面跳转!$I:$J,2,FALSE)</f>
        <v>7051</v>
      </c>
      <c r="Y594" s="23" t="s">
        <v>56</v>
      </c>
      <c r="Z594" s="23" t="s">
        <v>57</v>
      </c>
      <c r="AA594" s="25">
        <f t="shared" si="246"/>
        <v>20046</v>
      </c>
      <c r="AB594" s="23">
        <v>6622314</v>
      </c>
      <c r="AD594" s="23">
        <v>20</v>
      </c>
      <c r="AE594" s="23">
        <f t="shared" si="247"/>
        <v>46</v>
      </c>
    </row>
    <row r="595" spans="1:31" s="23" customFormat="1" x14ac:dyDescent="0.45">
      <c r="A595" s="23">
        <f t="shared" si="248"/>
        <v>10020470</v>
      </c>
      <c r="B595" s="23">
        <v>0</v>
      </c>
      <c r="C595" s="23">
        <v>20</v>
      </c>
      <c r="D595" s="23">
        <f t="shared" si="253"/>
        <v>47</v>
      </c>
      <c r="E595" s="23" t="s">
        <v>878</v>
      </c>
      <c r="F595" t="s">
        <v>920</v>
      </c>
      <c r="G595" s="55" t="s">
        <v>319</v>
      </c>
      <c r="H595" s="55">
        <v>14</v>
      </c>
      <c r="I595" s="55" t="s">
        <v>63</v>
      </c>
      <c r="J595" s="23" t="str">
        <f t="shared" si="249"/>
        <v>升级大使馆至14级</v>
      </c>
      <c r="K595" s="23">
        <f t="shared" si="250"/>
        <v>10020470</v>
      </c>
      <c r="L595" s="23" t="s">
        <v>879</v>
      </c>
      <c r="M595" s="23">
        <f t="shared" si="252"/>
        <v>10801020</v>
      </c>
      <c r="N595" s="23" t="s">
        <v>254</v>
      </c>
      <c r="O595" s="23" t="s">
        <v>52</v>
      </c>
      <c r="P595" s="4" t="s">
        <v>491</v>
      </c>
      <c r="Q595" s="23" t="s">
        <v>52</v>
      </c>
      <c r="R595" s="23" t="s">
        <v>320</v>
      </c>
      <c r="S595" s="24" t="str">
        <f t="shared" si="251"/>
        <v>buildingLevelUp{buildingType:230,buildingLevel:14}</v>
      </c>
      <c r="T595" s="24" t="s">
        <v>52</v>
      </c>
      <c r="U595" s="23" t="s">
        <v>893</v>
      </c>
      <c r="V595" s="24" t="s">
        <v>322</v>
      </c>
      <c r="W595" s="23">
        <f>VLOOKUP(V595,[1]界面跳转!$I:$J,2,FALSE)</f>
        <v>7055</v>
      </c>
      <c r="Y595" s="23" t="s">
        <v>56</v>
      </c>
      <c r="Z595" s="23" t="s">
        <v>57</v>
      </c>
      <c r="AA595" s="25">
        <f t="shared" si="246"/>
        <v>20047</v>
      </c>
      <c r="AB595" s="23">
        <v>6622314</v>
      </c>
      <c r="AD595" s="23">
        <v>20</v>
      </c>
      <c r="AE595" s="23">
        <f t="shared" si="247"/>
        <v>47</v>
      </c>
    </row>
    <row r="596" spans="1:31" s="23" customFormat="1" x14ac:dyDescent="0.45">
      <c r="A596" s="23">
        <f t="shared" si="248"/>
        <v>10020480</v>
      </c>
      <c r="B596" s="23">
        <v>0</v>
      </c>
      <c r="C596" s="23">
        <v>20</v>
      </c>
      <c r="D596" s="23">
        <f t="shared" si="253"/>
        <v>48</v>
      </c>
      <c r="E596" s="23" t="s">
        <v>878</v>
      </c>
      <c r="F596" t="s">
        <v>921</v>
      </c>
      <c r="G596" s="55" t="s">
        <v>288</v>
      </c>
      <c r="H596" s="55">
        <v>14</v>
      </c>
      <c r="I596" s="55" t="s">
        <v>63</v>
      </c>
      <c r="J596" s="23" t="str">
        <f t="shared" si="249"/>
        <v>升级战争大厅至14级</v>
      </c>
      <c r="K596" s="23">
        <f t="shared" si="250"/>
        <v>10020480</v>
      </c>
      <c r="L596" s="23" t="s">
        <v>879</v>
      </c>
      <c r="M596" s="23">
        <f t="shared" si="252"/>
        <v>10801020</v>
      </c>
      <c r="N596" s="23" t="s">
        <v>254</v>
      </c>
      <c r="O596" s="23" t="s">
        <v>52</v>
      </c>
      <c r="P596" s="4" t="s">
        <v>491</v>
      </c>
      <c r="Q596" s="23" t="s">
        <v>52</v>
      </c>
      <c r="R596" s="23" t="s">
        <v>289</v>
      </c>
      <c r="S596" s="24" t="str">
        <f t="shared" si="251"/>
        <v>buildingLevelUp{buildingType:229,buildingLevel:14}</v>
      </c>
      <c r="T596" s="24" t="s">
        <v>52</v>
      </c>
      <c r="U596" s="23" t="s">
        <v>290</v>
      </c>
      <c r="V596" s="24" t="s">
        <v>291</v>
      </c>
      <c r="W596" s="23">
        <f>VLOOKUP(V596,[1]界面跳转!$I:$J,2,FALSE)</f>
        <v>7052</v>
      </c>
      <c r="Y596" s="23" t="s">
        <v>56</v>
      </c>
      <c r="Z596" s="23" t="s">
        <v>57</v>
      </c>
      <c r="AA596" s="25">
        <f t="shared" si="246"/>
        <v>20048</v>
      </c>
      <c r="AB596" s="23">
        <v>6622314</v>
      </c>
      <c r="AD596" s="23">
        <v>20</v>
      </c>
      <c r="AE596" s="23">
        <f t="shared" si="247"/>
        <v>48</v>
      </c>
    </row>
    <row r="597" spans="1:31" s="23" customFormat="1" x14ac:dyDescent="0.45">
      <c r="A597" s="23">
        <f t="shared" si="248"/>
        <v>10020490</v>
      </c>
      <c r="B597" s="23">
        <v>0</v>
      </c>
      <c r="C597" s="23">
        <v>20</v>
      </c>
      <c r="D597" s="23">
        <f t="shared" si="253"/>
        <v>49</v>
      </c>
      <c r="E597" s="23" t="s">
        <v>878</v>
      </c>
      <c r="F597" s="23" t="s">
        <v>922</v>
      </c>
      <c r="G597" s="55" t="s">
        <v>268</v>
      </c>
      <c r="H597" s="55">
        <v>15</v>
      </c>
      <c r="I597" s="55" t="s">
        <v>63</v>
      </c>
      <c r="J597" s="23" t="str">
        <f t="shared" si="249"/>
        <v>升级市集至15级</v>
      </c>
      <c r="K597" s="23">
        <f t="shared" si="250"/>
        <v>10020490</v>
      </c>
      <c r="L597" s="23" t="s">
        <v>879</v>
      </c>
      <c r="M597" s="23">
        <f t="shared" si="252"/>
        <v>10801020</v>
      </c>
      <c r="N597" s="23" t="s">
        <v>254</v>
      </c>
      <c r="O597" s="23" t="s">
        <v>52</v>
      </c>
      <c r="P597" s="4" t="s">
        <v>491</v>
      </c>
      <c r="Q597" s="23" t="s">
        <v>52</v>
      </c>
      <c r="R597" s="23" t="s">
        <v>269</v>
      </c>
      <c r="S597" s="24" t="str">
        <f t="shared" si="251"/>
        <v>buildingLevelUp{buildingType:231,buildingLevel:15}</v>
      </c>
      <c r="T597" s="24" t="s">
        <v>52</v>
      </c>
      <c r="U597" s="23" t="s">
        <v>895</v>
      </c>
      <c r="V597" s="24" t="s">
        <v>271</v>
      </c>
      <c r="W597" s="23">
        <f>VLOOKUP(V597,[1]界面跳转!$I:$J,2,FALSE)</f>
        <v>7058</v>
      </c>
      <c r="Y597" s="23" t="s">
        <v>56</v>
      </c>
      <c r="Z597" s="23" t="s">
        <v>57</v>
      </c>
      <c r="AA597" s="25">
        <f t="shared" si="246"/>
        <v>20049</v>
      </c>
      <c r="AB597" s="23">
        <v>6622315</v>
      </c>
      <c r="AD597" s="23">
        <v>20</v>
      </c>
      <c r="AE597" s="23">
        <f t="shared" si="247"/>
        <v>49</v>
      </c>
    </row>
    <row r="598" spans="1:31" s="23" customFormat="1" x14ac:dyDescent="0.45">
      <c r="A598" s="23">
        <f t="shared" si="248"/>
        <v>10020500</v>
      </c>
      <c r="B598" s="23">
        <v>0</v>
      </c>
      <c r="C598" s="23">
        <v>20</v>
      </c>
      <c r="D598" s="23">
        <f t="shared" si="253"/>
        <v>50</v>
      </c>
      <c r="E598" s="23" t="s">
        <v>878</v>
      </c>
      <c r="F598" s="23" t="s">
        <v>344</v>
      </c>
      <c r="G598" s="55" t="s">
        <v>106</v>
      </c>
      <c r="H598" s="55">
        <v>15</v>
      </c>
      <c r="I598" s="55" t="s">
        <v>63</v>
      </c>
      <c r="J598" s="23" t="str">
        <f t="shared" si="249"/>
        <v>升级城墙至15级</v>
      </c>
      <c r="K598" s="23">
        <f t="shared" si="250"/>
        <v>10020500</v>
      </c>
      <c r="L598" s="23" t="s">
        <v>879</v>
      </c>
      <c r="M598" s="23">
        <f t="shared" si="252"/>
        <v>10801020</v>
      </c>
      <c r="N598" s="23" t="s">
        <v>254</v>
      </c>
      <c r="O598" s="23" t="s">
        <v>52</v>
      </c>
      <c r="P598" s="4" t="s">
        <v>491</v>
      </c>
      <c r="Q598" s="23" t="s">
        <v>52</v>
      </c>
      <c r="R598" s="23" t="s">
        <v>107</v>
      </c>
      <c r="S598" s="24" t="str">
        <f t="shared" si="251"/>
        <v>buildingLevelUp{buildingType:215,buildingLevel:15}</v>
      </c>
      <c r="T598" s="24" t="s">
        <v>52</v>
      </c>
      <c r="U598" s="23" t="s">
        <v>880</v>
      </c>
      <c r="V598" s="24" t="s">
        <v>249</v>
      </c>
      <c r="W598" s="23">
        <f>VLOOKUP(V598,[1]界面跳转!$I:$J,2,FALSE)</f>
        <v>7039</v>
      </c>
      <c r="Y598" s="23" t="s">
        <v>56</v>
      </c>
      <c r="Z598" s="23" t="s">
        <v>57</v>
      </c>
      <c r="AA598" s="25">
        <f t="shared" si="246"/>
        <v>20050</v>
      </c>
      <c r="AB598" s="23">
        <v>6622315</v>
      </c>
      <c r="AD598" s="23">
        <v>20</v>
      </c>
      <c r="AE598" s="23">
        <f t="shared" si="247"/>
        <v>50</v>
      </c>
    </row>
    <row r="599" spans="1:31" s="23" customFormat="1" x14ac:dyDescent="0.45">
      <c r="A599" s="23">
        <f t="shared" si="248"/>
        <v>10020510</v>
      </c>
      <c r="B599" s="23">
        <v>0</v>
      </c>
      <c r="C599" s="23">
        <v>20</v>
      </c>
      <c r="D599" s="23">
        <f t="shared" si="253"/>
        <v>51</v>
      </c>
      <c r="E599" s="23" t="s">
        <v>878</v>
      </c>
      <c r="F599" t="s">
        <v>923</v>
      </c>
      <c r="G599" s="55" t="s">
        <v>139</v>
      </c>
      <c r="H599" s="55">
        <v>15</v>
      </c>
      <c r="I599" s="55" t="s">
        <v>63</v>
      </c>
      <c r="J599" s="23" t="str">
        <f t="shared" si="249"/>
        <v>升级瞭望塔至15级</v>
      </c>
      <c r="K599" s="23">
        <f t="shared" si="250"/>
        <v>10020510</v>
      </c>
      <c r="L599" s="23" t="s">
        <v>879</v>
      </c>
      <c r="M599" s="23">
        <f t="shared" si="252"/>
        <v>10801020</v>
      </c>
      <c r="N599" s="23" t="s">
        <v>254</v>
      </c>
      <c r="O599" s="23" t="s">
        <v>52</v>
      </c>
      <c r="P599" s="4" t="s">
        <v>491</v>
      </c>
      <c r="Q599" s="23" t="s">
        <v>52</v>
      </c>
      <c r="R599" s="23" t="s">
        <v>140</v>
      </c>
      <c r="S599" s="24" t="str">
        <f t="shared" si="251"/>
        <v>buildingLevelUp{buildingType:226,buildingLevel:15}</v>
      </c>
      <c r="T599" s="24" t="s">
        <v>52</v>
      </c>
      <c r="U599" s="23" t="s">
        <v>881</v>
      </c>
      <c r="V599" s="24" t="s">
        <v>449</v>
      </c>
      <c r="W599" s="23">
        <f>VLOOKUP(V599,[1]界面跳转!$I:$J,2,FALSE)</f>
        <v>7049</v>
      </c>
      <c r="Y599" s="23" t="s">
        <v>56</v>
      </c>
      <c r="Z599" s="23" t="s">
        <v>57</v>
      </c>
      <c r="AA599" s="25">
        <f t="shared" si="246"/>
        <v>20051</v>
      </c>
      <c r="AB599" s="23">
        <v>6622315</v>
      </c>
      <c r="AD599" s="23">
        <v>20</v>
      </c>
      <c r="AE599" s="23">
        <f t="shared" si="247"/>
        <v>51</v>
      </c>
    </row>
    <row r="600" spans="1:31" s="23" customFormat="1" x14ac:dyDescent="0.45">
      <c r="A600" s="23">
        <f t="shared" si="248"/>
        <v>10020520</v>
      </c>
      <c r="B600" s="23">
        <v>0</v>
      </c>
      <c r="C600" s="23">
        <v>20</v>
      </c>
      <c r="D600" s="23">
        <f t="shared" si="253"/>
        <v>52</v>
      </c>
      <c r="E600" s="23" t="s">
        <v>878</v>
      </c>
      <c r="F600" s="23" t="s">
        <v>924</v>
      </c>
      <c r="G600" s="55" t="s">
        <v>883</v>
      </c>
      <c r="H600" s="55">
        <v>15</v>
      </c>
      <c r="I600" s="55" t="s">
        <v>63</v>
      </c>
      <c r="J600" s="23" t="str">
        <f t="shared" si="249"/>
        <v>升级2个防卫塔至15级</v>
      </c>
      <c r="K600" s="23">
        <f t="shared" si="250"/>
        <v>10020520</v>
      </c>
      <c r="L600" s="23" t="s">
        <v>879</v>
      </c>
      <c r="M600" s="23">
        <f t="shared" si="252"/>
        <v>10801020</v>
      </c>
      <c r="N600" s="23" t="s">
        <v>254</v>
      </c>
      <c r="O600" s="23" t="s">
        <v>52</v>
      </c>
      <c r="P600" s="4" t="s">
        <v>491</v>
      </c>
      <c r="Q600" s="23" t="s">
        <v>52</v>
      </c>
      <c r="R600" s="23" t="s">
        <v>884</v>
      </c>
      <c r="S600" s="24" t="str">
        <f t="shared" si="251"/>
        <v>buildingLevelUp{buildingType:227,buildingLevel:15}</v>
      </c>
      <c r="T600" s="24" t="s">
        <v>52</v>
      </c>
      <c r="U600" s="23" t="s">
        <v>885</v>
      </c>
      <c r="V600" s="24" t="s">
        <v>886</v>
      </c>
      <c r="W600" s="23">
        <f>VLOOKUP(V600,[1]界面跳转!$I:$J,2,FALSE)</f>
        <v>7051</v>
      </c>
      <c r="Y600" s="23" t="s">
        <v>56</v>
      </c>
      <c r="Z600" s="23" t="s">
        <v>57</v>
      </c>
      <c r="AA600" s="25">
        <f t="shared" si="246"/>
        <v>20052</v>
      </c>
      <c r="AB600" s="23">
        <v>6622315</v>
      </c>
      <c r="AD600" s="23">
        <v>20</v>
      </c>
      <c r="AE600" s="23">
        <f t="shared" si="247"/>
        <v>52</v>
      </c>
    </row>
    <row r="601" spans="1:31" s="23" customFormat="1" x14ac:dyDescent="0.45">
      <c r="A601" s="23">
        <f t="shared" si="248"/>
        <v>10020530</v>
      </c>
      <c r="B601" s="23">
        <v>0</v>
      </c>
      <c r="C601" s="23">
        <v>20</v>
      </c>
      <c r="D601" s="23">
        <f t="shared" si="253"/>
        <v>53</v>
      </c>
      <c r="E601" s="23" t="s">
        <v>878</v>
      </c>
      <c r="F601" t="s">
        <v>925</v>
      </c>
      <c r="G601" s="55" t="s">
        <v>319</v>
      </c>
      <c r="H601" s="55">
        <v>15</v>
      </c>
      <c r="I601" s="55" t="s">
        <v>63</v>
      </c>
      <c r="J601" s="23" t="str">
        <f t="shared" si="249"/>
        <v>升级大使馆至15级</v>
      </c>
      <c r="K601" s="23">
        <f t="shared" si="250"/>
        <v>10020530</v>
      </c>
      <c r="L601" s="23" t="s">
        <v>879</v>
      </c>
      <c r="M601" s="23">
        <f t="shared" si="252"/>
        <v>10801020</v>
      </c>
      <c r="N601" s="23" t="s">
        <v>254</v>
      </c>
      <c r="O601" s="23" t="s">
        <v>52</v>
      </c>
      <c r="P601" s="4" t="s">
        <v>491</v>
      </c>
      <c r="Q601" s="23" t="s">
        <v>52</v>
      </c>
      <c r="R601" s="23" t="s">
        <v>320</v>
      </c>
      <c r="S601" s="24" t="str">
        <f t="shared" si="251"/>
        <v>buildingLevelUp{buildingType:230,buildingLevel:15}</v>
      </c>
      <c r="T601" s="24" t="s">
        <v>52</v>
      </c>
      <c r="U601" s="23" t="s">
        <v>893</v>
      </c>
      <c r="V601" s="24" t="s">
        <v>322</v>
      </c>
      <c r="W601" s="23">
        <f>VLOOKUP(V601,[1]界面跳转!$I:$J,2,FALSE)</f>
        <v>7055</v>
      </c>
      <c r="Y601" s="23" t="s">
        <v>56</v>
      </c>
      <c r="Z601" s="23" t="s">
        <v>57</v>
      </c>
      <c r="AA601" s="25">
        <f t="shared" si="246"/>
        <v>20053</v>
      </c>
      <c r="AB601" s="23">
        <v>6622315</v>
      </c>
      <c r="AD601" s="23">
        <v>20</v>
      </c>
      <c r="AE601" s="23">
        <f t="shared" si="247"/>
        <v>53</v>
      </c>
    </row>
    <row r="602" spans="1:31" s="23" customFormat="1" x14ac:dyDescent="0.45">
      <c r="A602" s="23">
        <f t="shared" si="248"/>
        <v>10020540</v>
      </c>
      <c r="B602" s="23">
        <v>0</v>
      </c>
      <c r="C602" s="23">
        <v>20</v>
      </c>
      <c r="D602" s="23">
        <f t="shared" si="253"/>
        <v>54</v>
      </c>
      <c r="E602" s="23" t="s">
        <v>878</v>
      </c>
      <c r="F602" t="s">
        <v>926</v>
      </c>
      <c r="G602" s="55" t="s">
        <v>288</v>
      </c>
      <c r="H602" s="55">
        <v>15</v>
      </c>
      <c r="I602" s="55" t="s">
        <v>63</v>
      </c>
      <c r="J602" s="23" t="str">
        <f t="shared" si="249"/>
        <v>升级战争大厅至15级</v>
      </c>
      <c r="K602" s="23">
        <f t="shared" si="250"/>
        <v>10020540</v>
      </c>
      <c r="L602" s="23" t="s">
        <v>879</v>
      </c>
      <c r="M602" s="23">
        <f t="shared" si="252"/>
        <v>10801020</v>
      </c>
      <c r="N602" s="23" t="s">
        <v>254</v>
      </c>
      <c r="O602" s="23" t="s">
        <v>52</v>
      </c>
      <c r="P602" s="4" t="s">
        <v>491</v>
      </c>
      <c r="Q602" s="23" t="s">
        <v>52</v>
      </c>
      <c r="R602" s="23" t="s">
        <v>289</v>
      </c>
      <c r="S602" s="24" t="str">
        <f t="shared" si="251"/>
        <v>buildingLevelUp{buildingType:229,buildingLevel:15}</v>
      </c>
      <c r="T602" s="24" t="s">
        <v>52</v>
      </c>
      <c r="U602" s="23" t="s">
        <v>290</v>
      </c>
      <c r="V602" s="24" t="s">
        <v>291</v>
      </c>
      <c r="W602" s="23">
        <f>VLOOKUP(V602,[1]界面跳转!$I:$J,2,FALSE)</f>
        <v>7052</v>
      </c>
      <c r="Y602" s="23" t="s">
        <v>56</v>
      </c>
      <c r="Z602" s="23" t="s">
        <v>57</v>
      </c>
      <c r="AA602" s="25">
        <f t="shared" si="246"/>
        <v>20054</v>
      </c>
      <c r="AB602" s="23">
        <v>6622315</v>
      </c>
      <c r="AD602" s="23">
        <v>20</v>
      </c>
      <c r="AE602" s="23">
        <f t="shared" si="247"/>
        <v>54</v>
      </c>
    </row>
    <row r="603" spans="1:31" s="23" customFormat="1" x14ac:dyDescent="0.45">
      <c r="A603" s="23">
        <f t="shared" si="248"/>
        <v>10020550</v>
      </c>
      <c r="B603" s="23">
        <v>0</v>
      </c>
      <c r="C603" s="23">
        <v>20</v>
      </c>
      <c r="D603" s="23">
        <f t="shared" si="253"/>
        <v>55</v>
      </c>
      <c r="E603" s="23" t="s">
        <v>878</v>
      </c>
      <c r="F603" s="23" t="s">
        <v>927</v>
      </c>
      <c r="G603" s="55" t="s">
        <v>268</v>
      </c>
      <c r="H603" s="55">
        <v>16</v>
      </c>
      <c r="I603" s="55" t="s">
        <v>63</v>
      </c>
      <c r="J603" s="23" t="str">
        <f t="shared" si="249"/>
        <v>升级市集至16级</v>
      </c>
      <c r="K603" s="23">
        <f t="shared" si="250"/>
        <v>10020550</v>
      </c>
      <c r="L603" s="23" t="s">
        <v>879</v>
      </c>
      <c r="M603" s="23">
        <f t="shared" si="252"/>
        <v>10801020</v>
      </c>
      <c r="N603" s="23" t="s">
        <v>254</v>
      </c>
      <c r="O603" s="23" t="s">
        <v>52</v>
      </c>
      <c r="P603" s="4" t="s">
        <v>491</v>
      </c>
      <c r="Q603" s="23" t="s">
        <v>52</v>
      </c>
      <c r="R603" s="23" t="s">
        <v>269</v>
      </c>
      <c r="S603" s="24" t="str">
        <f t="shared" si="251"/>
        <v>buildingLevelUp{buildingType:231,buildingLevel:16}</v>
      </c>
      <c r="T603" s="24" t="s">
        <v>52</v>
      </c>
      <c r="U603" s="23" t="s">
        <v>895</v>
      </c>
      <c r="V603" s="24" t="s">
        <v>271</v>
      </c>
      <c r="W603" s="23">
        <f>VLOOKUP(V603,[1]界面跳转!$I:$J,2,FALSE)</f>
        <v>7058</v>
      </c>
      <c r="Y603" s="23" t="s">
        <v>56</v>
      </c>
      <c r="Z603" s="23" t="s">
        <v>57</v>
      </c>
      <c r="AA603" s="25">
        <f t="shared" ref="AA603:AA657" si="254">AD603*1000+AE603</f>
        <v>20055</v>
      </c>
      <c r="AB603" s="23">
        <v>6622316</v>
      </c>
      <c r="AD603" s="23">
        <v>20</v>
      </c>
      <c r="AE603" s="23">
        <f t="shared" si="247"/>
        <v>55</v>
      </c>
    </row>
    <row r="604" spans="1:31" s="23" customFormat="1" x14ac:dyDescent="0.45">
      <c r="A604" s="23">
        <f t="shared" si="248"/>
        <v>10020560</v>
      </c>
      <c r="B604" s="23">
        <v>0</v>
      </c>
      <c r="C604" s="23">
        <v>20</v>
      </c>
      <c r="D604" s="23">
        <f t="shared" si="253"/>
        <v>56</v>
      </c>
      <c r="E604" s="23" t="s">
        <v>878</v>
      </c>
      <c r="F604" s="23" t="s">
        <v>354</v>
      </c>
      <c r="G604" s="55" t="s">
        <v>106</v>
      </c>
      <c r="H604" s="55">
        <v>16</v>
      </c>
      <c r="I604" s="55" t="s">
        <v>63</v>
      </c>
      <c r="J604" s="23" t="str">
        <f t="shared" si="249"/>
        <v>升级城墙至16级</v>
      </c>
      <c r="K604" s="23">
        <f t="shared" si="250"/>
        <v>10020560</v>
      </c>
      <c r="L604" s="23" t="s">
        <v>879</v>
      </c>
      <c r="M604" s="23">
        <f t="shared" si="252"/>
        <v>10801020</v>
      </c>
      <c r="N604" s="23" t="s">
        <v>254</v>
      </c>
      <c r="O604" s="23" t="s">
        <v>52</v>
      </c>
      <c r="P604" s="4" t="s">
        <v>491</v>
      </c>
      <c r="Q604" s="23" t="s">
        <v>52</v>
      </c>
      <c r="R604" s="23" t="s">
        <v>107</v>
      </c>
      <c r="S604" s="24" t="str">
        <f t="shared" si="251"/>
        <v>buildingLevelUp{buildingType:215,buildingLevel:16}</v>
      </c>
      <c r="T604" s="24" t="s">
        <v>52</v>
      </c>
      <c r="U604" s="23" t="s">
        <v>880</v>
      </c>
      <c r="V604" s="24" t="s">
        <v>249</v>
      </c>
      <c r="W604" s="23">
        <f>VLOOKUP(V604,[1]界面跳转!$I:$J,2,FALSE)</f>
        <v>7039</v>
      </c>
      <c r="Y604" s="23" t="s">
        <v>56</v>
      </c>
      <c r="Z604" s="23" t="s">
        <v>57</v>
      </c>
      <c r="AA604" s="25">
        <f t="shared" si="254"/>
        <v>20056</v>
      </c>
      <c r="AB604" s="23">
        <v>6622316</v>
      </c>
      <c r="AD604" s="23">
        <v>20</v>
      </c>
      <c r="AE604" s="23">
        <f t="shared" si="247"/>
        <v>56</v>
      </c>
    </row>
    <row r="605" spans="1:31" s="23" customFormat="1" x14ac:dyDescent="0.45">
      <c r="A605" s="23">
        <f t="shared" si="248"/>
        <v>10020570</v>
      </c>
      <c r="B605" s="23">
        <v>0</v>
      </c>
      <c r="C605" s="23">
        <v>20</v>
      </c>
      <c r="D605" s="23">
        <f t="shared" si="253"/>
        <v>57</v>
      </c>
      <c r="E605" s="23" t="s">
        <v>878</v>
      </c>
      <c r="F605" t="s">
        <v>928</v>
      </c>
      <c r="G605" s="55" t="s">
        <v>139</v>
      </c>
      <c r="H605" s="55">
        <v>16</v>
      </c>
      <c r="I605" s="55" t="s">
        <v>63</v>
      </c>
      <c r="J605" s="23" t="str">
        <f t="shared" si="249"/>
        <v>升级瞭望塔至16级</v>
      </c>
      <c r="K605" s="23">
        <f t="shared" si="250"/>
        <v>10020570</v>
      </c>
      <c r="L605" s="23" t="s">
        <v>879</v>
      </c>
      <c r="M605" s="23">
        <f t="shared" si="252"/>
        <v>10801020</v>
      </c>
      <c r="N605" s="23" t="s">
        <v>254</v>
      </c>
      <c r="O605" s="23" t="s">
        <v>52</v>
      </c>
      <c r="P605" s="4" t="s">
        <v>491</v>
      </c>
      <c r="Q605" s="23" t="s">
        <v>52</v>
      </c>
      <c r="R605" s="23" t="s">
        <v>140</v>
      </c>
      <c r="S605" s="24" t="str">
        <f t="shared" si="251"/>
        <v>buildingLevelUp{buildingType:226,buildingLevel:16}</v>
      </c>
      <c r="T605" s="24" t="s">
        <v>52</v>
      </c>
      <c r="U605" s="23" t="s">
        <v>881</v>
      </c>
      <c r="V605" s="24" t="s">
        <v>449</v>
      </c>
      <c r="W605" s="23">
        <f>VLOOKUP(V605,[1]界面跳转!$I:$J,2,FALSE)</f>
        <v>7049</v>
      </c>
      <c r="Y605" s="23" t="s">
        <v>56</v>
      </c>
      <c r="Z605" s="23" t="s">
        <v>57</v>
      </c>
      <c r="AA605" s="25">
        <f t="shared" si="254"/>
        <v>20057</v>
      </c>
      <c r="AB605" s="23">
        <v>6622316</v>
      </c>
      <c r="AD605" s="23">
        <v>20</v>
      </c>
      <c r="AE605" s="23">
        <f t="shared" si="247"/>
        <v>57</v>
      </c>
    </row>
    <row r="606" spans="1:31" s="23" customFormat="1" x14ac:dyDescent="0.45">
      <c r="A606" s="23">
        <f t="shared" si="248"/>
        <v>10020580</v>
      </c>
      <c r="B606" s="23">
        <v>0</v>
      </c>
      <c r="C606" s="23">
        <v>20</v>
      </c>
      <c r="D606" s="23">
        <f t="shared" si="253"/>
        <v>58</v>
      </c>
      <c r="E606" s="23" t="s">
        <v>878</v>
      </c>
      <c r="F606" s="23" t="s">
        <v>929</v>
      </c>
      <c r="G606" s="55" t="s">
        <v>883</v>
      </c>
      <c r="H606" s="55">
        <v>16</v>
      </c>
      <c r="I606" s="55" t="s">
        <v>63</v>
      </c>
      <c r="J606" s="23" t="str">
        <f t="shared" si="249"/>
        <v>升级2个防卫塔至16级</v>
      </c>
      <c r="K606" s="23">
        <f t="shared" si="250"/>
        <v>10020580</v>
      </c>
      <c r="L606" s="23" t="s">
        <v>879</v>
      </c>
      <c r="M606" s="23">
        <f t="shared" si="252"/>
        <v>10801020</v>
      </c>
      <c r="N606" s="23" t="s">
        <v>254</v>
      </c>
      <c r="O606" s="23" t="s">
        <v>52</v>
      </c>
      <c r="P606" s="4" t="s">
        <v>491</v>
      </c>
      <c r="Q606" s="23" t="s">
        <v>52</v>
      </c>
      <c r="R606" s="23" t="s">
        <v>884</v>
      </c>
      <c r="S606" s="24" t="str">
        <f t="shared" si="251"/>
        <v>buildingLevelUp{buildingType:227,buildingLevel:16}</v>
      </c>
      <c r="T606" s="24" t="s">
        <v>52</v>
      </c>
      <c r="U606" s="23" t="s">
        <v>885</v>
      </c>
      <c r="V606" s="24" t="s">
        <v>886</v>
      </c>
      <c r="W606" s="23">
        <f>VLOOKUP(V606,[1]界面跳转!$I:$J,2,FALSE)</f>
        <v>7051</v>
      </c>
      <c r="Y606" s="23" t="s">
        <v>56</v>
      </c>
      <c r="Z606" s="23" t="s">
        <v>57</v>
      </c>
      <c r="AA606" s="25">
        <f t="shared" si="254"/>
        <v>20058</v>
      </c>
      <c r="AB606" s="23">
        <v>6622316</v>
      </c>
      <c r="AD606" s="23">
        <v>20</v>
      </c>
      <c r="AE606" s="23">
        <f t="shared" si="247"/>
        <v>58</v>
      </c>
    </row>
    <row r="607" spans="1:31" s="23" customFormat="1" x14ac:dyDescent="0.45">
      <c r="A607" s="23">
        <f t="shared" si="248"/>
        <v>10020590</v>
      </c>
      <c r="B607" s="23">
        <v>0</v>
      </c>
      <c r="C607" s="23">
        <v>20</v>
      </c>
      <c r="D607" s="23">
        <f t="shared" si="253"/>
        <v>59</v>
      </c>
      <c r="E607" s="23" t="s">
        <v>878</v>
      </c>
      <c r="F607" t="s">
        <v>930</v>
      </c>
      <c r="G607" s="55" t="s">
        <v>319</v>
      </c>
      <c r="H607" s="55">
        <v>16</v>
      </c>
      <c r="I607" s="55" t="s">
        <v>63</v>
      </c>
      <c r="J607" s="23" t="str">
        <f t="shared" si="249"/>
        <v>升级大使馆至16级</v>
      </c>
      <c r="K607" s="23">
        <f t="shared" si="250"/>
        <v>10020590</v>
      </c>
      <c r="L607" s="23" t="s">
        <v>879</v>
      </c>
      <c r="M607" s="23">
        <f t="shared" si="252"/>
        <v>10801020</v>
      </c>
      <c r="N607" s="23" t="s">
        <v>254</v>
      </c>
      <c r="O607" s="23" t="s">
        <v>52</v>
      </c>
      <c r="P607" s="4" t="s">
        <v>491</v>
      </c>
      <c r="Q607" s="23" t="s">
        <v>52</v>
      </c>
      <c r="R607" s="23" t="s">
        <v>320</v>
      </c>
      <c r="S607" s="24" t="str">
        <f t="shared" si="251"/>
        <v>buildingLevelUp{buildingType:230,buildingLevel:16}</v>
      </c>
      <c r="T607" s="24" t="s">
        <v>52</v>
      </c>
      <c r="U607" s="23" t="s">
        <v>893</v>
      </c>
      <c r="V607" s="24" t="s">
        <v>322</v>
      </c>
      <c r="W607" s="23">
        <f>VLOOKUP(V607,[1]界面跳转!$I:$J,2,FALSE)</f>
        <v>7055</v>
      </c>
      <c r="Y607" s="23" t="s">
        <v>56</v>
      </c>
      <c r="Z607" s="23" t="s">
        <v>57</v>
      </c>
      <c r="AA607" s="25">
        <f t="shared" si="254"/>
        <v>20059</v>
      </c>
      <c r="AB607" s="23">
        <v>6622316</v>
      </c>
      <c r="AD607" s="23">
        <v>20</v>
      </c>
      <c r="AE607" s="23">
        <f t="shared" si="247"/>
        <v>59</v>
      </c>
    </row>
    <row r="608" spans="1:31" s="23" customFormat="1" x14ac:dyDescent="0.45">
      <c r="A608" s="23">
        <f t="shared" si="248"/>
        <v>10020600</v>
      </c>
      <c r="B608" s="23">
        <v>0</v>
      </c>
      <c r="C608" s="23">
        <v>20</v>
      </c>
      <c r="D608" s="23">
        <f t="shared" si="253"/>
        <v>60</v>
      </c>
      <c r="E608" s="23" t="s">
        <v>878</v>
      </c>
      <c r="F608" t="s">
        <v>931</v>
      </c>
      <c r="G608" s="55" t="s">
        <v>288</v>
      </c>
      <c r="H608" s="55">
        <v>16</v>
      </c>
      <c r="I608" s="55" t="s">
        <v>63</v>
      </c>
      <c r="J608" s="23" t="str">
        <f t="shared" si="249"/>
        <v>升级战争大厅至16级</v>
      </c>
      <c r="K608" s="23">
        <f t="shared" si="250"/>
        <v>10020600</v>
      </c>
      <c r="L608" s="23" t="s">
        <v>879</v>
      </c>
      <c r="M608" s="23">
        <f t="shared" si="252"/>
        <v>10801020</v>
      </c>
      <c r="N608" s="23" t="s">
        <v>254</v>
      </c>
      <c r="O608" s="23" t="s">
        <v>52</v>
      </c>
      <c r="P608" s="4" t="s">
        <v>491</v>
      </c>
      <c r="Q608" s="23" t="s">
        <v>52</v>
      </c>
      <c r="R608" s="23" t="s">
        <v>289</v>
      </c>
      <c r="S608" s="24" t="str">
        <f t="shared" si="251"/>
        <v>buildingLevelUp{buildingType:229,buildingLevel:16}</v>
      </c>
      <c r="T608" s="24" t="s">
        <v>52</v>
      </c>
      <c r="U608" s="23" t="s">
        <v>290</v>
      </c>
      <c r="V608" s="24" t="s">
        <v>291</v>
      </c>
      <c r="W608" s="23">
        <f>VLOOKUP(V608,[1]界面跳转!$I:$J,2,FALSE)</f>
        <v>7052</v>
      </c>
      <c r="Y608" s="23" t="s">
        <v>56</v>
      </c>
      <c r="Z608" s="23" t="s">
        <v>57</v>
      </c>
      <c r="AA608" s="25">
        <f t="shared" si="254"/>
        <v>20060</v>
      </c>
      <c r="AB608" s="23">
        <v>6622316</v>
      </c>
      <c r="AD608" s="23">
        <v>20</v>
      </c>
      <c r="AE608" s="23">
        <f t="shared" si="247"/>
        <v>60</v>
      </c>
    </row>
    <row r="609" spans="1:31" s="23" customFormat="1" x14ac:dyDescent="0.45">
      <c r="A609" s="23">
        <f t="shared" si="248"/>
        <v>10020610</v>
      </c>
      <c r="B609" s="23">
        <v>0</v>
      </c>
      <c r="C609" s="23">
        <v>20</v>
      </c>
      <c r="D609" s="23">
        <f t="shared" si="253"/>
        <v>61</v>
      </c>
      <c r="E609" s="23" t="s">
        <v>878</v>
      </c>
      <c r="F609" t="s">
        <v>932</v>
      </c>
      <c r="G609" s="55" t="s">
        <v>268</v>
      </c>
      <c r="H609" s="55">
        <v>17</v>
      </c>
      <c r="I609" s="55" t="s">
        <v>63</v>
      </c>
      <c r="J609" s="23" t="str">
        <f t="shared" si="249"/>
        <v>升级市集至17级</v>
      </c>
      <c r="K609" s="23">
        <f t="shared" si="250"/>
        <v>10020610</v>
      </c>
      <c r="L609" s="23" t="s">
        <v>879</v>
      </c>
      <c r="M609" s="23">
        <f t="shared" si="252"/>
        <v>10801020</v>
      </c>
      <c r="N609" s="23" t="s">
        <v>254</v>
      </c>
      <c r="O609" s="23" t="s">
        <v>52</v>
      </c>
      <c r="P609" s="4" t="s">
        <v>491</v>
      </c>
      <c r="Q609" s="23" t="s">
        <v>52</v>
      </c>
      <c r="R609" s="23" t="s">
        <v>269</v>
      </c>
      <c r="S609" s="24" t="str">
        <f t="shared" si="251"/>
        <v>buildingLevelUp{buildingType:231,buildingLevel:17}</v>
      </c>
      <c r="T609" s="24" t="s">
        <v>52</v>
      </c>
      <c r="U609" s="23" t="s">
        <v>895</v>
      </c>
      <c r="V609" s="24" t="s">
        <v>271</v>
      </c>
      <c r="W609" s="23">
        <f>VLOOKUP(V609,[1]界面跳转!$I:$J,2,FALSE)</f>
        <v>7058</v>
      </c>
      <c r="Y609" s="23" t="s">
        <v>56</v>
      </c>
      <c r="Z609" s="23" t="s">
        <v>57</v>
      </c>
      <c r="AA609" s="25">
        <f t="shared" si="254"/>
        <v>20061</v>
      </c>
      <c r="AB609" s="23">
        <v>6622317</v>
      </c>
      <c r="AD609" s="23">
        <v>20</v>
      </c>
      <c r="AE609" s="23">
        <f t="shared" si="247"/>
        <v>61</v>
      </c>
    </row>
    <row r="610" spans="1:31" s="23" customFormat="1" x14ac:dyDescent="0.45">
      <c r="A610" s="23">
        <f t="shared" si="248"/>
        <v>10020620</v>
      </c>
      <c r="B610" s="23">
        <v>0</v>
      </c>
      <c r="C610" s="23">
        <v>20</v>
      </c>
      <c r="D610" s="23">
        <f t="shared" si="253"/>
        <v>62</v>
      </c>
      <c r="E610" s="23" t="s">
        <v>878</v>
      </c>
      <c r="F610" s="23" t="s">
        <v>373</v>
      </c>
      <c r="G610" s="55" t="s">
        <v>106</v>
      </c>
      <c r="H610" s="55">
        <v>17</v>
      </c>
      <c r="I610" s="55" t="s">
        <v>63</v>
      </c>
      <c r="J610" s="23" t="str">
        <f t="shared" si="249"/>
        <v>升级城墙至17级</v>
      </c>
      <c r="K610" s="23">
        <f t="shared" si="250"/>
        <v>10020620</v>
      </c>
      <c r="L610" s="23" t="s">
        <v>879</v>
      </c>
      <c r="M610" s="23">
        <f t="shared" si="252"/>
        <v>10801020</v>
      </c>
      <c r="N610" s="23" t="s">
        <v>254</v>
      </c>
      <c r="O610" s="23" t="s">
        <v>52</v>
      </c>
      <c r="P610" s="4" t="s">
        <v>491</v>
      </c>
      <c r="Q610" s="23" t="s">
        <v>52</v>
      </c>
      <c r="R610" s="23" t="s">
        <v>107</v>
      </c>
      <c r="S610" s="24" t="str">
        <f t="shared" si="251"/>
        <v>buildingLevelUp{buildingType:215,buildingLevel:17}</v>
      </c>
      <c r="T610" s="24" t="s">
        <v>52</v>
      </c>
      <c r="U610" s="23" t="s">
        <v>880</v>
      </c>
      <c r="V610" s="24" t="s">
        <v>249</v>
      </c>
      <c r="W610" s="23">
        <f>VLOOKUP(V610,[1]界面跳转!$I:$J,2,FALSE)</f>
        <v>7039</v>
      </c>
      <c r="Y610" s="23" t="s">
        <v>56</v>
      </c>
      <c r="Z610" s="23" t="s">
        <v>57</v>
      </c>
      <c r="AA610" s="25">
        <f t="shared" si="254"/>
        <v>20062</v>
      </c>
      <c r="AB610" s="23">
        <v>6622317</v>
      </c>
      <c r="AD610" s="23">
        <v>20</v>
      </c>
      <c r="AE610" s="23">
        <f t="shared" si="247"/>
        <v>62</v>
      </c>
    </row>
    <row r="611" spans="1:31" s="23" customFormat="1" x14ac:dyDescent="0.45">
      <c r="A611" s="23">
        <f t="shared" si="248"/>
        <v>10020630</v>
      </c>
      <c r="B611" s="23">
        <v>0</v>
      </c>
      <c r="C611" s="23">
        <v>20</v>
      </c>
      <c r="D611" s="23">
        <f t="shared" si="253"/>
        <v>63</v>
      </c>
      <c r="E611" s="23" t="s">
        <v>878</v>
      </c>
      <c r="F611" t="s">
        <v>933</v>
      </c>
      <c r="G611" s="55" t="s">
        <v>139</v>
      </c>
      <c r="H611" s="55">
        <v>17</v>
      </c>
      <c r="I611" s="55" t="s">
        <v>63</v>
      </c>
      <c r="J611" s="23" t="str">
        <f t="shared" si="249"/>
        <v>升级瞭望塔至17级</v>
      </c>
      <c r="K611" s="23">
        <f t="shared" si="250"/>
        <v>10020630</v>
      </c>
      <c r="L611" s="23" t="s">
        <v>879</v>
      </c>
      <c r="M611" s="23">
        <f t="shared" si="252"/>
        <v>10801020</v>
      </c>
      <c r="N611" s="23" t="s">
        <v>254</v>
      </c>
      <c r="O611" s="23" t="s">
        <v>52</v>
      </c>
      <c r="P611" s="4" t="s">
        <v>491</v>
      </c>
      <c r="Q611" s="23" t="s">
        <v>52</v>
      </c>
      <c r="R611" s="23" t="s">
        <v>140</v>
      </c>
      <c r="S611" s="24" t="str">
        <f t="shared" si="251"/>
        <v>buildingLevelUp{buildingType:226,buildingLevel:17}</v>
      </c>
      <c r="T611" s="24" t="s">
        <v>52</v>
      </c>
      <c r="U611" s="23" t="s">
        <v>881</v>
      </c>
      <c r="V611" s="24" t="s">
        <v>449</v>
      </c>
      <c r="W611" s="23">
        <f>VLOOKUP(V611,[1]界面跳转!$I:$J,2,FALSE)</f>
        <v>7049</v>
      </c>
      <c r="Y611" s="23" t="s">
        <v>56</v>
      </c>
      <c r="Z611" s="23" t="s">
        <v>57</v>
      </c>
      <c r="AA611" s="25">
        <f t="shared" si="254"/>
        <v>20063</v>
      </c>
      <c r="AB611" s="23">
        <v>6622317</v>
      </c>
      <c r="AD611" s="23">
        <v>20</v>
      </c>
      <c r="AE611" s="23">
        <f t="shared" si="247"/>
        <v>63</v>
      </c>
    </row>
    <row r="612" spans="1:31" s="23" customFormat="1" x14ac:dyDescent="0.45">
      <c r="A612" s="23">
        <f t="shared" si="248"/>
        <v>10020640</v>
      </c>
      <c r="B612" s="23">
        <v>0</v>
      </c>
      <c r="C612" s="23">
        <v>20</v>
      </c>
      <c r="D612" s="23">
        <f t="shared" si="253"/>
        <v>64</v>
      </c>
      <c r="E612" s="23" t="s">
        <v>878</v>
      </c>
      <c r="F612" s="23" t="s">
        <v>934</v>
      </c>
      <c r="G612" s="55" t="s">
        <v>883</v>
      </c>
      <c r="H612" s="55">
        <v>17</v>
      </c>
      <c r="I612" s="55" t="s">
        <v>63</v>
      </c>
      <c r="J612" s="23" t="str">
        <f t="shared" si="249"/>
        <v>升级2个防卫塔至17级</v>
      </c>
      <c r="K612" s="23">
        <f t="shared" si="250"/>
        <v>10020640</v>
      </c>
      <c r="L612" s="23" t="s">
        <v>879</v>
      </c>
      <c r="M612" s="23">
        <f t="shared" si="252"/>
        <v>10801020</v>
      </c>
      <c r="N612" s="23" t="s">
        <v>254</v>
      </c>
      <c r="O612" s="23" t="s">
        <v>52</v>
      </c>
      <c r="P612" s="4" t="s">
        <v>491</v>
      </c>
      <c r="Q612" s="23" t="s">
        <v>52</v>
      </c>
      <c r="R612" s="23" t="s">
        <v>884</v>
      </c>
      <c r="S612" s="24" t="str">
        <f t="shared" si="251"/>
        <v>buildingLevelUp{buildingType:227,buildingLevel:17}</v>
      </c>
      <c r="T612" s="24" t="s">
        <v>52</v>
      </c>
      <c r="U612" s="23" t="s">
        <v>885</v>
      </c>
      <c r="V612" s="24" t="s">
        <v>886</v>
      </c>
      <c r="W612" s="23">
        <f>VLOOKUP(V612,[1]界面跳转!$I:$J,2,FALSE)</f>
        <v>7051</v>
      </c>
      <c r="Y612" s="23" t="s">
        <v>56</v>
      </c>
      <c r="Z612" s="23" t="s">
        <v>57</v>
      </c>
      <c r="AA612" s="25">
        <f t="shared" si="254"/>
        <v>20064</v>
      </c>
      <c r="AB612" s="23">
        <v>6622317</v>
      </c>
      <c r="AD612" s="23">
        <v>20</v>
      </c>
      <c r="AE612" s="23">
        <f t="shared" si="247"/>
        <v>64</v>
      </c>
    </row>
    <row r="613" spans="1:31" s="23" customFormat="1" x14ac:dyDescent="0.45">
      <c r="A613" s="23">
        <f t="shared" si="248"/>
        <v>10020650</v>
      </c>
      <c r="B613" s="23">
        <v>0</v>
      </c>
      <c r="C613" s="23">
        <v>20</v>
      </c>
      <c r="D613" s="23">
        <f t="shared" si="253"/>
        <v>65</v>
      </c>
      <c r="E613" s="23" t="s">
        <v>878</v>
      </c>
      <c r="F613" t="s">
        <v>935</v>
      </c>
      <c r="G613" s="55" t="s">
        <v>319</v>
      </c>
      <c r="H613" s="55">
        <v>17</v>
      </c>
      <c r="I613" s="55" t="s">
        <v>63</v>
      </c>
      <c r="J613" s="23" t="str">
        <f t="shared" si="249"/>
        <v>升级大使馆至17级</v>
      </c>
      <c r="K613" s="23">
        <f t="shared" si="250"/>
        <v>10020650</v>
      </c>
      <c r="L613" s="23" t="s">
        <v>879</v>
      </c>
      <c r="M613" s="23">
        <f t="shared" ref="M613:M644" si="255">VLOOKUP(L613,J:K,2,FALSE)</f>
        <v>10801020</v>
      </c>
      <c r="N613" s="23" t="s">
        <v>254</v>
      </c>
      <c r="O613" s="23" t="s">
        <v>52</v>
      </c>
      <c r="P613" s="4" t="s">
        <v>491</v>
      </c>
      <c r="Q613" s="23" t="s">
        <v>52</v>
      </c>
      <c r="R613" s="23" t="s">
        <v>320</v>
      </c>
      <c r="S613" s="24" t="str">
        <f t="shared" si="251"/>
        <v>buildingLevelUp{buildingType:230,buildingLevel:17}</v>
      </c>
      <c r="T613" s="24" t="s">
        <v>52</v>
      </c>
      <c r="U613" s="23" t="s">
        <v>893</v>
      </c>
      <c r="V613" s="24" t="s">
        <v>322</v>
      </c>
      <c r="W613" s="23">
        <f>VLOOKUP(V613,[1]界面跳转!$I:$J,2,FALSE)</f>
        <v>7055</v>
      </c>
      <c r="Y613" s="23" t="s">
        <v>56</v>
      </c>
      <c r="Z613" s="23" t="s">
        <v>57</v>
      </c>
      <c r="AA613" s="25">
        <f t="shared" si="254"/>
        <v>20065</v>
      </c>
      <c r="AB613" s="23">
        <v>6622317</v>
      </c>
      <c r="AD613" s="23">
        <v>20</v>
      </c>
      <c r="AE613" s="23">
        <f t="shared" si="247"/>
        <v>65</v>
      </c>
    </row>
    <row r="614" spans="1:31" s="23" customFormat="1" x14ac:dyDescent="0.45">
      <c r="A614" s="23">
        <f t="shared" si="248"/>
        <v>10020660</v>
      </c>
      <c r="B614" s="23">
        <v>0</v>
      </c>
      <c r="C614" s="23">
        <v>20</v>
      </c>
      <c r="D614" s="23">
        <f t="shared" si="253"/>
        <v>66</v>
      </c>
      <c r="E614" s="23" t="s">
        <v>878</v>
      </c>
      <c r="F614" t="s">
        <v>936</v>
      </c>
      <c r="G614" s="55" t="s">
        <v>288</v>
      </c>
      <c r="H614" s="55">
        <v>17</v>
      </c>
      <c r="I614" s="55" t="s">
        <v>63</v>
      </c>
      <c r="J614" s="23" t="str">
        <f t="shared" si="249"/>
        <v>升级战争大厅至17级</v>
      </c>
      <c r="K614" s="23">
        <f t="shared" si="250"/>
        <v>10020660</v>
      </c>
      <c r="L614" s="23" t="s">
        <v>879</v>
      </c>
      <c r="M614" s="23">
        <f t="shared" si="255"/>
        <v>10801020</v>
      </c>
      <c r="N614" s="23" t="s">
        <v>254</v>
      </c>
      <c r="O614" s="23" t="s">
        <v>52</v>
      </c>
      <c r="P614" s="4" t="s">
        <v>491</v>
      </c>
      <c r="Q614" s="23" t="s">
        <v>52</v>
      </c>
      <c r="R614" s="23" t="s">
        <v>289</v>
      </c>
      <c r="S614" s="24" t="str">
        <f t="shared" si="251"/>
        <v>buildingLevelUp{buildingType:229,buildingLevel:17}</v>
      </c>
      <c r="T614" s="24" t="s">
        <v>52</v>
      </c>
      <c r="U614" s="23" t="s">
        <v>290</v>
      </c>
      <c r="V614" s="24" t="s">
        <v>291</v>
      </c>
      <c r="W614" s="23">
        <f>VLOOKUP(V614,[1]界面跳转!$I:$J,2,FALSE)</f>
        <v>7052</v>
      </c>
      <c r="Y614" s="23" t="s">
        <v>56</v>
      </c>
      <c r="Z614" s="23" t="s">
        <v>57</v>
      </c>
      <c r="AA614" s="25">
        <f t="shared" si="254"/>
        <v>20066</v>
      </c>
      <c r="AB614" s="23">
        <v>6622317</v>
      </c>
      <c r="AD614" s="23">
        <v>20</v>
      </c>
      <c r="AE614" s="23">
        <f t="shared" ref="AE614:AE677" si="256">IF(AD614=AD613,AE613+1,1)</f>
        <v>66</v>
      </c>
    </row>
    <row r="615" spans="1:31" s="23" customFormat="1" x14ac:dyDescent="0.45">
      <c r="A615" s="23">
        <f t="shared" ref="A615:A669" si="257">10000000+B615*100000+C615*1000+D615*10</f>
        <v>10020670</v>
      </c>
      <c r="B615" s="23">
        <v>0</v>
      </c>
      <c r="C615" s="23">
        <v>20</v>
      </c>
      <c r="D615" s="23">
        <f t="shared" si="253"/>
        <v>67</v>
      </c>
      <c r="E615" s="23" t="s">
        <v>878</v>
      </c>
      <c r="F615" t="s">
        <v>937</v>
      </c>
      <c r="G615" s="55" t="s">
        <v>268</v>
      </c>
      <c r="H615" s="55">
        <v>18</v>
      </c>
      <c r="I615" s="55" t="s">
        <v>63</v>
      </c>
      <c r="J615" s="23" t="str">
        <f t="shared" ref="J615:J669" si="258">G615&amp;H615&amp;I615</f>
        <v>升级市集至18级</v>
      </c>
      <c r="K615" s="23">
        <f t="shared" ref="K615:K669" si="259">A615</f>
        <v>10020670</v>
      </c>
      <c r="L615" s="23" t="s">
        <v>879</v>
      </c>
      <c r="M615" s="23">
        <f t="shared" si="255"/>
        <v>10801020</v>
      </c>
      <c r="N615" s="23" t="s">
        <v>254</v>
      </c>
      <c r="O615" s="23" t="s">
        <v>52</v>
      </c>
      <c r="P615" s="4" t="s">
        <v>491</v>
      </c>
      <c r="Q615" s="23" t="s">
        <v>52</v>
      </c>
      <c r="R615" s="23" t="s">
        <v>269</v>
      </c>
      <c r="S615" s="24" t="str">
        <f t="shared" ref="S615:S669" si="260">SUBSTITUTE(R615,"@@@",H615)</f>
        <v>buildingLevelUp{buildingType:231,buildingLevel:18}</v>
      </c>
      <c r="T615" s="24" t="s">
        <v>52</v>
      </c>
      <c r="U615" s="23" t="s">
        <v>895</v>
      </c>
      <c r="V615" s="24" t="s">
        <v>271</v>
      </c>
      <c r="W615" s="23">
        <f>VLOOKUP(V615,[1]界面跳转!$I:$J,2,FALSE)</f>
        <v>7058</v>
      </c>
      <c r="Y615" s="23" t="s">
        <v>56</v>
      </c>
      <c r="Z615" s="23" t="s">
        <v>57</v>
      </c>
      <c r="AA615" s="25">
        <f t="shared" si="254"/>
        <v>20067</v>
      </c>
      <c r="AB615" s="23">
        <v>6622318</v>
      </c>
      <c r="AD615" s="23">
        <v>20</v>
      </c>
      <c r="AE615" s="23">
        <f t="shared" si="256"/>
        <v>67</v>
      </c>
    </row>
    <row r="616" spans="1:31" s="23" customFormat="1" x14ac:dyDescent="0.45">
      <c r="A616" s="23">
        <f t="shared" si="257"/>
        <v>10020680</v>
      </c>
      <c r="B616" s="23">
        <v>0</v>
      </c>
      <c r="C616" s="23">
        <v>20</v>
      </c>
      <c r="D616" s="23">
        <f t="shared" si="253"/>
        <v>68</v>
      </c>
      <c r="E616" s="23" t="s">
        <v>878</v>
      </c>
      <c r="F616" s="23" t="s">
        <v>382</v>
      </c>
      <c r="G616" s="55" t="s">
        <v>106</v>
      </c>
      <c r="H616" s="55">
        <v>18</v>
      </c>
      <c r="I616" s="55" t="s">
        <v>63</v>
      </c>
      <c r="J616" s="23" t="str">
        <f t="shared" si="258"/>
        <v>升级城墙至18级</v>
      </c>
      <c r="K616" s="23">
        <f t="shared" si="259"/>
        <v>10020680</v>
      </c>
      <c r="L616" s="23" t="s">
        <v>879</v>
      </c>
      <c r="M616" s="23">
        <f t="shared" si="255"/>
        <v>10801020</v>
      </c>
      <c r="N616" s="23" t="s">
        <v>254</v>
      </c>
      <c r="O616" s="23" t="s">
        <v>52</v>
      </c>
      <c r="P616" s="4" t="s">
        <v>491</v>
      </c>
      <c r="Q616" s="23" t="s">
        <v>52</v>
      </c>
      <c r="R616" s="23" t="s">
        <v>107</v>
      </c>
      <c r="S616" s="24" t="str">
        <f t="shared" si="260"/>
        <v>buildingLevelUp{buildingType:215,buildingLevel:18}</v>
      </c>
      <c r="T616" s="24" t="s">
        <v>52</v>
      </c>
      <c r="U616" s="23" t="s">
        <v>880</v>
      </c>
      <c r="V616" s="24" t="s">
        <v>249</v>
      </c>
      <c r="W616" s="23">
        <f>VLOOKUP(V616,[1]界面跳转!$I:$J,2,FALSE)</f>
        <v>7039</v>
      </c>
      <c r="Y616" s="23" t="s">
        <v>56</v>
      </c>
      <c r="Z616" s="23" t="s">
        <v>57</v>
      </c>
      <c r="AA616" s="25">
        <f t="shared" si="254"/>
        <v>20068</v>
      </c>
      <c r="AB616" s="23">
        <v>6622318</v>
      </c>
      <c r="AD616" s="23">
        <v>20</v>
      </c>
      <c r="AE616" s="23">
        <f t="shared" si="256"/>
        <v>68</v>
      </c>
    </row>
    <row r="617" spans="1:31" s="23" customFormat="1" x14ac:dyDescent="0.45">
      <c r="A617" s="23">
        <f t="shared" si="257"/>
        <v>10020690</v>
      </c>
      <c r="B617" s="23">
        <v>0</v>
      </c>
      <c r="C617" s="23">
        <v>20</v>
      </c>
      <c r="D617" s="23">
        <f t="shared" si="253"/>
        <v>69</v>
      </c>
      <c r="E617" s="23" t="s">
        <v>878</v>
      </c>
      <c r="F617" t="s">
        <v>938</v>
      </c>
      <c r="G617" s="55" t="s">
        <v>139</v>
      </c>
      <c r="H617" s="55">
        <v>18</v>
      </c>
      <c r="I617" s="55" t="s">
        <v>63</v>
      </c>
      <c r="J617" s="23" t="str">
        <f t="shared" si="258"/>
        <v>升级瞭望塔至18级</v>
      </c>
      <c r="K617" s="23">
        <f t="shared" si="259"/>
        <v>10020690</v>
      </c>
      <c r="L617" s="23" t="s">
        <v>879</v>
      </c>
      <c r="M617" s="23">
        <f t="shared" si="255"/>
        <v>10801020</v>
      </c>
      <c r="N617" s="23" t="s">
        <v>254</v>
      </c>
      <c r="O617" s="23" t="s">
        <v>52</v>
      </c>
      <c r="P617" s="4" t="s">
        <v>491</v>
      </c>
      <c r="Q617" s="23" t="s">
        <v>52</v>
      </c>
      <c r="R617" s="23" t="s">
        <v>140</v>
      </c>
      <c r="S617" s="24" t="str">
        <f t="shared" si="260"/>
        <v>buildingLevelUp{buildingType:226,buildingLevel:18}</v>
      </c>
      <c r="T617" s="24" t="s">
        <v>52</v>
      </c>
      <c r="U617" s="23" t="s">
        <v>881</v>
      </c>
      <c r="V617" s="24" t="s">
        <v>449</v>
      </c>
      <c r="W617" s="23">
        <f>VLOOKUP(V617,[1]界面跳转!$I:$J,2,FALSE)</f>
        <v>7049</v>
      </c>
      <c r="Y617" s="23" t="s">
        <v>56</v>
      </c>
      <c r="Z617" s="23" t="s">
        <v>57</v>
      </c>
      <c r="AA617" s="25">
        <f t="shared" si="254"/>
        <v>20069</v>
      </c>
      <c r="AB617" s="23">
        <v>6622318</v>
      </c>
      <c r="AD617" s="23">
        <v>20</v>
      </c>
      <c r="AE617" s="23">
        <f t="shared" si="256"/>
        <v>69</v>
      </c>
    </row>
    <row r="618" spans="1:31" s="23" customFormat="1" x14ac:dyDescent="0.45">
      <c r="A618" s="23">
        <f t="shared" si="257"/>
        <v>10020700</v>
      </c>
      <c r="B618" s="23">
        <v>0</v>
      </c>
      <c r="C618" s="23">
        <v>20</v>
      </c>
      <c r="D618" s="23">
        <f t="shared" si="253"/>
        <v>70</v>
      </c>
      <c r="E618" s="23" t="s">
        <v>878</v>
      </c>
      <c r="F618" s="23" t="s">
        <v>939</v>
      </c>
      <c r="G618" s="55" t="s">
        <v>883</v>
      </c>
      <c r="H618" s="55">
        <v>18</v>
      </c>
      <c r="I618" s="55" t="s">
        <v>63</v>
      </c>
      <c r="J618" s="23" t="str">
        <f t="shared" si="258"/>
        <v>升级2个防卫塔至18级</v>
      </c>
      <c r="K618" s="23">
        <f t="shared" si="259"/>
        <v>10020700</v>
      </c>
      <c r="L618" s="23" t="s">
        <v>879</v>
      </c>
      <c r="M618" s="23">
        <f t="shared" si="255"/>
        <v>10801020</v>
      </c>
      <c r="N618" s="23" t="s">
        <v>254</v>
      </c>
      <c r="O618" s="23" t="s">
        <v>52</v>
      </c>
      <c r="P618" s="4" t="s">
        <v>491</v>
      </c>
      <c r="Q618" s="23" t="s">
        <v>52</v>
      </c>
      <c r="R618" s="23" t="s">
        <v>884</v>
      </c>
      <c r="S618" s="24" t="str">
        <f t="shared" si="260"/>
        <v>buildingLevelUp{buildingType:227,buildingLevel:18}</v>
      </c>
      <c r="T618" s="24" t="s">
        <v>52</v>
      </c>
      <c r="U618" s="23" t="s">
        <v>885</v>
      </c>
      <c r="V618" s="24" t="s">
        <v>886</v>
      </c>
      <c r="W618" s="23">
        <f>VLOOKUP(V618,[1]界面跳转!$I:$J,2,FALSE)</f>
        <v>7051</v>
      </c>
      <c r="Y618" s="23" t="s">
        <v>56</v>
      </c>
      <c r="Z618" s="23" t="s">
        <v>57</v>
      </c>
      <c r="AA618" s="25">
        <f t="shared" si="254"/>
        <v>20070</v>
      </c>
      <c r="AB618" s="23">
        <v>6622318</v>
      </c>
      <c r="AD618" s="23">
        <v>20</v>
      </c>
      <c r="AE618" s="23">
        <f t="shared" si="256"/>
        <v>70</v>
      </c>
    </row>
    <row r="619" spans="1:31" s="23" customFormat="1" x14ac:dyDescent="0.45">
      <c r="A619" s="23">
        <f t="shared" si="257"/>
        <v>10020710</v>
      </c>
      <c r="B619" s="23">
        <v>0</v>
      </c>
      <c r="C619" s="23">
        <v>20</v>
      </c>
      <c r="D619" s="23">
        <f t="shared" si="253"/>
        <v>71</v>
      </c>
      <c r="E619" s="23" t="s">
        <v>878</v>
      </c>
      <c r="F619" t="s">
        <v>381</v>
      </c>
      <c r="G619" s="55" t="s">
        <v>319</v>
      </c>
      <c r="H619" s="55">
        <v>18</v>
      </c>
      <c r="I619" s="55" t="s">
        <v>63</v>
      </c>
      <c r="J619" s="23" t="str">
        <f t="shared" si="258"/>
        <v>升级大使馆至18级</v>
      </c>
      <c r="K619" s="23">
        <f t="shared" si="259"/>
        <v>10020710</v>
      </c>
      <c r="L619" s="23" t="s">
        <v>879</v>
      </c>
      <c r="M619" s="23">
        <f t="shared" si="255"/>
        <v>10801020</v>
      </c>
      <c r="N619" s="23" t="s">
        <v>254</v>
      </c>
      <c r="O619" s="23" t="s">
        <v>52</v>
      </c>
      <c r="P619" s="4" t="s">
        <v>491</v>
      </c>
      <c r="Q619" s="23" t="s">
        <v>52</v>
      </c>
      <c r="R619" s="23" t="s">
        <v>320</v>
      </c>
      <c r="S619" s="24" t="str">
        <f t="shared" si="260"/>
        <v>buildingLevelUp{buildingType:230,buildingLevel:18}</v>
      </c>
      <c r="T619" s="24" t="s">
        <v>52</v>
      </c>
      <c r="U619" s="23" t="s">
        <v>893</v>
      </c>
      <c r="V619" s="24" t="s">
        <v>322</v>
      </c>
      <c r="W619" s="23">
        <f>VLOOKUP(V619,[1]界面跳转!$I:$J,2,FALSE)</f>
        <v>7055</v>
      </c>
      <c r="Y619" s="23" t="s">
        <v>56</v>
      </c>
      <c r="Z619" s="23" t="s">
        <v>57</v>
      </c>
      <c r="AA619" s="25">
        <f t="shared" si="254"/>
        <v>20071</v>
      </c>
      <c r="AB619" s="23">
        <v>6622318</v>
      </c>
      <c r="AD619" s="23">
        <v>20</v>
      </c>
      <c r="AE619" s="23">
        <f t="shared" si="256"/>
        <v>71</v>
      </c>
    </row>
    <row r="620" spans="1:31" s="23" customFormat="1" x14ac:dyDescent="0.45">
      <c r="A620" s="23">
        <f t="shared" si="257"/>
        <v>10020720</v>
      </c>
      <c r="B620" s="23">
        <v>0</v>
      </c>
      <c r="C620" s="23">
        <v>20</v>
      </c>
      <c r="D620" s="23">
        <f t="shared" si="253"/>
        <v>72</v>
      </c>
      <c r="E620" s="23" t="s">
        <v>878</v>
      </c>
      <c r="F620" t="s">
        <v>940</v>
      </c>
      <c r="G620" s="55" t="s">
        <v>288</v>
      </c>
      <c r="H620" s="55">
        <v>18</v>
      </c>
      <c r="I620" s="55" t="s">
        <v>63</v>
      </c>
      <c r="J620" s="23" t="str">
        <f t="shared" si="258"/>
        <v>升级战争大厅至18级</v>
      </c>
      <c r="K620" s="23">
        <f t="shared" si="259"/>
        <v>10020720</v>
      </c>
      <c r="L620" s="23" t="s">
        <v>879</v>
      </c>
      <c r="M620" s="23">
        <f t="shared" si="255"/>
        <v>10801020</v>
      </c>
      <c r="N620" s="23" t="s">
        <v>254</v>
      </c>
      <c r="O620" s="23" t="s">
        <v>52</v>
      </c>
      <c r="P620" s="4" t="s">
        <v>491</v>
      </c>
      <c r="Q620" s="23" t="s">
        <v>52</v>
      </c>
      <c r="R620" s="23" t="s">
        <v>289</v>
      </c>
      <c r="S620" s="24" t="str">
        <f t="shared" si="260"/>
        <v>buildingLevelUp{buildingType:229,buildingLevel:18}</v>
      </c>
      <c r="T620" s="24" t="s">
        <v>52</v>
      </c>
      <c r="U620" s="23" t="s">
        <v>290</v>
      </c>
      <c r="V620" s="24" t="s">
        <v>291</v>
      </c>
      <c r="W620" s="23">
        <f>VLOOKUP(V620,[1]界面跳转!$I:$J,2,FALSE)</f>
        <v>7052</v>
      </c>
      <c r="Y620" s="23" t="s">
        <v>56</v>
      </c>
      <c r="Z620" s="23" t="s">
        <v>57</v>
      </c>
      <c r="AA620" s="25">
        <f t="shared" si="254"/>
        <v>20072</v>
      </c>
      <c r="AB620" s="23">
        <v>6622318</v>
      </c>
      <c r="AD620" s="23">
        <v>20</v>
      </c>
      <c r="AE620" s="23">
        <f t="shared" si="256"/>
        <v>72</v>
      </c>
    </row>
    <row r="621" spans="1:31" s="23" customFormat="1" x14ac:dyDescent="0.45">
      <c r="A621" s="23">
        <f t="shared" si="257"/>
        <v>10020730</v>
      </c>
      <c r="B621" s="23">
        <v>0</v>
      </c>
      <c r="C621" s="23">
        <v>20</v>
      </c>
      <c r="D621" s="23">
        <f t="shared" si="253"/>
        <v>73</v>
      </c>
      <c r="E621" s="23" t="s">
        <v>878</v>
      </c>
      <c r="F621" t="s">
        <v>941</v>
      </c>
      <c r="G621" s="55" t="s">
        <v>268</v>
      </c>
      <c r="H621" s="55">
        <v>19</v>
      </c>
      <c r="I621" s="55" t="s">
        <v>63</v>
      </c>
      <c r="J621" s="23" t="str">
        <f t="shared" si="258"/>
        <v>升级市集至19级</v>
      </c>
      <c r="K621" s="23">
        <f t="shared" si="259"/>
        <v>10020730</v>
      </c>
      <c r="L621" s="23" t="s">
        <v>879</v>
      </c>
      <c r="M621" s="23">
        <f t="shared" si="255"/>
        <v>10801020</v>
      </c>
      <c r="N621" s="23" t="s">
        <v>254</v>
      </c>
      <c r="O621" s="23" t="s">
        <v>52</v>
      </c>
      <c r="P621" s="4" t="s">
        <v>491</v>
      </c>
      <c r="Q621" s="23" t="s">
        <v>52</v>
      </c>
      <c r="R621" s="23" t="s">
        <v>269</v>
      </c>
      <c r="S621" s="24" t="str">
        <f t="shared" si="260"/>
        <v>buildingLevelUp{buildingType:231,buildingLevel:19}</v>
      </c>
      <c r="T621" s="24" t="s">
        <v>52</v>
      </c>
      <c r="U621" s="23" t="s">
        <v>895</v>
      </c>
      <c r="V621" s="24" t="s">
        <v>271</v>
      </c>
      <c r="W621" s="23">
        <f>VLOOKUP(V621,[1]界面跳转!$I:$J,2,FALSE)</f>
        <v>7058</v>
      </c>
      <c r="Y621" s="23" t="s">
        <v>56</v>
      </c>
      <c r="Z621" s="23" t="s">
        <v>57</v>
      </c>
      <c r="AA621" s="25">
        <f t="shared" si="254"/>
        <v>20073</v>
      </c>
      <c r="AB621" s="23">
        <v>6622319</v>
      </c>
      <c r="AD621" s="23">
        <v>20</v>
      </c>
      <c r="AE621" s="23">
        <f t="shared" si="256"/>
        <v>73</v>
      </c>
    </row>
    <row r="622" spans="1:31" s="23" customFormat="1" x14ac:dyDescent="0.45">
      <c r="A622" s="23">
        <f t="shared" si="257"/>
        <v>10020740</v>
      </c>
      <c r="B622" s="23">
        <v>0</v>
      </c>
      <c r="C622" s="23">
        <v>20</v>
      </c>
      <c r="D622" s="23">
        <f t="shared" si="253"/>
        <v>74</v>
      </c>
      <c r="E622" s="23" t="s">
        <v>878</v>
      </c>
      <c r="F622" s="23" t="s">
        <v>391</v>
      </c>
      <c r="G622" s="55" t="s">
        <v>106</v>
      </c>
      <c r="H622" s="55">
        <v>19</v>
      </c>
      <c r="I622" s="55" t="s">
        <v>63</v>
      </c>
      <c r="J622" s="23" t="str">
        <f t="shared" si="258"/>
        <v>升级城墙至19级</v>
      </c>
      <c r="K622" s="23">
        <f t="shared" si="259"/>
        <v>10020740</v>
      </c>
      <c r="L622" s="23" t="s">
        <v>879</v>
      </c>
      <c r="M622" s="23">
        <f t="shared" si="255"/>
        <v>10801020</v>
      </c>
      <c r="N622" s="23" t="s">
        <v>254</v>
      </c>
      <c r="O622" s="23" t="s">
        <v>52</v>
      </c>
      <c r="P622" s="4" t="s">
        <v>491</v>
      </c>
      <c r="Q622" s="23" t="s">
        <v>52</v>
      </c>
      <c r="R622" s="23" t="s">
        <v>107</v>
      </c>
      <c r="S622" s="24" t="str">
        <f t="shared" si="260"/>
        <v>buildingLevelUp{buildingType:215,buildingLevel:19}</v>
      </c>
      <c r="T622" s="24" t="s">
        <v>52</v>
      </c>
      <c r="U622" s="23" t="s">
        <v>880</v>
      </c>
      <c r="V622" s="24" t="s">
        <v>249</v>
      </c>
      <c r="W622" s="23">
        <f>VLOOKUP(V622,[1]界面跳转!$I:$J,2,FALSE)</f>
        <v>7039</v>
      </c>
      <c r="Y622" s="23" t="s">
        <v>56</v>
      </c>
      <c r="Z622" s="23" t="s">
        <v>57</v>
      </c>
      <c r="AA622" s="25">
        <f t="shared" si="254"/>
        <v>20074</v>
      </c>
      <c r="AB622" s="23">
        <v>6622319</v>
      </c>
      <c r="AD622" s="23">
        <v>20</v>
      </c>
      <c r="AE622" s="23">
        <f t="shared" si="256"/>
        <v>74</v>
      </c>
    </row>
    <row r="623" spans="1:31" s="23" customFormat="1" x14ac:dyDescent="0.45">
      <c r="A623" s="23">
        <f t="shared" si="257"/>
        <v>10020750</v>
      </c>
      <c r="B623" s="23">
        <v>0</v>
      </c>
      <c r="C623" s="23">
        <v>20</v>
      </c>
      <c r="D623" s="23">
        <f t="shared" si="253"/>
        <v>75</v>
      </c>
      <c r="E623" s="23" t="s">
        <v>878</v>
      </c>
      <c r="F623" t="s">
        <v>942</v>
      </c>
      <c r="G623" s="55" t="s">
        <v>139</v>
      </c>
      <c r="H623" s="55">
        <v>19</v>
      </c>
      <c r="I623" s="55" t="s">
        <v>63</v>
      </c>
      <c r="J623" s="23" t="str">
        <f t="shared" si="258"/>
        <v>升级瞭望塔至19级</v>
      </c>
      <c r="K623" s="23">
        <f t="shared" si="259"/>
        <v>10020750</v>
      </c>
      <c r="L623" s="23" t="s">
        <v>879</v>
      </c>
      <c r="M623" s="23">
        <f t="shared" si="255"/>
        <v>10801020</v>
      </c>
      <c r="N623" s="23" t="s">
        <v>254</v>
      </c>
      <c r="O623" s="23" t="s">
        <v>52</v>
      </c>
      <c r="P623" s="4" t="s">
        <v>491</v>
      </c>
      <c r="Q623" s="23" t="s">
        <v>52</v>
      </c>
      <c r="R623" s="23" t="s">
        <v>140</v>
      </c>
      <c r="S623" s="24" t="str">
        <f t="shared" si="260"/>
        <v>buildingLevelUp{buildingType:226,buildingLevel:19}</v>
      </c>
      <c r="T623" s="24" t="s">
        <v>52</v>
      </c>
      <c r="U623" s="23" t="s">
        <v>881</v>
      </c>
      <c r="V623" s="24" t="s">
        <v>449</v>
      </c>
      <c r="W623" s="23">
        <f>VLOOKUP(V623,[1]界面跳转!$I:$J,2,FALSE)</f>
        <v>7049</v>
      </c>
      <c r="Y623" s="23" t="s">
        <v>56</v>
      </c>
      <c r="Z623" s="23" t="s">
        <v>57</v>
      </c>
      <c r="AA623" s="25">
        <f t="shared" si="254"/>
        <v>20075</v>
      </c>
      <c r="AB623" s="23">
        <v>6622319</v>
      </c>
      <c r="AD623" s="23">
        <v>20</v>
      </c>
      <c r="AE623" s="23">
        <f t="shared" si="256"/>
        <v>75</v>
      </c>
    </row>
    <row r="624" spans="1:31" s="23" customFormat="1" x14ac:dyDescent="0.45">
      <c r="A624" s="23">
        <f t="shared" si="257"/>
        <v>10020760</v>
      </c>
      <c r="B624" s="23">
        <v>0</v>
      </c>
      <c r="C624" s="23">
        <v>20</v>
      </c>
      <c r="D624" s="23">
        <f t="shared" si="253"/>
        <v>76</v>
      </c>
      <c r="E624" s="23" t="s">
        <v>878</v>
      </c>
      <c r="F624" s="23" t="s">
        <v>943</v>
      </c>
      <c r="G624" s="55" t="s">
        <v>883</v>
      </c>
      <c r="H624" s="55">
        <v>19</v>
      </c>
      <c r="I624" s="55" t="s">
        <v>63</v>
      </c>
      <c r="J624" s="23" t="str">
        <f t="shared" si="258"/>
        <v>升级2个防卫塔至19级</v>
      </c>
      <c r="K624" s="23">
        <f t="shared" si="259"/>
        <v>10020760</v>
      </c>
      <c r="L624" s="23" t="s">
        <v>879</v>
      </c>
      <c r="M624" s="23">
        <f t="shared" si="255"/>
        <v>10801020</v>
      </c>
      <c r="N624" s="23" t="s">
        <v>254</v>
      </c>
      <c r="O624" s="23" t="s">
        <v>52</v>
      </c>
      <c r="P624" s="4" t="s">
        <v>491</v>
      </c>
      <c r="Q624" s="23" t="s">
        <v>52</v>
      </c>
      <c r="R624" s="23" t="s">
        <v>884</v>
      </c>
      <c r="S624" s="24" t="str">
        <f t="shared" si="260"/>
        <v>buildingLevelUp{buildingType:227,buildingLevel:19}</v>
      </c>
      <c r="T624" s="24" t="s">
        <v>52</v>
      </c>
      <c r="U624" s="23" t="s">
        <v>885</v>
      </c>
      <c r="V624" s="24" t="s">
        <v>886</v>
      </c>
      <c r="W624" s="23">
        <f>VLOOKUP(V624,[1]界面跳转!$I:$J,2,FALSE)</f>
        <v>7051</v>
      </c>
      <c r="Y624" s="23" t="s">
        <v>56</v>
      </c>
      <c r="Z624" s="23" t="s">
        <v>57</v>
      </c>
      <c r="AA624" s="25">
        <f t="shared" si="254"/>
        <v>20076</v>
      </c>
      <c r="AB624" s="23">
        <v>6622319</v>
      </c>
      <c r="AD624" s="23">
        <v>20</v>
      </c>
      <c r="AE624" s="23">
        <f t="shared" si="256"/>
        <v>76</v>
      </c>
    </row>
    <row r="625" spans="1:31" s="23" customFormat="1" x14ac:dyDescent="0.45">
      <c r="A625" s="23">
        <f t="shared" si="257"/>
        <v>10020770</v>
      </c>
      <c r="B625" s="23">
        <v>0</v>
      </c>
      <c r="C625" s="23">
        <v>20</v>
      </c>
      <c r="D625" s="23">
        <f t="shared" si="253"/>
        <v>77</v>
      </c>
      <c r="E625" s="23" t="s">
        <v>878</v>
      </c>
      <c r="F625" t="s">
        <v>944</v>
      </c>
      <c r="G625" s="55" t="s">
        <v>319</v>
      </c>
      <c r="H625" s="55">
        <v>19</v>
      </c>
      <c r="I625" s="55" t="s">
        <v>63</v>
      </c>
      <c r="J625" s="23" t="str">
        <f t="shared" si="258"/>
        <v>升级大使馆至19级</v>
      </c>
      <c r="K625" s="23">
        <f t="shared" si="259"/>
        <v>10020770</v>
      </c>
      <c r="L625" s="23" t="s">
        <v>879</v>
      </c>
      <c r="M625" s="23">
        <f t="shared" si="255"/>
        <v>10801020</v>
      </c>
      <c r="N625" s="23" t="s">
        <v>254</v>
      </c>
      <c r="O625" s="23" t="s">
        <v>52</v>
      </c>
      <c r="P625" s="4" t="s">
        <v>491</v>
      </c>
      <c r="Q625" s="23" t="s">
        <v>52</v>
      </c>
      <c r="R625" s="23" t="s">
        <v>320</v>
      </c>
      <c r="S625" s="24" t="str">
        <f t="shared" si="260"/>
        <v>buildingLevelUp{buildingType:230,buildingLevel:19}</v>
      </c>
      <c r="T625" s="24" t="s">
        <v>52</v>
      </c>
      <c r="U625" s="23" t="s">
        <v>893</v>
      </c>
      <c r="V625" s="24" t="s">
        <v>322</v>
      </c>
      <c r="W625" s="23">
        <f>VLOOKUP(V625,[1]界面跳转!$I:$J,2,FALSE)</f>
        <v>7055</v>
      </c>
      <c r="Y625" s="23" t="s">
        <v>56</v>
      </c>
      <c r="Z625" s="23" t="s">
        <v>57</v>
      </c>
      <c r="AA625" s="25">
        <f t="shared" si="254"/>
        <v>20077</v>
      </c>
      <c r="AB625" s="23">
        <v>6622319</v>
      </c>
      <c r="AD625" s="23">
        <v>20</v>
      </c>
      <c r="AE625" s="23">
        <f t="shared" si="256"/>
        <v>77</v>
      </c>
    </row>
    <row r="626" spans="1:31" s="23" customFormat="1" x14ac:dyDescent="0.45">
      <c r="A626" s="23">
        <f t="shared" si="257"/>
        <v>10020780</v>
      </c>
      <c r="B626" s="23">
        <v>0</v>
      </c>
      <c r="C626" s="23">
        <v>20</v>
      </c>
      <c r="D626" s="23">
        <f t="shared" si="253"/>
        <v>78</v>
      </c>
      <c r="E626" s="23" t="s">
        <v>878</v>
      </c>
      <c r="F626" t="s">
        <v>945</v>
      </c>
      <c r="G626" s="55" t="s">
        <v>288</v>
      </c>
      <c r="H626" s="55">
        <v>19</v>
      </c>
      <c r="I626" s="55" t="s">
        <v>63</v>
      </c>
      <c r="J626" s="23" t="str">
        <f t="shared" si="258"/>
        <v>升级战争大厅至19级</v>
      </c>
      <c r="K626" s="23">
        <f t="shared" si="259"/>
        <v>10020780</v>
      </c>
      <c r="L626" s="23" t="s">
        <v>879</v>
      </c>
      <c r="M626" s="23">
        <f t="shared" si="255"/>
        <v>10801020</v>
      </c>
      <c r="N626" s="23" t="s">
        <v>254</v>
      </c>
      <c r="O626" s="23" t="s">
        <v>52</v>
      </c>
      <c r="P626" s="4" t="s">
        <v>491</v>
      </c>
      <c r="Q626" s="23" t="s">
        <v>52</v>
      </c>
      <c r="R626" s="23" t="s">
        <v>289</v>
      </c>
      <c r="S626" s="24" t="str">
        <f t="shared" si="260"/>
        <v>buildingLevelUp{buildingType:229,buildingLevel:19}</v>
      </c>
      <c r="T626" s="24" t="s">
        <v>52</v>
      </c>
      <c r="U626" s="23" t="s">
        <v>290</v>
      </c>
      <c r="V626" s="24" t="s">
        <v>291</v>
      </c>
      <c r="W626" s="23">
        <f>VLOOKUP(V626,[1]界面跳转!$I:$J,2,FALSE)</f>
        <v>7052</v>
      </c>
      <c r="Y626" s="23" t="s">
        <v>56</v>
      </c>
      <c r="Z626" s="23" t="s">
        <v>57</v>
      </c>
      <c r="AA626" s="25">
        <f t="shared" si="254"/>
        <v>20078</v>
      </c>
      <c r="AB626" s="23">
        <v>6622319</v>
      </c>
      <c r="AD626" s="23">
        <v>20</v>
      </c>
      <c r="AE626" s="23">
        <f t="shared" si="256"/>
        <v>78</v>
      </c>
    </row>
    <row r="627" spans="1:31" s="23" customFormat="1" x14ac:dyDescent="0.45">
      <c r="A627" s="23">
        <f t="shared" si="257"/>
        <v>10020790</v>
      </c>
      <c r="B627" s="23">
        <v>0</v>
      </c>
      <c r="C627" s="23">
        <v>20</v>
      </c>
      <c r="D627" s="23">
        <f t="shared" si="253"/>
        <v>79</v>
      </c>
      <c r="E627" s="23" t="s">
        <v>878</v>
      </c>
      <c r="F627" t="s">
        <v>946</v>
      </c>
      <c r="G627" s="55" t="s">
        <v>268</v>
      </c>
      <c r="H627" s="55">
        <v>20</v>
      </c>
      <c r="I627" s="55" t="s">
        <v>63</v>
      </c>
      <c r="J627" s="23" t="str">
        <f t="shared" si="258"/>
        <v>升级市集至20级</v>
      </c>
      <c r="K627" s="23">
        <f t="shared" si="259"/>
        <v>10020790</v>
      </c>
      <c r="L627" s="23" t="s">
        <v>879</v>
      </c>
      <c r="M627" s="23">
        <f t="shared" si="255"/>
        <v>10801020</v>
      </c>
      <c r="N627" s="23" t="s">
        <v>254</v>
      </c>
      <c r="O627" s="23" t="s">
        <v>52</v>
      </c>
      <c r="P627" s="4" t="s">
        <v>491</v>
      </c>
      <c r="Q627" s="23" t="s">
        <v>52</v>
      </c>
      <c r="R627" s="23" t="s">
        <v>269</v>
      </c>
      <c r="S627" s="24" t="str">
        <f t="shared" si="260"/>
        <v>buildingLevelUp{buildingType:231,buildingLevel:20}</v>
      </c>
      <c r="T627" s="24" t="s">
        <v>52</v>
      </c>
      <c r="U627" s="23" t="s">
        <v>895</v>
      </c>
      <c r="V627" s="24" t="s">
        <v>271</v>
      </c>
      <c r="W627" s="23">
        <f>VLOOKUP(V627,[1]界面跳转!$I:$J,2,FALSE)</f>
        <v>7058</v>
      </c>
      <c r="Y627" s="23" t="s">
        <v>56</v>
      </c>
      <c r="Z627" s="23" t="s">
        <v>57</v>
      </c>
      <c r="AA627" s="25">
        <f t="shared" si="254"/>
        <v>20079</v>
      </c>
      <c r="AB627" s="23">
        <v>6622320</v>
      </c>
      <c r="AD627" s="23">
        <v>20</v>
      </c>
      <c r="AE627" s="23">
        <f t="shared" si="256"/>
        <v>79</v>
      </c>
    </row>
    <row r="628" spans="1:31" s="23" customFormat="1" x14ac:dyDescent="0.45">
      <c r="A628" s="23">
        <f t="shared" si="257"/>
        <v>10020800</v>
      </c>
      <c r="B628" s="23">
        <v>0</v>
      </c>
      <c r="C628" s="23">
        <v>20</v>
      </c>
      <c r="D628" s="23">
        <f t="shared" si="253"/>
        <v>80</v>
      </c>
      <c r="E628" s="23" t="s">
        <v>878</v>
      </c>
      <c r="F628" s="23" t="s">
        <v>399</v>
      </c>
      <c r="G628" s="55" t="s">
        <v>106</v>
      </c>
      <c r="H628" s="55">
        <v>20</v>
      </c>
      <c r="I628" s="55" t="s">
        <v>63</v>
      </c>
      <c r="J628" s="23" t="str">
        <f t="shared" si="258"/>
        <v>升级城墙至20级</v>
      </c>
      <c r="K628" s="23">
        <f t="shared" si="259"/>
        <v>10020800</v>
      </c>
      <c r="L628" s="23" t="s">
        <v>879</v>
      </c>
      <c r="M628" s="23">
        <f t="shared" si="255"/>
        <v>10801020</v>
      </c>
      <c r="N628" s="23" t="s">
        <v>254</v>
      </c>
      <c r="O628" s="23" t="s">
        <v>52</v>
      </c>
      <c r="P628" s="4" t="s">
        <v>491</v>
      </c>
      <c r="Q628" s="23" t="s">
        <v>52</v>
      </c>
      <c r="R628" s="23" t="s">
        <v>107</v>
      </c>
      <c r="S628" s="24" t="str">
        <f t="shared" si="260"/>
        <v>buildingLevelUp{buildingType:215,buildingLevel:20}</v>
      </c>
      <c r="T628" s="24" t="s">
        <v>52</v>
      </c>
      <c r="U628" s="23" t="s">
        <v>880</v>
      </c>
      <c r="V628" s="24" t="s">
        <v>249</v>
      </c>
      <c r="W628" s="23">
        <f>VLOOKUP(V628,[1]界面跳转!$I:$J,2,FALSE)</f>
        <v>7039</v>
      </c>
      <c r="Y628" s="23" t="s">
        <v>56</v>
      </c>
      <c r="Z628" s="23" t="s">
        <v>57</v>
      </c>
      <c r="AA628" s="25">
        <f t="shared" si="254"/>
        <v>20080</v>
      </c>
      <c r="AB628" s="23">
        <v>6622320</v>
      </c>
      <c r="AD628" s="23">
        <v>20</v>
      </c>
      <c r="AE628" s="23">
        <f t="shared" si="256"/>
        <v>80</v>
      </c>
    </row>
    <row r="629" spans="1:31" s="23" customFormat="1" x14ac:dyDescent="0.45">
      <c r="A629" s="23">
        <f t="shared" si="257"/>
        <v>10020810</v>
      </c>
      <c r="B629" s="23">
        <v>0</v>
      </c>
      <c r="C629" s="23">
        <v>20</v>
      </c>
      <c r="D629" s="23">
        <f t="shared" si="253"/>
        <v>81</v>
      </c>
      <c r="E629" s="23" t="s">
        <v>878</v>
      </c>
      <c r="F629" t="s">
        <v>947</v>
      </c>
      <c r="G629" s="55" t="s">
        <v>139</v>
      </c>
      <c r="H629" s="55">
        <v>20</v>
      </c>
      <c r="I629" s="55" t="s">
        <v>63</v>
      </c>
      <c r="J629" s="23" t="str">
        <f t="shared" si="258"/>
        <v>升级瞭望塔至20级</v>
      </c>
      <c r="K629" s="23">
        <f t="shared" si="259"/>
        <v>10020810</v>
      </c>
      <c r="L629" s="23" t="s">
        <v>879</v>
      </c>
      <c r="M629" s="23">
        <f t="shared" si="255"/>
        <v>10801020</v>
      </c>
      <c r="N629" s="23" t="s">
        <v>254</v>
      </c>
      <c r="O629" s="23" t="s">
        <v>52</v>
      </c>
      <c r="P629" s="4" t="s">
        <v>491</v>
      </c>
      <c r="Q629" s="23" t="s">
        <v>52</v>
      </c>
      <c r="R629" s="23" t="s">
        <v>140</v>
      </c>
      <c r="S629" s="24" t="str">
        <f t="shared" si="260"/>
        <v>buildingLevelUp{buildingType:226,buildingLevel:20}</v>
      </c>
      <c r="T629" s="24" t="s">
        <v>52</v>
      </c>
      <c r="U629" s="23" t="s">
        <v>881</v>
      </c>
      <c r="V629" s="24" t="s">
        <v>449</v>
      </c>
      <c r="W629" s="23">
        <f>VLOOKUP(V629,[1]界面跳转!$I:$J,2,FALSE)</f>
        <v>7049</v>
      </c>
      <c r="Y629" s="23" t="s">
        <v>56</v>
      </c>
      <c r="Z629" s="23" t="s">
        <v>57</v>
      </c>
      <c r="AA629" s="25">
        <f t="shared" si="254"/>
        <v>20081</v>
      </c>
      <c r="AB629" s="23">
        <v>6622320</v>
      </c>
      <c r="AD629" s="23">
        <v>20</v>
      </c>
      <c r="AE629" s="23">
        <f t="shared" si="256"/>
        <v>81</v>
      </c>
    </row>
    <row r="630" spans="1:31" s="23" customFormat="1" x14ac:dyDescent="0.45">
      <c r="A630" s="23">
        <f t="shared" si="257"/>
        <v>10020820</v>
      </c>
      <c r="B630" s="23">
        <v>0</v>
      </c>
      <c r="C630" s="23">
        <v>20</v>
      </c>
      <c r="D630" s="23">
        <f t="shared" si="253"/>
        <v>82</v>
      </c>
      <c r="E630" s="23" t="s">
        <v>878</v>
      </c>
      <c r="F630" s="23" t="s">
        <v>948</v>
      </c>
      <c r="G630" s="55" t="s">
        <v>883</v>
      </c>
      <c r="H630" s="55">
        <v>20</v>
      </c>
      <c r="I630" s="55" t="s">
        <v>63</v>
      </c>
      <c r="J630" s="23" t="str">
        <f t="shared" si="258"/>
        <v>升级2个防卫塔至20级</v>
      </c>
      <c r="K630" s="23">
        <f t="shared" si="259"/>
        <v>10020820</v>
      </c>
      <c r="L630" s="23" t="s">
        <v>879</v>
      </c>
      <c r="M630" s="23">
        <f t="shared" si="255"/>
        <v>10801020</v>
      </c>
      <c r="N630" s="23" t="s">
        <v>254</v>
      </c>
      <c r="O630" s="23" t="s">
        <v>52</v>
      </c>
      <c r="P630" s="4" t="s">
        <v>491</v>
      </c>
      <c r="Q630" s="23" t="s">
        <v>52</v>
      </c>
      <c r="R630" s="23" t="s">
        <v>884</v>
      </c>
      <c r="S630" s="24" t="str">
        <f t="shared" si="260"/>
        <v>buildingLevelUp{buildingType:227,buildingLevel:20}</v>
      </c>
      <c r="T630" s="24" t="s">
        <v>52</v>
      </c>
      <c r="U630" s="23" t="s">
        <v>885</v>
      </c>
      <c r="V630" s="24" t="s">
        <v>886</v>
      </c>
      <c r="W630" s="23">
        <f>VLOOKUP(V630,[1]界面跳转!$I:$J,2,FALSE)</f>
        <v>7051</v>
      </c>
      <c r="Y630" s="23" t="s">
        <v>56</v>
      </c>
      <c r="Z630" s="23" t="s">
        <v>57</v>
      </c>
      <c r="AA630" s="25">
        <f t="shared" si="254"/>
        <v>20082</v>
      </c>
      <c r="AB630" s="23">
        <v>6622320</v>
      </c>
      <c r="AD630" s="23">
        <v>20</v>
      </c>
      <c r="AE630" s="23">
        <f t="shared" si="256"/>
        <v>82</v>
      </c>
    </row>
    <row r="631" spans="1:31" s="23" customFormat="1" x14ac:dyDescent="0.45">
      <c r="A631" s="23">
        <f t="shared" si="257"/>
        <v>10020830</v>
      </c>
      <c r="B631" s="23">
        <v>0</v>
      </c>
      <c r="C631" s="23">
        <v>20</v>
      </c>
      <c r="D631" s="23">
        <f t="shared" si="253"/>
        <v>83</v>
      </c>
      <c r="E631" s="23" t="s">
        <v>878</v>
      </c>
      <c r="F631" t="s">
        <v>949</v>
      </c>
      <c r="G631" s="55" t="s">
        <v>319</v>
      </c>
      <c r="H631" s="55">
        <v>20</v>
      </c>
      <c r="I631" s="55" t="s">
        <v>63</v>
      </c>
      <c r="J631" s="23" t="str">
        <f t="shared" si="258"/>
        <v>升级大使馆至20级</v>
      </c>
      <c r="K631" s="23">
        <f t="shared" si="259"/>
        <v>10020830</v>
      </c>
      <c r="L631" s="23" t="s">
        <v>879</v>
      </c>
      <c r="M631" s="23">
        <f t="shared" si="255"/>
        <v>10801020</v>
      </c>
      <c r="N631" s="23" t="s">
        <v>254</v>
      </c>
      <c r="O631" s="23" t="s">
        <v>52</v>
      </c>
      <c r="P631" s="4" t="s">
        <v>491</v>
      </c>
      <c r="Q631" s="23" t="s">
        <v>52</v>
      </c>
      <c r="R631" s="23" t="s">
        <v>320</v>
      </c>
      <c r="S631" s="24" t="str">
        <f t="shared" si="260"/>
        <v>buildingLevelUp{buildingType:230,buildingLevel:20}</v>
      </c>
      <c r="T631" s="24" t="s">
        <v>52</v>
      </c>
      <c r="U631" s="23" t="s">
        <v>893</v>
      </c>
      <c r="V631" s="24" t="s">
        <v>322</v>
      </c>
      <c r="W631" s="23">
        <f>VLOOKUP(V631,[1]界面跳转!$I:$J,2,FALSE)</f>
        <v>7055</v>
      </c>
      <c r="Y631" s="23" t="s">
        <v>56</v>
      </c>
      <c r="Z631" s="23" t="s">
        <v>57</v>
      </c>
      <c r="AA631" s="25">
        <f t="shared" si="254"/>
        <v>20083</v>
      </c>
      <c r="AB631" s="23">
        <v>6622320</v>
      </c>
      <c r="AD631" s="23">
        <v>20</v>
      </c>
      <c r="AE631" s="23">
        <f t="shared" si="256"/>
        <v>83</v>
      </c>
    </row>
    <row r="632" spans="1:31" s="23" customFormat="1" x14ac:dyDescent="0.45">
      <c r="A632" s="23">
        <f t="shared" si="257"/>
        <v>10020840</v>
      </c>
      <c r="B632" s="23">
        <v>0</v>
      </c>
      <c r="C632" s="23">
        <v>20</v>
      </c>
      <c r="D632" s="23">
        <f t="shared" si="253"/>
        <v>84</v>
      </c>
      <c r="E632" s="23" t="s">
        <v>878</v>
      </c>
      <c r="F632" t="s">
        <v>950</v>
      </c>
      <c r="G632" s="55" t="s">
        <v>288</v>
      </c>
      <c r="H632" s="55">
        <v>20</v>
      </c>
      <c r="I632" s="55" t="s">
        <v>63</v>
      </c>
      <c r="J632" s="23" t="str">
        <f t="shared" si="258"/>
        <v>升级战争大厅至20级</v>
      </c>
      <c r="K632" s="23">
        <f t="shared" si="259"/>
        <v>10020840</v>
      </c>
      <c r="L632" s="23" t="s">
        <v>879</v>
      </c>
      <c r="M632" s="23">
        <f t="shared" si="255"/>
        <v>10801020</v>
      </c>
      <c r="N632" s="23" t="s">
        <v>254</v>
      </c>
      <c r="O632" s="23" t="s">
        <v>52</v>
      </c>
      <c r="P632" s="4" t="s">
        <v>491</v>
      </c>
      <c r="Q632" s="23" t="s">
        <v>52</v>
      </c>
      <c r="R632" s="23" t="s">
        <v>289</v>
      </c>
      <c r="S632" s="24" t="str">
        <f t="shared" si="260"/>
        <v>buildingLevelUp{buildingType:229,buildingLevel:20}</v>
      </c>
      <c r="T632" s="24" t="s">
        <v>52</v>
      </c>
      <c r="U632" s="23" t="s">
        <v>290</v>
      </c>
      <c r="V632" s="24" t="s">
        <v>291</v>
      </c>
      <c r="W632" s="23">
        <f>VLOOKUP(V632,[1]界面跳转!$I:$J,2,FALSE)</f>
        <v>7052</v>
      </c>
      <c r="Y632" s="23" t="s">
        <v>56</v>
      </c>
      <c r="Z632" s="23" t="s">
        <v>57</v>
      </c>
      <c r="AA632" s="25">
        <f t="shared" si="254"/>
        <v>20084</v>
      </c>
      <c r="AB632" s="23">
        <v>6622320</v>
      </c>
      <c r="AD632" s="23">
        <v>20</v>
      </c>
      <c r="AE632" s="23">
        <f t="shared" si="256"/>
        <v>84</v>
      </c>
    </row>
    <row r="633" spans="1:31" s="23" customFormat="1" x14ac:dyDescent="0.45">
      <c r="A633" s="23">
        <f t="shared" si="257"/>
        <v>10021010</v>
      </c>
      <c r="B633" s="23">
        <v>0</v>
      </c>
      <c r="C633" s="23">
        <v>21</v>
      </c>
      <c r="D633" s="23">
        <f t="shared" si="253"/>
        <v>1</v>
      </c>
      <c r="E633" s="23" t="s">
        <v>878</v>
      </c>
      <c r="F633" t="s">
        <v>951</v>
      </c>
      <c r="G633" s="55" t="s">
        <v>268</v>
      </c>
      <c r="H633" s="55">
        <v>21</v>
      </c>
      <c r="I633" s="55" t="s">
        <v>63</v>
      </c>
      <c r="J633" s="23" t="str">
        <f t="shared" si="258"/>
        <v>升级市集至21级</v>
      </c>
      <c r="K633" s="23">
        <f t="shared" si="259"/>
        <v>10021010</v>
      </c>
      <c r="L633" s="23" t="s">
        <v>879</v>
      </c>
      <c r="M633" s="23">
        <f t="shared" si="255"/>
        <v>10801020</v>
      </c>
      <c r="N633" s="23" t="s">
        <v>254</v>
      </c>
      <c r="O633" s="23" t="s">
        <v>52</v>
      </c>
      <c r="P633" s="4" t="s">
        <v>491</v>
      </c>
      <c r="Q633" s="23" t="s">
        <v>52</v>
      </c>
      <c r="R633" s="23" t="s">
        <v>269</v>
      </c>
      <c r="S633" s="24" t="str">
        <f t="shared" si="260"/>
        <v>buildingLevelUp{buildingType:231,buildingLevel:21}</v>
      </c>
      <c r="T633" s="24" t="s">
        <v>52</v>
      </c>
      <c r="U633" s="23" t="s">
        <v>895</v>
      </c>
      <c r="V633" s="24" t="s">
        <v>271</v>
      </c>
      <c r="W633" s="23">
        <f>VLOOKUP(V633,[1]界面跳转!$I:$J,2,FALSE)</f>
        <v>7058</v>
      </c>
      <c r="Y633" s="23" t="s">
        <v>56</v>
      </c>
      <c r="Z633" s="23" t="s">
        <v>57</v>
      </c>
      <c r="AA633" s="23">
        <f t="shared" si="254"/>
        <v>21001</v>
      </c>
      <c r="AB633" s="23">
        <v>6622321</v>
      </c>
      <c r="AD633" s="23">
        <v>21</v>
      </c>
      <c r="AE633" s="23">
        <f t="shared" si="256"/>
        <v>1</v>
      </c>
    </row>
    <row r="634" spans="1:31" s="23" customFormat="1" x14ac:dyDescent="0.45">
      <c r="A634" s="23">
        <f t="shared" si="257"/>
        <v>10021020</v>
      </c>
      <c r="B634" s="23">
        <v>0</v>
      </c>
      <c r="C634" s="23">
        <v>21</v>
      </c>
      <c r="D634" s="23">
        <f t="shared" si="253"/>
        <v>2</v>
      </c>
      <c r="E634" s="23" t="s">
        <v>878</v>
      </c>
      <c r="F634" s="23" t="s">
        <v>409</v>
      </c>
      <c r="G634" s="55" t="s">
        <v>106</v>
      </c>
      <c r="H634" s="55">
        <v>21</v>
      </c>
      <c r="I634" s="55" t="s">
        <v>63</v>
      </c>
      <c r="J634" s="23" t="str">
        <f t="shared" si="258"/>
        <v>升级城墙至21级</v>
      </c>
      <c r="K634" s="23">
        <f t="shared" si="259"/>
        <v>10021020</v>
      </c>
      <c r="L634" s="23" t="s">
        <v>879</v>
      </c>
      <c r="M634" s="23">
        <f t="shared" si="255"/>
        <v>10801020</v>
      </c>
      <c r="N634" s="23" t="s">
        <v>254</v>
      </c>
      <c r="O634" s="23" t="s">
        <v>52</v>
      </c>
      <c r="P634" s="4" t="s">
        <v>491</v>
      </c>
      <c r="Q634" s="23" t="s">
        <v>52</v>
      </c>
      <c r="R634" s="23" t="s">
        <v>107</v>
      </c>
      <c r="S634" s="24" t="str">
        <f t="shared" si="260"/>
        <v>buildingLevelUp{buildingType:215,buildingLevel:21}</v>
      </c>
      <c r="T634" s="24" t="s">
        <v>52</v>
      </c>
      <c r="U634" s="23" t="s">
        <v>880</v>
      </c>
      <c r="V634" s="24" t="s">
        <v>249</v>
      </c>
      <c r="W634" s="23">
        <f>VLOOKUP(V634,[1]界面跳转!$I:$J,2,FALSE)</f>
        <v>7039</v>
      </c>
      <c r="Y634" s="23" t="s">
        <v>56</v>
      </c>
      <c r="Z634" s="23" t="s">
        <v>57</v>
      </c>
      <c r="AA634" s="23">
        <f t="shared" si="254"/>
        <v>21002</v>
      </c>
      <c r="AB634" s="23">
        <v>6622321</v>
      </c>
      <c r="AD634" s="23">
        <v>21</v>
      </c>
      <c r="AE634" s="23">
        <f t="shared" si="256"/>
        <v>2</v>
      </c>
    </row>
    <row r="635" spans="1:31" s="23" customFormat="1" x14ac:dyDescent="0.45">
      <c r="A635" s="23">
        <f t="shared" si="257"/>
        <v>10021030</v>
      </c>
      <c r="B635" s="23">
        <v>0</v>
      </c>
      <c r="C635" s="23">
        <v>21</v>
      </c>
      <c r="D635" s="23">
        <f t="shared" si="253"/>
        <v>3</v>
      </c>
      <c r="E635" s="23" t="s">
        <v>878</v>
      </c>
      <c r="F635" t="s">
        <v>952</v>
      </c>
      <c r="G635" s="55" t="s">
        <v>139</v>
      </c>
      <c r="H635" s="55">
        <v>21</v>
      </c>
      <c r="I635" s="55" t="s">
        <v>63</v>
      </c>
      <c r="J635" s="23" t="str">
        <f t="shared" si="258"/>
        <v>升级瞭望塔至21级</v>
      </c>
      <c r="K635" s="23">
        <f t="shared" si="259"/>
        <v>10021030</v>
      </c>
      <c r="L635" s="23" t="s">
        <v>879</v>
      </c>
      <c r="M635" s="23">
        <f t="shared" si="255"/>
        <v>10801020</v>
      </c>
      <c r="N635" s="23" t="s">
        <v>254</v>
      </c>
      <c r="O635" s="23" t="s">
        <v>52</v>
      </c>
      <c r="P635" s="4" t="s">
        <v>491</v>
      </c>
      <c r="Q635" s="23" t="s">
        <v>52</v>
      </c>
      <c r="R635" s="23" t="s">
        <v>140</v>
      </c>
      <c r="S635" s="24" t="str">
        <f t="shared" si="260"/>
        <v>buildingLevelUp{buildingType:226,buildingLevel:21}</v>
      </c>
      <c r="T635" s="24" t="s">
        <v>52</v>
      </c>
      <c r="U635" s="23" t="s">
        <v>881</v>
      </c>
      <c r="V635" s="24" t="s">
        <v>449</v>
      </c>
      <c r="W635" s="23">
        <f>VLOOKUP(V635,[1]界面跳转!$I:$J,2,FALSE)</f>
        <v>7049</v>
      </c>
      <c r="Y635" s="23" t="s">
        <v>56</v>
      </c>
      <c r="Z635" s="23" t="s">
        <v>57</v>
      </c>
      <c r="AA635" s="23">
        <f t="shared" si="254"/>
        <v>21003</v>
      </c>
      <c r="AB635" s="23">
        <v>6622321</v>
      </c>
      <c r="AD635" s="23">
        <v>21</v>
      </c>
      <c r="AE635" s="23">
        <f t="shared" si="256"/>
        <v>3</v>
      </c>
    </row>
    <row r="636" spans="1:31" s="23" customFormat="1" x14ac:dyDescent="0.45">
      <c r="A636" s="23">
        <f t="shared" si="257"/>
        <v>10021040</v>
      </c>
      <c r="B636" s="23">
        <v>0</v>
      </c>
      <c r="C636" s="23">
        <v>21</v>
      </c>
      <c r="D636" s="23">
        <f t="shared" si="253"/>
        <v>4</v>
      </c>
      <c r="E636" s="23" t="s">
        <v>878</v>
      </c>
      <c r="F636" s="23" t="s">
        <v>953</v>
      </c>
      <c r="G636" s="55" t="s">
        <v>883</v>
      </c>
      <c r="H636" s="55">
        <v>21</v>
      </c>
      <c r="I636" s="55" t="s">
        <v>63</v>
      </c>
      <c r="J636" s="23" t="str">
        <f t="shared" si="258"/>
        <v>升级2个防卫塔至21级</v>
      </c>
      <c r="K636" s="23">
        <f t="shared" si="259"/>
        <v>10021040</v>
      </c>
      <c r="L636" s="23" t="s">
        <v>879</v>
      </c>
      <c r="M636" s="23">
        <f t="shared" si="255"/>
        <v>10801020</v>
      </c>
      <c r="N636" s="23" t="s">
        <v>254</v>
      </c>
      <c r="O636" s="23" t="s">
        <v>52</v>
      </c>
      <c r="P636" s="4" t="s">
        <v>491</v>
      </c>
      <c r="Q636" s="23" t="s">
        <v>52</v>
      </c>
      <c r="R636" s="23" t="s">
        <v>884</v>
      </c>
      <c r="S636" s="24" t="str">
        <f t="shared" si="260"/>
        <v>buildingLevelUp{buildingType:227,buildingLevel:21}</v>
      </c>
      <c r="T636" s="24" t="s">
        <v>52</v>
      </c>
      <c r="U636" s="23" t="s">
        <v>885</v>
      </c>
      <c r="V636" s="24" t="s">
        <v>886</v>
      </c>
      <c r="W636" s="23">
        <f>VLOOKUP(V636,[1]界面跳转!$I:$J,2,FALSE)</f>
        <v>7051</v>
      </c>
      <c r="Y636" s="23" t="s">
        <v>56</v>
      </c>
      <c r="Z636" s="23" t="s">
        <v>57</v>
      </c>
      <c r="AA636" s="23">
        <f t="shared" si="254"/>
        <v>21004</v>
      </c>
      <c r="AB636" s="23">
        <v>6622321</v>
      </c>
      <c r="AD636" s="23">
        <v>21</v>
      </c>
      <c r="AE636" s="23">
        <f t="shared" si="256"/>
        <v>4</v>
      </c>
    </row>
    <row r="637" spans="1:31" s="23" customFormat="1" x14ac:dyDescent="0.45">
      <c r="A637" s="23">
        <f t="shared" si="257"/>
        <v>10021050</v>
      </c>
      <c r="B637" s="23">
        <v>0</v>
      </c>
      <c r="C637" s="23">
        <v>21</v>
      </c>
      <c r="D637" s="23">
        <f t="shared" si="253"/>
        <v>5</v>
      </c>
      <c r="E637" s="23" t="s">
        <v>878</v>
      </c>
      <c r="F637" t="s">
        <v>954</v>
      </c>
      <c r="G637" s="55" t="s">
        <v>319</v>
      </c>
      <c r="H637" s="55">
        <v>21</v>
      </c>
      <c r="I637" s="55" t="s">
        <v>63</v>
      </c>
      <c r="J637" s="23" t="str">
        <f t="shared" si="258"/>
        <v>升级大使馆至21级</v>
      </c>
      <c r="K637" s="23">
        <f t="shared" si="259"/>
        <v>10021050</v>
      </c>
      <c r="L637" s="23" t="s">
        <v>879</v>
      </c>
      <c r="M637" s="23">
        <f t="shared" si="255"/>
        <v>10801020</v>
      </c>
      <c r="N637" s="23" t="s">
        <v>254</v>
      </c>
      <c r="O637" s="23" t="s">
        <v>52</v>
      </c>
      <c r="P637" s="4" t="s">
        <v>491</v>
      </c>
      <c r="Q637" s="23" t="s">
        <v>52</v>
      </c>
      <c r="R637" s="23" t="s">
        <v>320</v>
      </c>
      <c r="S637" s="24" t="str">
        <f t="shared" si="260"/>
        <v>buildingLevelUp{buildingType:230,buildingLevel:21}</v>
      </c>
      <c r="T637" s="24" t="s">
        <v>52</v>
      </c>
      <c r="U637" s="23" t="s">
        <v>893</v>
      </c>
      <c r="V637" s="24" t="s">
        <v>322</v>
      </c>
      <c r="W637" s="23">
        <f>VLOOKUP(V637,[1]界面跳转!$I:$J,2,FALSE)</f>
        <v>7055</v>
      </c>
      <c r="Y637" s="23" t="s">
        <v>56</v>
      </c>
      <c r="Z637" s="23" t="s">
        <v>57</v>
      </c>
      <c r="AA637" s="23">
        <f t="shared" si="254"/>
        <v>21005</v>
      </c>
      <c r="AB637" s="23">
        <v>6622321</v>
      </c>
      <c r="AD637" s="23">
        <v>21</v>
      </c>
      <c r="AE637" s="23">
        <f t="shared" si="256"/>
        <v>5</v>
      </c>
    </row>
    <row r="638" spans="1:31" s="23" customFormat="1" x14ac:dyDescent="0.45">
      <c r="A638" s="23">
        <f t="shared" si="257"/>
        <v>10021060</v>
      </c>
      <c r="B638" s="23">
        <v>0</v>
      </c>
      <c r="C638" s="23">
        <v>21</v>
      </c>
      <c r="D638" s="23">
        <f t="shared" si="253"/>
        <v>6</v>
      </c>
      <c r="E638" s="23" t="s">
        <v>878</v>
      </c>
      <c r="F638" t="s">
        <v>955</v>
      </c>
      <c r="G638" s="55" t="s">
        <v>288</v>
      </c>
      <c r="H638" s="55">
        <v>21</v>
      </c>
      <c r="I638" s="55" t="s">
        <v>63</v>
      </c>
      <c r="J638" s="23" t="str">
        <f t="shared" si="258"/>
        <v>升级战争大厅至21级</v>
      </c>
      <c r="K638" s="23">
        <f t="shared" si="259"/>
        <v>10021060</v>
      </c>
      <c r="L638" s="23" t="s">
        <v>879</v>
      </c>
      <c r="M638" s="23">
        <f t="shared" si="255"/>
        <v>10801020</v>
      </c>
      <c r="N638" s="23" t="s">
        <v>254</v>
      </c>
      <c r="O638" s="23" t="s">
        <v>52</v>
      </c>
      <c r="P638" s="4" t="s">
        <v>491</v>
      </c>
      <c r="Q638" s="23" t="s">
        <v>52</v>
      </c>
      <c r="R638" s="23" t="s">
        <v>289</v>
      </c>
      <c r="S638" s="24" t="str">
        <f t="shared" si="260"/>
        <v>buildingLevelUp{buildingType:229,buildingLevel:21}</v>
      </c>
      <c r="T638" s="24" t="s">
        <v>52</v>
      </c>
      <c r="U638" s="23" t="s">
        <v>290</v>
      </c>
      <c r="V638" s="24" t="s">
        <v>291</v>
      </c>
      <c r="W638" s="23">
        <f>VLOOKUP(V638,[1]界面跳转!$I:$J,2,FALSE)</f>
        <v>7052</v>
      </c>
      <c r="Y638" s="23" t="s">
        <v>56</v>
      </c>
      <c r="Z638" s="23" t="s">
        <v>57</v>
      </c>
      <c r="AA638" s="23">
        <f t="shared" si="254"/>
        <v>21006</v>
      </c>
      <c r="AB638" s="23">
        <v>6622321</v>
      </c>
      <c r="AD638" s="23">
        <v>21</v>
      </c>
      <c r="AE638" s="23">
        <f t="shared" si="256"/>
        <v>6</v>
      </c>
    </row>
    <row r="639" spans="1:31" s="23" customFormat="1" x14ac:dyDescent="0.45">
      <c r="A639" s="23">
        <f t="shared" si="257"/>
        <v>10022010</v>
      </c>
      <c r="B639" s="23">
        <v>0</v>
      </c>
      <c r="C639" s="23">
        <v>22</v>
      </c>
      <c r="D639" s="23">
        <f t="shared" si="253"/>
        <v>1</v>
      </c>
      <c r="E639" s="23" t="s">
        <v>878</v>
      </c>
      <c r="F639" t="s">
        <v>956</v>
      </c>
      <c r="G639" s="55" t="s">
        <v>268</v>
      </c>
      <c r="H639" s="55">
        <v>22</v>
      </c>
      <c r="I639" s="55" t="s">
        <v>63</v>
      </c>
      <c r="J639" s="23" t="str">
        <f t="shared" si="258"/>
        <v>升级市集至22级</v>
      </c>
      <c r="K639" s="23">
        <f t="shared" si="259"/>
        <v>10022010</v>
      </c>
      <c r="L639" s="23" t="s">
        <v>879</v>
      </c>
      <c r="M639" s="23">
        <f t="shared" si="255"/>
        <v>10801020</v>
      </c>
      <c r="N639" s="23" t="s">
        <v>254</v>
      </c>
      <c r="O639" s="23" t="s">
        <v>52</v>
      </c>
      <c r="P639" s="4" t="s">
        <v>491</v>
      </c>
      <c r="Q639" s="23" t="s">
        <v>52</v>
      </c>
      <c r="R639" s="23" t="s">
        <v>269</v>
      </c>
      <c r="S639" s="24" t="str">
        <f t="shared" si="260"/>
        <v>buildingLevelUp{buildingType:231,buildingLevel:22}</v>
      </c>
      <c r="T639" s="24" t="s">
        <v>52</v>
      </c>
      <c r="U639" s="23" t="s">
        <v>895</v>
      </c>
      <c r="V639" s="24" t="s">
        <v>271</v>
      </c>
      <c r="W639" s="23">
        <f>VLOOKUP(V639,[1]界面跳转!$I:$J,2,FALSE)</f>
        <v>7058</v>
      </c>
      <c r="Y639" s="23" t="s">
        <v>56</v>
      </c>
      <c r="Z639" s="23" t="s">
        <v>57</v>
      </c>
      <c r="AA639" s="23">
        <f t="shared" si="254"/>
        <v>22001</v>
      </c>
      <c r="AB639" s="23">
        <v>6622322</v>
      </c>
      <c r="AD639" s="23">
        <v>22</v>
      </c>
      <c r="AE639" s="23">
        <f t="shared" si="256"/>
        <v>1</v>
      </c>
    </row>
    <row r="640" spans="1:31" s="23" customFormat="1" x14ac:dyDescent="0.45">
      <c r="A640" s="23">
        <f t="shared" si="257"/>
        <v>10022020</v>
      </c>
      <c r="B640" s="23">
        <v>0</v>
      </c>
      <c r="C640" s="23">
        <v>22</v>
      </c>
      <c r="D640" s="23">
        <f t="shared" si="253"/>
        <v>2</v>
      </c>
      <c r="E640" s="23" t="s">
        <v>878</v>
      </c>
      <c r="F640" s="23" t="s">
        <v>422</v>
      </c>
      <c r="G640" s="55" t="s">
        <v>106</v>
      </c>
      <c r="H640" s="55">
        <v>22</v>
      </c>
      <c r="I640" s="55" t="s">
        <v>63</v>
      </c>
      <c r="J640" s="23" t="str">
        <f t="shared" si="258"/>
        <v>升级城墙至22级</v>
      </c>
      <c r="K640" s="23">
        <f t="shared" si="259"/>
        <v>10022020</v>
      </c>
      <c r="L640" s="23" t="s">
        <v>879</v>
      </c>
      <c r="M640" s="23">
        <f t="shared" si="255"/>
        <v>10801020</v>
      </c>
      <c r="N640" s="23" t="s">
        <v>254</v>
      </c>
      <c r="O640" s="23" t="s">
        <v>52</v>
      </c>
      <c r="P640" s="4" t="s">
        <v>491</v>
      </c>
      <c r="Q640" s="23" t="s">
        <v>52</v>
      </c>
      <c r="R640" s="23" t="s">
        <v>107</v>
      </c>
      <c r="S640" s="24" t="str">
        <f t="shared" si="260"/>
        <v>buildingLevelUp{buildingType:215,buildingLevel:22}</v>
      </c>
      <c r="T640" s="24" t="s">
        <v>52</v>
      </c>
      <c r="U640" s="23" t="s">
        <v>880</v>
      </c>
      <c r="V640" s="24" t="s">
        <v>249</v>
      </c>
      <c r="W640" s="23">
        <f>VLOOKUP(V640,[1]界面跳转!$I:$J,2,FALSE)</f>
        <v>7039</v>
      </c>
      <c r="Y640" s="23" t="s">
        <v>56</v>
      </c>
      <c r="Z640" s="23" t="s">
        <v>57</v>
      </c>
      <c r="AA640" s="23">
        <f t="shared" si="254"/>
        <v>22002</v>
      </c>
      <c r="AB640" s="23">
        <v>6622322</v>
      </c>
      <c r="AD640" s="23">
        <v>22</v>
      </c>
      <c r="AE640" s="23">
        <f t="shared" si="256"/>
        <v>2</v>
      </c>
    </row>
    <row r="641" spans="1:31" s="23" customFormat="1" x14ac:dyDescent="0.45">
      <c r="A641" s="23">
        <f t="shared" si="257"/>
        <v>10022030</v>
      </c>
      <c r="B641" s="23">
        <v>0</v>
      </c>
      <c r="C641" s="23">
        <v>22</v>
      </c>
      <c r="D641" s="23">
        <f t="shared" si="253"/>
        <v>3</v>
      </c>
      <c r="E641" s="23" t="s">
        <v>878</v>
      </c>
      <c r="F641" t="s">
        <v>957</v>
      </c>
      <c r="G641" s="55" t="s">
        <v>139</v>
      </c>
      <c r="H641" s="55">
        <v>22</v>
      </c>
      <c r="I641" s="55" t="s">
        <v>63</v>
      </c>
      <c r="J641" s="23" t="str">
        <f t="shared" si="258"/>
        <v>升级瞭望塔至22级</v>
      </c>
      <c r="K641" s="23">
        <f t="shared" si="259"/>
        <v>10022030</v>
      </c>
      <c r="L641" s="23" t="s">
        <v>879</v>
      </c>
      <c r="M641" s="23">
        <f t="shared" si="255"/>
        <v>10801020</v>
      </c>
      <c r="N641" s="23" t="s">
        <v>254</v>
      </c>
      <c r="O641" s="23" t="s">
        <v>52</v>
      </c>
      <c r="P641" s="4" t="s">
        <v>491</v>
      </c>
      <c r="Q641" s="23" t="s">
        <v>52</v>
      </c>
      <c r="R641" s="23" t="s">
        <v>140</v>
      </c>
      <c r="S641" s="24" t="str">
        <f t="shared" si="260"/>
        <v>buildingLevelUp{buildingType:226,buildingLevel:22}</v>
      </c>
      <c r="T641" s="24" t="s">
        <v>52</v>
      </c>
      <c r="U641" s="23" t="s">
        <v>881</v>
      </c>
      <c r="V641" s="24" t="s">
        <v>449</v>
      </c>
      <c r="W641" s="23">
        <f>VLOOKUP(V641,[1]界面跳转!$I:$J,2,FALSE)</f>
        <v>7049</v>
      </c>
      <c r="Y641" s="23" t="s">
        <v>56</v>
      </c>
      <c r="Z641" s="23" t="s">
        <v>57</v>
      </c>
      <c r="AA641" s="23">
        <f t="shared" si="254"/>
        <v>22003</v>
      </c>
      <c r="AB641" s="23">
        <v>6622322</v>
      </c>
      <c r="AD641" s="23">
        <v>22</v>
      </c>
      <c r="AE641" s="23">
        <f t="shared" si="256"/>
        <v>3</v>
      </c>
    </row>
    <row r="642" spans="1:31" s="23" customFormat="1" x14ac:dyDescent="0.45">
      <c r="A642" s="23">
        <f t="shared" si="257"/>
        <v>10022040</v>
      </c>
      <c r="B642" s="23">
        <v>0</v>
      </c>
      <c r="C642" s="23">
        <v>22</v>
      </c>
      <c r="D642" s="23">
        <f t="shared" si="253"/>
        <v>4</v>
      </c>
      <c r="E642" s="23" t="s">
        <v>878</v>
      </c>
      <c r="F642" s="23" t="s">
        <v>958</v>
      </c>
      <c r="G642" s="55" t="s">
        <v>883</v>
      </c>
      <c r="H642" s="55">
        <v>22</v>
      </c>
      <c r="I642" s="55" t="s">
        <v>63</v>
      </c>
      <c r="J642" s="23" t="str">
        <f t="shared" si="258"/>
        <v>升级2个防卫塔至22级</v>
      </c>
      <c r="K642" s="23">
        <f t="shared" si="259"/>
        <v>10022040</v>
      </c>
      <c r="L642" s="23" t="s">
        <v>879</v>
      </c>
      <c r="M642" s="23">
        <f t="shared" si="255"/>
        <v>10801020</v>
      </c>
      <c r="N642" s="23" t="s">
        <v>254</v>
      </c>
      <c r="O642" s="23" t="s">
        <v>52</v>
      </c>
      <c r="P642" s="4" t="s">
        <v>491</v>
      </c>
      <c r="Q642" s="23" t="s">
        <v>52</v>
      </c>
      <c r="R642" s="23" t="s">
        <v>884</v>
      </c>
      <c r="S642" s="24" t="str">
        <f t="shared" si="260"/>
        <v>buildingLevelUp{buildingType:227,buildingLevel:22}</v>
      </c>
      <c r="T642" s="24" t="s">
        <v>52</v>
      </c>
      <c r="U642" s="23" t="s">
        <v>885</v>
      </c>
      <c r="V642" s="24" t="s">
        <v>886</v>
      </c>
      <c r="W642" s="23">
        <f>VLOOKUP(V642,[1]界面跳转!$I:$J,2,FALSE)</f>
        <v>7051</v>
      </c>
      <c r="Y642" s="23" t="s">
        <v>56</v>
      </c>
      <c r="Z642" s="23" t="s">
        <v>57</v>
      </c>
      <c r="AA642" s="23">
        <f t="shared" si="254"/>
        <v>22004</v>
      </c>
      <c r="AB642" s="23">
        <v>6622322</v>
      </c>
      <c r="AD642" s="23">
        <v>22</v>
      </c>
      <c r="AE642" s="23">
        <f t="shared" si="256"/>
        <v>4</v>
      </c>
    </row>
    <row r="643" spans="1:31" s="23" customFormat="1" x14ac:dyDescent="0.45">
      <c r="A643" s="23">
        <f t="shared" si="257"/>
        <v>10022050</v>
      </c>
      <c r="B643" s="23">
        <v>0</v>
      </c>
      <c r="C643" s="23">
        <v>22</v>
      </c>
      <c r="D643" s="23">
        <f t="shared" si="253"/>
        <v>5</v>
      </c>
      <c r="E643" s="23" t="s">
        <v>878</v>
      </c>
      <c r="F643" t="s">
        <v>959</v>
      </c>
      <c r="G643" s="55" t="s">
        <v>319</v>
      </c>
      <c r="H643" s="55">
        <v>22</v>
      </c>
      <c r="I643" s="55" t="s">
        <v>63</v>
      </c>
      <c r="J643" s="23" t="str">
        <f t="shared" si="258"/>
        <v>升级大使馆至22级</v>
      </c>
      <c r="K643" s="23">
        <f t="shared" si="259"/>
        <v>10022050</v>
      </c>
      <c r="L643" s="23" t="s">
        <v>879</v>
      </c>
      <c r="M643" s="23">
        <f t="shared" si="255"/>
        <v>10801020</v>
      </c>
      <c r="N643" s="23" t="s">
        <v>254</v>
      </c>
      <c r="O643" s="23" t="s">
        <v>52</v>
      </c>
      <c r="P643" s="4" t="s">
        <v>491</v>
      </c>
      <c r="Q643" s="23" t="s">
        <v>52</v>
      </c>
      <c r="R643" s="23" t="s">
        <v>320</v>
      </c>
      <c r="S643" s="24" t="str">
        <f t="shared" si="260"/>
        <v>buildingLevelUp{buildingType:230,buildingLevel:22}</v>
      </c>
      <c r="T643" s="24" t="s">
        <v>52</v>
      </c>
      <c r="U643" s="23" t="s">
        <v>893</v>
      </c>
      <c r="V643" s="24" t="s">
        <v>322</v>
      </c>
      <c r="W643" s="23">
        <f>VLOOKUP(V643,[1]界面跳转!$I:$J,2,FALSE)</f>
        <v>7055</v>
      </c>
      <c r="Y643" s="23" t="s">
        <v>56</v>
      </c>
      <c r="Z643" s="23" t="s">
        <v>57</v>
      </c>
      <c r="AA643" s="23">
        <f t="shared" si="254"/>
        <v>22005</v>
      </c>
      <c r="AB643" s="23">
        <v>6622322</v>
      </c>
      <c r="AD643" s="23">
        <v>22</v>
      </c>
      <c r="AE643" s="23">
        <f t="shared" si="256"/>
        <v>5</v>
      </c>
    </row>
    <row r="644" spans="1:31" s="23" customFormat="1" x14ac:dyDescent="0.45">
      <c r="A644" s="23">
        <f t="shared" si="257"/>
        <v>10022060</v>
      </c>
      <c r="B644" s="23">
        <v>0</v>
      </c>
      <c r="C644" s="23">
        <v>22</v>
      </c>
      <c r="D644" s="23">
        <f t="shared" si="253"/>
        <v>6</v>
      </c>
      <c r="E644" s="23" t="s">
        <v>878</v>
      </c>
      <c r="F644" t="s">
        <v>960</v>
      </c>
      <c r="G644" s="55" t="s">
        <v>288</v>
      </c>
      <c r="H644" s="55">
        <v>22</v>
      </c>
      <c r="I644" s="55" t="s">
        <v>63</v>
      </c>
      <c r="J644" s="23" t="str">
        <f t="shared" si="258"/>
        <v>升级战争大厅至22级</v>
      </c>
      <c r="K644" s="23">
        <f t="shared" si="259"/>
        <v>10022060</v>
      </c>
      <c r="L644" s="23" t="s">
        <v>879</v>
      </c>
      <c r="M644" s="23">
        <f t="shared" si="255"/>
        <v>10801020</v>
      </c>
      <c r="N644" s="23" t="s">
        <v>254</v>
      </c>
      <c r="O644" s="23" t="s">
        <v>52</v>
      </c>
      <c r="P644" s="4" t="s">
        <v>491</v>
      </c>
      <c r="Q644" s="23" t="s">
        <v>52</v>
      </c>
      <c r="R644" s="23" t="s">
        <v>289</v>
      </c>
      <c r="S644" s="24" t="str">
        <f t="shared" si="260"/>
        <v>buildingLevelUp{buildingType:229,buildingLevel:22}</v>
      </c>
      <c r="T644" s="24" t="s">
        <v>52</v>
      </c>
      <c r="U644" s="23" t="s">
        <v>290</v>
      </c>
      <c r="V644" s="24" t="s">
        <v>291</v>
      </c>
      <c r="W644" s="23">
        <f>VLOOKUP(V644,[1]界面跳转!$I:$J,2,FALSE)</f>
        <v>7052</v>
      </c>
      <c r="Y644" s="23" t="s">
        <v>56</v>
      </c>
      <c r="Z644" s="23" t="s">
        <v>57</v>
      </c>
      <c r="AA644" s="23">
        <f t="shared" si="254"/>
        <v>22006</v>
      </c>
      <c r="AB644" s="23">
        <v>6622322</v>
      </c>
      <c r="AD644" s="23">
        <v>22</v>
      </c>
      <c r="AE644" s="23">
        <f t="shared" si="256"/>
        <v>6</v>
      </c>
    </row>
    <row r="645" spans="1:31" s="23" customFormat="1" x14ac:dyDescent="0.45">
      <c r="A645" s="23">
        <f t="shared" si="257"/>
        <v>10023010</v>
      </c>
      <c r="B645" s="23">
        <v>0</v>
      </c>
      <c r="C645" s="23">
        <v>23</v>
      </c>
      <c r="D645" s="23">
        <f t="shared" si="253"/>
        <v>1</v>
      </c>
      <c r="E645" s="23" t="s">
        <v>878</v>
      </c>
      <c r="F645" t="s">
        <v>961</v>
      </c>
      <c r="G645" s="55" t="s">
        <v>268</v>
      </c>
      <c r="H645" s="55">
        <v>23</v>
      </c>
      <c r="I645" s="55" t="s">
        <v>63</v>
      </c>
      <c r="J645" s="23" t="str">
        <f t="shared" si="258"/>
        <v>升级市集至23级</v>
      </c>
      <c r="K645" s="23">
        <f t="shared" si="259"/>
        <v>10023010</v>
      </c>
      <c r="L645" s="23" t="s">
        <v>879</v>
      </c>
      <c r="M645" s="23">
        <f t="shared" ref="M645:M676" si="261">VLOOKUP(L645,J:K,2,FALSE)</f>
        <v>10801020</v>
      </c>
      <c r="N645" s="23" t="s">
        <v>254</v>
      </c>
      <c r="O645" s="23" t="s">
        <v>52</v>
      </c>
      <c r="P645" s="4" t="s">
        <v>491</v>
      </c>
      <c r="Q645" s="23" t="s">
        <v>52</v>
      </c>
      <c r="R645" s="23" t="s">
        <v>269</v>
      </c>
      <c r="S645" s="24" t="str">
        <f t="shared" si="260"/>
        <v>buildingLevelUp{buildingType:231,buildingLevel:23}</v>
      </c>
      <c r="T645" s="24" t="s">
        <v>52</v>
      </c>
      <c r="U645" s="23" t="s">
        <v>895</v>
      </c>
      <c r="V645" s="24" t="s">
        <v>271</v>
      </c>
      <c r="W645" s="23">
        <f>VLOOKUP(V645,[1]界面跳转!$I:$J,2,FALSE)</f>
        <v>7058</v>
      </c>
      <c r="Y645" s="23" t="s">
        <v>56</v>
      </c>
      <c r="Z645" s="23" t="s">
        <v>57</v>
      </c>
      <c r="AA645" s="23">
        <f t="shared" si="254"/>
        <v>23001</v>
      </c>
      <c r="AB645" s="23">
        <v>6622323</v>
      </c>
      <c r="AD645" s="23">
        <v>23</v>
      </c>
      <c r="AE645" s="23">
        <f t="shared" si="256"/>
        <v>1</v>
      </c>
    </row>
    <row r="646" spans="1:31" s="23" customFormat="1" x14ac:dyDescent="0.45">
      <c r="A646" s="23">
        <f t="shared" si="257"/>
        <v>10023020</v>
      </c>
      <c r="B646" s="23">
        <v>0</v>
      </c>
      <c r="C646" s="23">
        <v>23</v>
      </c>
      <c r="D646" s="23">
        <f t="shared" si="253"/>
        <v>2</v>
      </c>
      <c r="E646" s="23" t="s">
        <v>878</v>
      </c>
      <c r="F646" s="23" t="s">
        <v>431</v>
      </c>
      <c r="G646" s="55" t="s">
        <v>106</v>
      </c>
      <c r="H646" s="55">
        <v>23</v>
      </c>
      <c r="I646" s="55" t="s">
        <v>63</v>
      </c>
      <c r="J646" s="23" t="str">
        <f t="shared" si="258"/>
        <v>升级城墙至23级</v>
      </c>
      <c r="K646" s="23">
        <f t="shared" si="259"/>
        <v>10023020</v>
      </c>
      <c r="L646" s="23" t="s">
        <v>879</v>
      </c>
      <c r="M646" s="23">
        <f t="shared" si="261"/>
        <v>10801020</v>
      </c>
      <c r="N646" s="23" t="s">
        <v>254</v>
      </c>
      <c r="O646" s="23" t="s">
        <v>52</v>
      </c>
      <c r="P646" s="4" t="s">
        <v>491</v>
      </c>
      <c r="Q646" s="23" t="s">
        <v>52</v>
      </c>
      <c r="R646" s="23" t="s">
        <v>107</v>
      </c>
      <c r="S646" s="24" t="str">
        <f t="shared" si="260"/>
        <v>buildingLevelUp{buildingType:215,buildingLevel:23}</v>
      </c>
      <c r="T646" s="24" t="s">
        <v>52</v>
      </c>
      <c r="U646" s="23" t="s">
        <v>880</v>
      </c>
      <c r="V646" s="24" t="s">
        <v>249</v>
      </c>
      <c r="W646" s="23">
        <f>VLOOKUP(V646,[1]界面跳转!$I:$J,2,FALSE)</f>
        <v>7039</v>
      </c>
      <c r="Y646" s="23" t="s">
        <v>56</v>
      </c>
      <c r="Z646" s="23" t="s">
        <v>57</v>
      </c>
      <c r="AA646" s="23">
        <f t="shared" si="254"/>
        <v>23002</v>
      </c>
      <c r="AB646" s="23">
        <v>6622323</v>
      </c>
      <c r="AD646" s="23">
        <v>23</v>
      </c>
      <c r="AE646" s="23">
        <f t="shared" si="256"/>
        <v>2</v>
      </c>
    </row>
    <row r="647" spans="1:31" s="23" customFormat="1" x14ac:dyDescent="0.45">
      <c r="A647" s="23">
        <f t="shared" si="257"/>
        <v>10023030</v>
      </c>
      <c r="B647" s="23">
        <v>0</v>
      </c>
      <c r="C647" s="23">
        <v>23</v>
      </c>
      <c r="D647" s="23">
        <f t="shared" si="253"/>
        <v>3</v>
      </c>
      <c r="E647" s="23" t="s">
        <v>878</v>
      </c>
      <c r="F647" t="s">
        <v>962</v>
      </c>
      <c r="G647" s="55" t="s">
        <v>139</v>
      </c>
      <c r="H647" s="55">
        <v>23</v>
      </c>
      <c r="I647" s="55" t="s">
        <v>63</v>
      </c>
      <c r="J647" s="23" t="str">
        <f t="shared" si="258"/>
        <v>升级瞭望塔至23级</v>
      </c>
      <c r="K647" s="23">
        <f t="shared" si="259"/>
        <v>10023030</v>
      </c>
      <c r="L647" s="23" t="s">
        <v>879</v>
      </c>
      <c r="M647" s="23">
        <f t="shared" si="261"/>
        <v>10801020</v>
      </c>
      <c r="N647" s="23" t="s">
        <v>254</v>
      </c>
      <c r="O647" s="23" t="s">
        <v>52</v>
      </c>
      <c r="P647" s="4" t="s">
        <v>491</v>
      </c>
      <c r="Q647" s="23" t="s">
        <v>52</v>
      </c>
      <c r="R647" s="23" t="s">
        <v>140</v>
      </c>
      <c r="S647" s="24" t="str">
        <f t="shared" si="260"/>
        <v>buildingLevelUp{buildingType:226,buildingLevel:23}</v>
      </c>
      <c r="T647" s="24" t="s">
        <v>52</v>
      </c>
      <c r="U647" s="23" t="s">
        <v>881</v>
      </c>
      <c r="V647" s="24" t="s">
        <v>449</v>
      </c>
      <c r="W647" s="23">
        <f>VLOOKUP(V647,[1]界面跳转!$I:$J,2,FALSE)</f>
        <v>7049</v>
      </c>
      <c r="Y647" s="23" t="s">
        <v>56</v>
      </c>
      <c r="Z647" s="23" t="s">
        <v>57</v>
      </c>
      <c r="AA647" s="23">
        <f t="shared" si="254"/>
        <v>23003</v>
      </c>
      <c r="AB647" s="23">
        <v>6622323</v>
      </c>
      <c r="AD647" s="23">
        <v>23</v>
      </c>
      <c r="AE647" s="23">
        <f t="shared" si="256"/>
        <v>3</v>
      </c>
    </row>
    <row r="648" spans="1:31" s="23" customFormat="1" x14ac:dyDescent="0.45">
      <c r="A648" s="23">
        <f t="shared" si="257"/>
        <v>10023040</v>
      </c>
      <c r="B648" s="23">
        <v>0</v>
      </c>
      <c r="C648" s="23">
        <v>23</v>
      </c>
      <c r="D648" s="23">
        <f t="shared" si="253"/>
        <v>4</v>
      </c>
      <c r="E648" s="23" t="s">
        <v>878</v>
      </c>
      <c r="F648" s="23" t="s">
        <v>963</v>
      </c>
      <c r="G648" s="55" t="s">
        <v>883</v>
      </c>
      <c r="H648" s="55">
        <v>23</v>
      </c>
      <c r="I648" s="55" t="s">
        <v>63</v>
      </c>
      <c r="J648" s="23" t="str">
        <f t="shared" si="258"/>
        <v>升级2个防卫塔至23级</v>
      </c>
      <c r="K648" s="23">
        <f t="shared" si="259"/>
        <v>10023040</v>
      </c>
      <c r="L648" s="23" t="s">
        <v>879</v>
      </c>
      <c r="M648" s="23">
        <f t="shared" si="261"/>
        <v>10801020</v>
      </c>
      <c r="N648" s="23" t="s">
        <v>254</v>
      </c>
      <c r="O648" s="23" t="s">
        <v>52</v>
      </c>
      <c r="P648" s="4" t="s">
        <v>491</v>
      </c>
      <c r="Q648" s="23" t="s">
        <v>52</v>
      </c>
      <c r="R648" s="23" t="s">
        <v>884</v>
      </c>
      <c r="S648" s="24" t="str">
        <f t="shared" si="260"/>
        <v>buildingLevelUp{buildingType:227,buildingLevel:23}</v>
      </c>
      <c r="T648" s="24" t="s">
        <v>52</v>
      </c>
      <c r="U648" s="23" t="s">
        <v>885</v>
      </c>
      <c r="V648" s="24" t="s">
        <v>886</v>
      </c>
      <c r="W648" s="23">
        <f>VLOOKUP(V648,[1]界面跳转!$I:$J,2,FALSE)</f>
        <v>7051</v>
      </c>
      <c r="Y648" s="23" t="s">
        <v>56</v>
      </c>
      <c r="Z648" s="23" t="s">
        <v>57</v>
      </c>
      <c r="AA648" s="23">
        <f t="shared" si="254"/>
        <v>23004</v>
      </c>
      <c r="AB648" s="23">
        <v>6622323</v>
      </c>
      <c r="AD648" s="23">
        <v>23</v>
      </c>
      <c r="AE648" s="23">
        <f t="shared" si="256"/>
        <v>4</v>
      </c>
    </row>
    <row r="649" spans="1:31" s="23" customFormat="1" x14ac:dyDescent="0.45">
      <c r="A649" s="23">
        <f t="shared" si="257"/>
        <v>10023050</v>
      </c>
      <c r="B649" s="23">
        <v>0</v>
      </c>
      <c r="C649" s="23">
        <v>23</v>
      </c>
      <c r="D649" s="23">
        <f t="shared" si="253"/>
        <v>5</v>
      </c>
      <c r="E649" s="23" t="s">
        <v>878</v>
      </c>
      <c r="F649" t="s">
        <v>430</v>
      </c>
      <c r="G649" s="55" t="s">
        <v>319</v>
      </c>
      <c r="H649" s="55">
        <v>23</v>
      </c>
      <c r="I649" s="55" t="s">
        <v>63</v>
      </c>
      <c r="J649" s="23" t="str">
        <f t="shared" si="258"/>
        <v>升级大使馆至23级</v>
      </c>
      <c r="K649" s="23">
        <f t="shared" si="259"/>
        <v>10023050</v>
      </c>
      <c r="L649" s="23" t="s">
        <v>879</v>
      </c>
      <c r="M649" s="23">
        <f t="shared" si="261"/>
        <v>10801020</v>
      </c>
      <c r="N649" s="23" t="s">
        <v>254</v>
      </c>
      <c r="O649" s="23" t="s">
        <v>52</v>
      </c>
      <c r="P649" s="4" t="s">
        <v>491</v>
      </c>
      <c r="Q649" s="23" t="s">
        <v>52</v>
      </c>
      <c r="R649" s="23" t="s">
        <v>320</v>
      </c>
      <c r="S649" s="24" t="str">
        <f t="shared" si="260"/>
        <v>buildingLevelUp{buildingType:230,buildingLevel:23}</v>
      </c>
      <c r="T649" s="24" t="s">
        <v>52</v>
      </c>
      <c r="U649" s="23" t="s">
        <v>893</v>
      </c>
      <c r="V649" s="24" t="s">
        <v>322</v>
      </c>
      <c r="W649" s="23">
        <f>VLOOKUP(V649,[1]界面跳转!$I:$J,2,FALSE)</f>
        <v>7055</v>
      </c>
      <c r="Y649" s="23" t="s">
        <v>56</v>
      </c>
      <c r="Z649" s="23" t="s">
        <v>57</v>
      </c>
      <c r="AA649" s="23">
        <f t="shared" si="254"/>
        <v>23005</v>
      </c>
      <c r="AB649" s="23">
        <v>6622323</v>
      </c>
      <c r="AD649" s="23">
        <v>23</v>
      </c>
      <c r="AE649" s="23">
        <f t="shared" si="256"/>
        <v>5</v>
      </c>
    </row>
    <row r="650" spans="1:31" s="23" customFormat="1" x14ac:dyDescent="0.45">
      <c r="A650" s="23">
        <f t="shared" si="257"/>
        <v>10023060</v>
      </c>
      <c r="B650" s="23">
        <v>0</v>
      </c>
      <c r="C650" s="23">
        <v>23</v>
      </c>
      <c r="D650" s="23">
        <f t="shared" si="253"/>
        <v>6</v>
      </c>
      <c r="E650" s="23" t="s">
        <v>878</v>
      </c>
      <c r="F650" t="s">
        <v>964</v>
      </c>
      <c r="G650" s="55" t="s">
        <v>288</v>
      </c>
      <c r="H650" s="55">
        <v>23</v>
      </c>
      <c r="I650" s="55" t="s">
        <v>63</v>
      </c>
      <c r="J650" s="23" t="str">
        <f t="shared" si="258"/>
        <v>升级战争大厅至23级</v>
      </c>
      <c r="K650" s="23">
        <f t="shared" si="259"/>
        <v>10023060</v>
      </c>
      <c r="L650" s="23" t="s">
        <v>879</v>
      </c>
      <c r="M650" s="23">
        <f t="shared" si="261"/>
        <v>10801020</v>
      </c>
      <c r="N650" s="23" t="s">
        <v>254</v>
      </c>
      <c r="O650" s="23" t="s">
        <v>52</v>
      </c>
      <c r="P650" s="4" t="s">
        <v>491</v>
      </c>
      <c r="Q650" s="23" t="s">
        <v>52</v>
      </c>
      <c r="R650" s="23" t="s">
        <v>289</v>
      </c>
      <c r="S650" s="24" t="str">
        <f t="shared" si="260"/>
        <v>buildingLevelUp{buildingType:229,buildingLevel:23}</v>
      </c>
      <c r="T650" s="24" t="s">
        <v>52</v>
      </c>
      <c r="U650" s="23" t="s">
        <v>290</v>
      </c>
      <c r="V650" s="24" t="s">
        <v>291</v>
      </c>
      <c r="W650" s="23">
        <f>VLOOKUP(V650,[1]界面跳转!$I:$J,2,FALSE)</f>
        <v>7052</v>
      </c>
      <c r="Y650" s="23" t="s">
        <v>56</v>
      </c>
      <c r="Z650" s="23" t="s">
        <v>57</v>
      </c>
      <c r="AA650" s="23">
        <f t="shared" si="254"/>
        <v>23006</v>
      </c>
      <c r="AB650" s="23">
        <v>6622323</v>
      </c>
      <c r="AD650" s="23">
        <v>23</v>
      </c>
      <c r="AE650" s="23">
        <f t="shared" si="256"/>
        <v>6</v>
      </c>
    </row>
    <row r="651" spans="1:31" s="23" customFormat="1" x14ac:dyDescent="0.45">
      <c r="A651" s="23">
        <f t="shared" si="257"/>
        <v>10024010</v>
      </c>
      <c r="B651" s="23">
        <v>0</v>
      </c>
      <c r="C651" s="23">
        <v>24</v>
      </c>
      <c r="D651" s="23">
        <f t="shared" si="253"/>
        <v>1</v>
      </c>
      <c r="E651" s="23" t="s">
        <v>878</v>
      </c>
      <c r="F651" t="s">
        <v>965</v>
      </c>
      <c r="G651" s="55" t="s">
        <v>268</v>
      </c>
      <c r="H651" s="55">
        <v>24</v>
      </c>
      <c r="I651" s="55" t="s">
        <v>63</v>
      </c>
      <c r="J651" s="23" t="str">
        <f t="shared" si="258"/>
        <v>升级市集至24级</v>
      </c>
      <c r="K651" s="23">
        <f t="shared" si="259"/>
        <v>10024010</v>
      </c>
      <c r="L651" s="23" t="s">
        <v>879</v>
      </c>
      <c r="M651" s="23">
        <f t="shared" si="261"/>
        <v>10801020</v>
      </c>
      <c r="N651" s="23" t="s">
        <v>254</v>
      </c>
      <c r="O651" s="23" t="s">
        <v>52</v>
      </c>
      <c r="P651" s="4" t="s">
        <v>491</v>
      </c>
      <c r="Q651" s="23" t="s">
        <v>52</v>
      </c>
      <c r="R651" s="23" t="s">
        <v>269</v>
      </c>
      <c r="S651" s="24" t="str">
        <f t="shared" si="260"/>
        <v>buildingLevelUp{buildingType:231,buildingLevel:24}</v>
      </c>
      <c r="T651" s="24" t="s">
        <v>52</v>
      </c>
      <c r="U651" s="23" t="s">
        <v>895</v>
      </c>
      <c r="V651" s="24" t="s">
        <v>271</v>
      </c>
      <c r="W651" s="23">
        <f>VLOOKUP(V651,[1]界面跳转!$I:$J,2,FALSE)</f>
        <v>7058</v>
      </c>
      <c r="Y651" s="23" t="s">
        <v>56</v>
      </c>
      <c r="Z651" s="23" t="s">
        <v>57</v>
      </c>
      <c r="AA651" s="23">
        <f t="shared" si="254"/>
        <v>24001</v>
      </c>
      <c r="AB651" s="23">
        <v>6622324</v>
      </c>
      <c r="AD651" s="23">
        <v>24</v>
      </c>
      <c r="AE651" s="23">
        <f t="shared" si="256"/>
        <v>1</v>
      </c>
    </row>
    <row r="652" spans="1:31" s="23" customFormat="1" x14ac:dyDescent="0.45">
      <c r="A652" s="23">
        <f t="shared" si="257"/>
        <v>10024020</v>
      </c>
      <c r="B652" s="23">
        <v>0</v>
      </c>
      <c r="C652" s="23">
        <v>24</v>
      </c>
      <c r="D652" s="23">
        <f t="shared" si="253"/>
        <v>2</v>
      </c>
      <c r="E652" s="23" t="s">
        <v>878</v>
      </c>
      <c r="F652" s="23" t="s">
        <v>440</v>
      </c>
      <c r="G652" s="55" t="s">
        <v>106</v>
      </c>
      <c r="H652" s="55">
        <v>24</v>
      </c>
      <c r="I652" s="55" t="s">
        <v>63</v>
      </c>
      <c r="J652" s="23" t="str">
        <f t="shared" si="258"/>
        <v>升级城墙至24级</v>
      </c>
      <c r="K652" s="23">
        <f t="shared" si="259"/>
        <v>10024020</v>
      </c>
      <c r="L652" s="23" t="s">
        <v>879</v>
      </c>
      <c r="M652" s="23">
        <f t="shared" si="261"/>
        <v>10801020</v>
      </c>
      <c r="N652" s="23" t="s">
        <v>254</v>
      </c>
      <c r="O652" s="23" t="s">
        <v>52</v>
      </c>
      <c r="P652" s="4" t="s">
        <v>491</v>
      </c>
      <c r="Q652" s="23" t="s">
        <v>52</v>
      </c>
      <c r="R652" s="23" t="s">
        <v>107</v>
      </c>
      <c r="S652" s="24" t="str">
        <f t="shared" si="260"/>
        <v>buildingLevelUp{buildingType:215,buildingLevel:24}</v>
      </c>
      <c r="T652" s="24" t="s">
        <v>52</v>
      </c>
      <c r="U652" s="23" t="s">
        <v>880</v>
      </c>
      <c r="V652" s="24" t="s">
        <v>249</v>
      </c>
      <c r="W652" s="23">
        <f>VLOOKUP(V652,[1]界面跳转!$I:$J,2,FALSE)</f>
        <v>7039</v>
      </c>
      <c r="Y652" s="23" t="s">
        <v>56</v>
      </c>
      <c r="Z652" s="23" t="s">
        <v>57</v>
      </c>
      <c r="AA652" s="23">
        <f t="shared" si="254"/>
        <v>24002</v>
      </c>
      <c r="AB652" s="23">
        <v>6622324</v>
      </c>
      <c r="AD652" s="23">
        <v>24</v>
      </c>
      <c r="AE652" s="23">
        <f t="shared" si="256"/>
        <v>2</v>
      </c>
    </row>
    <row r="653" spans="1:31" s="23" customFormat="1" x14ac:dyDescent="0.45">
      <c r="A653" s="23">
        <f t="shared" si="257"/>
        <v>10024030</v>
      </c>
      <c r="B653" s="23">
        <v>0</v>
      </c>
      <c r="C653" s="23">
        <v>24</v>
      </c>
      <c r="D653" s="23">
        <f t="shared" si="253"/>
        <v>3</v>
      </c>
      <c r="E653" s="23" t="s">
        <v>878</v>
      </c>
      <c r="F653" t="s">
        <v>966</v>
      </c>
      <c r="G653" s="55" t="s">
        <v>139</v>
      </c>
      <c r="H653" s="55">
        <v>24</v>
      </c>
      <c r="I653" s="55" t="s">
        <v>63</v>
      </c>
      <c r="J653" s="23" t="str">
        <f t="shared" si="258"/>
        <v>升级瞭望塔至24级</v>
      </c>
      <c r="K653" s="23">
        <f t="shared" si="259"/>
        <v>10024030</v>
      </c>
      <c r="L653" s="23" t="s">
        <v>879</v>
      </c>
      <c r="M653" s="23">
        <f t="shared" si="261"/>
        <v>10801020</v>
      </c>
      <c r="N653" s="23" t="s">
        <v>254</v>
      </c>
      <c r="O653" s="23" t="s">
        <v>52</v>
      </c>
      <c r="P653" s="4" t="s">
        <v>491</v>
      </c>
      <c r="Q653" s="23" t="s">
        <v>52</v>
      </c>
      <c r="R653" s="23" t="s">
        <v>140</v>
      </c>
      <c r="S653" s="24" t="str">
        <f t="shared" si="260"/>
        <v>buildingLevelUp{buildingType:226,buildingLevel:24}</v>
      </c>
      <c r="T653" s="24" t="s">
        <v>52</v>
      </c>
      <c r="U653" s="23" t="s">
        <v>881</v>
      </c>
      <c r="V653" s="24" t="s">
        <v>449</v>
      </c>
      <c r="W653" s="23">
        <f>VLOOKUP(V653,[1]界面跳转!$I:$J,2,FALSE)</f>
        <v>7049</v>
      </c>
      <c r="Y653" s="23" t="s">
        <v>56</v>
      </c>
      <c r="Z653" s="23" t="s">
        <v>57</v>
      </c>
      <c r="AA653" s="23">
        <f t="shared" si="254"/>
        <v>24003</v>
      </c>
      <c r="AB653" s="23">
        <v>6622324</v>
      </c>
      <c r="AD653" s="23">
        <v>24</v>
      </c>
      <c r="AE653" s="23">
        <f t="shared" si="256"/>
        <v>3</v>
      </c>
    </row>
    <row r="654" spans="1:31" s="23" customFormat="1" x14ac:dyDescent="0.45">
      <c r="A654" s="23">
        <f t="shared" si="257"/>
        <v>10024040</v>
      </c>
      <c r="B654" s="23">
        <v>0</v>
      </c>
      <c r="C654" s="23">
        <v>24</v>
      </c>
      <c r="D654" s="23">
        <f t="shared" si="253"/>
        <v>4</v>
      </c>
      <c r="E654" s="23" t="s">
        <v>878</v>
      </c>
      <c r="F654" s="23" t="s">
        <v>967</v>
      </c>
      <c r="G654" s="55" t="s">
        <v>883</v>
      </c>
      <c r="H654" s="55">
        <v>24</v>
      </c>
      <c r="I654" s="55" t="s">
        <v>63</v>
      </c>
      <c r="J654" s="23" t="str">
        <f t="shared" si="258"/>
        <v>升级2个防卫塔至24级</v>
      </c>
      <c r="K654" s="23">
        <f t="shared" si="259"/>
        <v>10024040</v>
      </c>
      <c r="L654" s="23" t="s">
        <v>879</v>
      </c>
      <c r="M654" s="23">
        <f t="shared" si="261"/>
        <v>10801020</v>
      </c>
      <c r="N654" s="23" t="s">
        <v>254</v>
      </c>
      <c r="O654" s="23" t="s">
        <v>52</v>
      </c>
      <c r="P654" s="4" t="s">
        <v>491</v>
      </c>
      <c r="Q654" s="23" t="s">
        <v>52</v>
      </c>
      <c r="R654" s="23" t="s">
        <v>884</v>
      </c>
      <c r="S654" s="24" t="str">
        <f t="shared" si="260"/>
        <v>buildingLevelUp{buildingType:227,buildingLevel:24}</v>
      </c>
      <c r="T654" s="24" t="s">
        <v>52</v>
      </c>
      <c r="U654" s="23" t="s">
        <v>885</v>
      </c>
      <c r="V654" s="24" t="s">
        <v>886</v>
      </c>
      <c r="W654" s="23">
        <f>VLOOKUP(V654,[1]界面跳转!$I:$J,2,FALSE)</f>
        <v>7051</v>
      </c>
      <c r="Y654" s="23" t="s">
        <v>56</v>
      </c>
      <c r="Z654" s="23" t="s">
        <v>57</v>
      </c>
      <c r="AA654" s="23">
        <f t="shared" si="254"/>
        <v>24004</v>
      </c>
      <c r="AB654" s="23">
        <v>6622324</v>
      </c>
      <c r="AD654" s="23">
        <v>24</v>
      </c>
      <c r="AE654" s="23">
        <f t="shared" si="256"/>
        <v>4</v>
      </c>
    </row>
    <row r="655" spans="1:31" s="23" customFormat="1" x14ac:dyDescent="0.45">
      <c r="A655" s="23">
        <f t="shared" si="257"/>
        <v>10024050</v>
      </c>
      <c r="B655" s="23">
        <v>0</v>
      </c>
      <c r="C655" s="23">
        <v>24</v>
      </c>
      <c r="D655" s="23">
        <f t="shared" ref="D655:D692" si="262">IF(C655=C654,D654+1,1)</f>
        <v>5</v>
      </c>
      <c r="E655" s="23" t="s">
        <v>878</v>
      </c>
      <c r="F655" t="s">
        <v>968</v>
      </c>
      <c r="G655" s="55" t="s">
        <v>319</v>
      </c>
      <c r="H655" s="55">
        <v>24</v>
      </c>
      <c r="I655" s="55" t="s">
        <v>63</v>
      </c>
      <c r="J655" s="23" t="str">
        <f t="shared" si="258"/>
        <v>升级大使馆至24级</v>
      </c>
      <c r="K655" s="23">
        <f t="shared" si="259"/>
        <v>10024050</v>
      </c>
      <c r="L655" s="23" t="s">
        <v>879</v>
      </c>
      <c r="M655" s="23">
        <f t="shared" si="261"/>
        <v>10801020</v>
      </c>
      <c r="N655" s="23" t="s">
        <v>254</v>
      </c>
      <c r="O655" s="23" t="s">
        <v>52</v>
      </c>
      <c r="P655" s="4" t="s">
        <v>491</v>
      </c>
      <c r="Q655" s="23" t="s">
        <v>52</v>
      </c>
      <c r="R655" s="23" t="s">
        <v>320</v>
      </c>
      <c r="S655" s="24" t="str">
        <f t="shared" si="260"/>
        <v>buildingLevelUp{buildingType:230,buildingLevel:24}</v>
      </c>
      <c r="T655" s="24" t="s">
        <v>52</v>
      </c>
      <c r="U655" s="23" t="s">
        <v>893</v>
      </c>
      <c r="V655" s="24" t="s">
        <v>322</v>
      </c>
      <c r="W655" s="23">
        <f>VLOOKUP(V655,[1]界面跳转!$I:$J,2,FALSE)</f>
        <v>7055</v>
      </c>
      <c r="Y655" s="23" t="s">
        <v>56</v>
      </c>
      <c r="Z655" s="23" t="s">
        <v>57</v>
      </c>
      <c r="AA655" s="23">
        <f t="shared" si="254"/>
        <v>24005</v>
      </c>
      <c r="AB655" s="23">
        <v>6622324</v>
      </c>
      <c r="AD655" s="23">
        <v>24</v>
      </c>
      <c r="AE655" s="23">
        <f t="shared" si="256"/>
        <v>5</v>
      </c>
    </row>
    <row r="656" spans="1:31" s="23" customFormat="1" x14ac:dyDescent="0.45">
      <c r="A656" s="23">
        <f t="shared" si="257"/>
        <v>10024060</v>
      </c>
      <c r="B656" s="23">
        <v>0</v>
      </c>
      <c r="C656" s="23">
        <v>24</v>
      </c>
      <c r="D656" s="23">
        <f t="shared" si="262"/>
        <v>6</v>
      </c>
      <c r="E656" s="23" t="s">
        <v>878</v>
      </c>
      <c r="F656" t="s">
        <v>969</v>
      </c>
      <c r="G656" s="55" t="s">
        <v>288</v>
      </c>
      <c r="H656" s="55">
        <v>24</v>
      </c>
      <c r="I656" s="55" t="s">
        <v>63</v>
      </c>
      <c r="J656" s="23" t="str">
        <f t="shared" si="258"/>
        <v>升级战争大厅至24级</v>
      </c>
      <c r="K656" s="23">
        <f t="shared" si="259"/>
        <v>10024060</v>
      </c>
      <c r="L656" s="23" t="s">
        <v>879</v>
      </c>
      <c r="M656" s="23">
        <f t="shared" si="261"/>
        <v>10801020</v>
      </c>
      <c r="N656" s="23" t="s">
        <v>254</v>
      </c>
      <c r="O656" s="23" t="s">
        <v>52</v>
      </c>
      <c r="P656" s="4" t="s">
        <v>491</v>
      </c>
      <c r="Q656" s="23" t="s">
        <v>52</v>
      </c>
      <c r="R656" s="23" t="s">
        <v>289</v>
      </c>
      <c r="S656" s="24" t="str">
        <f t="shared" si="260"/>
        <v>buildingLevelUp{buildingType:229,buildingLevel:24}</v>
      </c>
      <c r="T656" s="24" t="s">
        <v>52</v>
      </c>
      <c r="U656" s="23" t="s">
        <v>290</v>
      </c>
      <c r="V656" s="24" t="s">
        <v>291</v>
      </c>
      <c r="W656" s="23">
        <f>VLOOKUP(V656,[1]界面跳转!$I:$J,2,FALSE)</f>
        <v>7052</v>
      </c>
      <c r="Y656" s="23" t="s">
        <v>56</v>
      </c>
      <c r="Z656" s="23" t="s">
        <v>57</v>
      </c>
      <c r="AA656" s="23">
        <f t="shared" si="254"/>
        <v>24006</v>
      </c>
      <c r="AB656" s="23">
        <v>6622324</v>
      </c>
      <c r="AD656" s="23">
        <v>24</v>
      </c>
      <c r="AE656" s="23">
        <f t="shared" si="256"/>
        <v>6</v>
      </c>
    </row>
    <row r="657" spans="1:31" s="23" customFormat="1" x14ac:dyDescent="0.45">
      <c r="A657" s="23">
        <f t="shared" si="257"/>
        <v>10025010</v>
      </c>
      <c r="B657" s="23">
        <v>0</v>
      </c>
      <c r="C657" s="23">
        <v>25</v>
      </c>
      <c r="D657" s="23">
        <f t="shared" si="262"/>
        <v>1</v>
      </c>
      <c r="E657" s="23" t="s">
        <v>878</v>
      </c>
      <c r="F657" t="s">
        <v>970</v>
      </c>
      <c r="G657" s="55" t="s">
        <v>268</v>
      </c>
      <c r="H657" s="55">
        <v>25</v>
      </c>
      <c r="I657" s="55" t="s">
        <v>63</v>
      </c>
      <c r="J657" s="23" t="str">
        <f t="shared" si="258"/>
        <v>升级市集至25级</v>
      </c>
      <c r="K657" s="23">
        <f t="shared" si="259"/>
        <v>10025010</v>
      </c>
      <c r="L657" s="23" t="s">
        <v>879</v>
      </c>
      <c r="M657" s="23">
        <f t="shared" si="261"/>
        <v>10801020</v>
      </c>
      <c r="N657" s="23" t="s">
        <v>254</v>
      </c>
      <c r="O657" s="23" t="s">
        <v>52</v>
      </c>
      <c r="P657" s="4" t="s">
        <v>491</v>
      </c>
      <c r="Q657" s="23" t="s">
        <v>52</v>
      </c>
      <c r="R657" s="23" t="s">
        <v>269</v>
      </c>
      <c r="S657" s="24" t="str">
        <f t="shared" si="260"/>
        <v>buildingLevelUp{buildingType:231,buildingLevel:25}</v>
      </c>
      <c r="T657" s="24" t="s">
        <v>52</v>
      </c>
      <c r="U657" s="23" t="s">
        <v>895</v>
      </c>
      <c r="V657" s="24" t="s">
        <v>271</v>
      </c>
      <c r="W657" s="23">
        <f>VLOOKUP(V657,[1]界面跳转!$I:$J,2,FALSE)</f>
        <v>7058</v>
      </c>
      <c r="Y657" s="23" t="s">
        <v>56</v>
      </c>
      <c r="Z657" s="23" t="s">
        <v>57</v>
      </c>
      <c r="AA657" s="23">
        <f t="shared" si="254"/>
        <v>25001</v>
      </c>
      <c r="AB657" s="23">
        <v>6622325</v>
      </c>
      <c r="AD657" s="23">
        <v>25</v>
      </c>
      <c r="AE657" s="23">
        <f t="shared" si="256"/>
        <v>1</v>
      </c>
    </row>
    <row r="658" spans="1:31" s="23" customFormat="1" x14ac:dyDescent="0.45">
      <c r="A658" s="23">
        <f t="shared" si="257"/>
        <v>10025020</v>
      </c>
      <c r="B658" s="23">
        <v>0</v>
      </c>
      <c r="C658" s="23">
        <v>25</v>
      </c>
      <c r="D658" s="23">
        <f t="shared" si="262"/>
        <v>2</v>
      </c>
      <c r="E658" s="23" t="s">
        <v>878</v>
      </c>
      <c r="F658" s="23" t="s">
        <v>450</v>
      </c>
      <c r="G658" s="55" t="s">
        <v>106</v>
      </c>
      <c r="H658" s="55">
        <v>25</v>
      </c>
      <c r="I658" s="55" t="s">
        <v>63</v>
      </c>
      <c r="J658" s="23" t="str">
        <f t="shared" si="258"/>
        <v>升级城墙至25级</v>
      </c>
      <c r="K658" s="23">
        <f t="shared" si="259"/>
        <v>10025020</v>
      </c>
      <c r="L658" s="23" t="s">
        <v>879</v>
      </c>
      <c r="M658" s="23">
        <f t="shared" si="261"/>
        <v>10801020</v>
      </c>
      <c r="N658" s="23" t="s">
        <v>254</v>
      </c>
      <c r="O658" s="23" t="s">
        <v>52</v>
      </c>
      <c r="P658" s="4" t="s">
        <v>491</v>
      </c>
      <c r="Q658" s="23" t="s">
        <v>52</v>
      </c>
      <c r="R658" s="23" t="s">
        <v>107</v>
      </c>
      <c r="S658" s="24" t="str">
        <f t="shared" si="260"/>
        <v>buildingLevelUp{buildingType:215,buildingLevel:25}</v>
      </c>
      <c r="T658" s="24" t="s">
        <v>52</v>
      </c>
      <c r="U658" s="23" t="s">
        <v>880</v>
      </c>
      <c r="V658" s="24" t="s">
        <v>249</v>
      </c>
      <c r="W658" s="23">
        <f>VLOOKUP(V658,[1]界面跳转!$I:$J,2,FALSE)</f>
        <v>7039</v>
      </c>
      <c r="Y658" s="23" t="s">
        <v>56</v>
      </c>
      <c r="Z658" s="23" t="s">
        <v>57</v>
      </c>
      <c r="AA658" s="23">
        <f t="shared" ref="AA658:AA710" si="263">AD658*1000+AE658</f>
        <v>25002</v>
      </c>
      <c r="AB658" s="23">
        <v>6622325</v>
      </c>
      <c r="AD658" s="23">
        <v>25</v>
      </c>
      <c r="AE658" s="23">
        <f t="shared" si="256"/>
        <v>2</v>
      </c>
    </row>
    <row r="659" spans="1:31" s="23" customFormat="1" x14ac:dyDescent="0.45">
      <c r="A659" s="23">
        <f t="shared" si="257"/>
        <v>10025030</v>
      </c>
      <c r="B659" s="23">
        <v>0</v>
      </c>
      <c r="C659" s="23">
        <v>25</v>
      </c>
      <c r="D659" s="23">
        <f t="shared" si="262"/>
        <v>3</v>
      </c>
      <c r="E659" s="23" t="s">
        <v>878</v>
      </c>
      <c r="F659" t="s">
        <v>448</v>
      </c>
      <c r="G659" s="55" t="s">
        <v>139</v>
      </c>
      <c r="H659" s="55">
        <v>25</v>
      </c>
      <c r="I659" s="55" t="s">
        <v>63</v>
      </c>
      <c r="J659" s="23" t="str">
        <f t="shared" si="258"/>
        <v>升级瞭望塔至25级</v>
      </c>
      <c r="K659" s="23">
        <f t="shared" si="259"/>
        <v>10025030</v>
      </c>
      <c r="L659" s="23" t="s">
        <v>879</v>
      </c>
      <c r="M659" s="23">
        <f t="shared" si="261"/>
        <v>10801020</v>
      </c>
      <c r="N659" s="23" t="s">
        <v>254</v>
      </c>
      <c r="O659" s="23" t="s">
        <v>52</v>
      </c>
      <c r="P659" s="4" t="s">
        <v>491</v>
      </c>
      <c r="Q659" s="23" t="s">
        <v>52</v>
      </c>
      <c r="R659" s="23" t="s">
        <v>140</v>
      </c>
      <c r="S659" s="24" t="str">
        <f t="shared" si="260"/>
        <v>buildingLevelUp{buildingType:226,buildingLevel:25}</v>
      </c>
      <c r="T659" s="24" t="s">
        <v>52</v>
      </c>
      <c r="U659" s="23" t="s">
        <v>881</v>
      </c>
      <c r="V659" s="24" t="s">
        <v>449</v>
      </c>
      <c r="W659" s="23">
        <f>VLOOKUP(V659,[1]界面跳转!$I:$J,2,FALSE)</f>
        <v>7049</v>
      </c>
      <c r="Y659" s="23" t="s">
        <v>56</v>
      </c>
      <c r="Z659" s="23" t="s">
        <v>57</v>
      </c>
      <c r="AA659" s="23">
        <f t="shared" si="263"/>
        <v>25003</v>
      </c>
      <c r="AB659" s="23">
        <v>6622325</v>
      </c>
      <c r="AD659" s="23">
        <v>25</v>
      </c>
      <c r="AE659" s="23">
        <f t="shared" si="256"/>
        <v>3</v>
      </c>
    </row>
    <row r="660" spans="1:31" s="23" customFormat="1" x14ac:dyDescent="0.45">
      <c r="A660" s="23">
        <f t="shared" si="257"/>
        <v>10025040</v>
      </c>
      <c r="B660" s="23">
        <v>0</v>
      </c>
      <c r="C660" s="23">
        <v>25</v>
      </c>
      <c r="D660" s="23">
        <f t="shared" si="262"/>
        <v>4</v>
      </c>
      <c r="E660" s="23" t="s">
        <v>878</v>
      </c>
      <c r="F660" s="23" t="s">
        <v>971</v>
      </c>
      <c r="G660" s="55" t="s">
        <v>883</v>
      </c>
      <c r="H660" s="55">
        <v>25</v>
      </c>
      <c r="I660" s="55" t="s">
        <v>63</v>
      </c>
      <c r="J660" s="23" t="str">
        <f t="shared" si="258"/>
        <v>升级2个防卫塔至25级</v>
      </c>
      <c r="K660" s="23">
        <f t="shared" si="259"/>
        <v>10025040</v>
      </c>
      <c r="L660" s="23" t="s">
        <v>879</v>
      </c>
      <c r="M660" s="23">
        <f t="shared" si="261"/>
        <v>10801020</v>
      </c>
      <c r="N660" s="23" t="s">
        <v>254</v>
      </c>
      <c r="O660" s="23" t="s">
        <v>52</v>
      </c>
      <c r="P660" s="4" t="s">
        <v>491</v>
      </c>
      <c r="Q660" s="23" t="s">
        <v>52</v>
      </c>
      <c r="R660" s="23" t="s">
        <v>884</v>
      </c>
      <c r="S660" s="24" t="str">
        <f t="shared" si="260"/>
        <v>buildingLevelUp{buildingType:227,buildingLevel:25}</v>
      </c>
      <c r="T660" s="24" t="s">
        <v>52</v>
      </c>
      <c r="U660" s="23" t="s">
        <v>885</v>
      </c>
      <c r="V660" s="24" t="s">
        <v>886</v>
      </c>
      <c r="W660" s="23">
        <f>VLOOKUP(V660,[1]界面跳转!$I:$J,2,FALSE)</f>
        <v>7051</v>
      </c>
      <c r="Y660" s="23" t="s">
        <v>56</v>
      </c>
      <c r="Z660" s="23" t="s">
        <v>57</v>
      </c>
      <c r="AA660" s="23">
        <f t="shared" si="263"/>
        <v>25004</v>
      </c>
      <c r="AB660" s="23">
        <v>6622325</v>
      </c>
      <c r="AD660" s="23">
        <v>25</v>
      </c>
      <c r="AE660" s="23">
        <f t="shared" si="256"/>
        <v>4</v>
      </c>
    </row>
    <row r="661" spans="1:31" s="23" customFormat="1" x14ac:dyDescent="0.45">
      <c r="A661" s="23">
        <f t="shared" si="257"/>
        <v>10025050</v>
      </c>
      <c r="B661" s="23">
        <v>0</v>
      </c>
      <c r="C661" s="23">
        <v>25</v>
      </c>
      <c r="D661" s="23">
        <f t="shared" si="262"/>
        <v>5</v>
      </c>
      <c r="E661" s="23" t="s">
        <v>878</v>
      </c>
      <c r="F661" t="s">
        <v>972</v>
      </c>
      <c r="G661" s="55" t="s">
        <v>319</v>
      </c>
      <c r="H661" s="55">
        <v>25</v>
      </c>
      <c r="I661" s="55" t="s">
        <v>63</v>
      </c>
      <c r="J661" s="23" t="str">
        <f t="shared" si="258"/>
        <v>升级大使馆至25级</v>
      </c>
      <c r="K661" s="23">
        <f t="shared" si="259"/>
        <v>10025050</v>
      </c>
      <c r="L661" s="23" t="s">
        <v>879</v>
      </c>
      <c r="M661" s="23">
        <f t="shared" si="261"/>
        <v>10801020</v>
      </c>
      <c r="N661" s="23" t="s">
        <v>254</v>
      </c>
      <c r="O661" s="23" t="s">
        <v>52</v>
      </c>
      <c r="P661" s="4" t="s">
        <v>491</v>
      </c>
      <c r="Q661" s="23" t="s">
        <v>52</v>
      </c>
      <c r="R661" s="23" t="s">
        <v>320</v>
      </c>
      <c r="S661" s="24" t="str">
        <f t="shared" si="260"/>
        <v>buildingLevelUp{buildingType:230,buildingLevel:25}</v>
      </c>
      <c r="T661" s="24" t="s">
        <v>52</v>
      </c>
      <c r="U661" s="23" t="s">
        <v>893</v>
      </c>
      <c r="V661" s="24" t="s">
        <v>322</v>
      </c>
      <c r="W661" s="23">
        <f>VLOOKUP(V661,[1]界面跳转!$I:$J,2,FALSE)</f>
        <v>7055</v>
      </c>
      <c r="Y661" s="23" t="s">
        <v>56</v>
      </c>
      <c r="Z661" s="23" t="s">
        <v>57</v>
      </c>
      <c r="AA661" s="23">
        <f t="shared" si="263"/>
        <v>25005</v>
      </c>
      <c r="AB661" s="23">
        <v>6622325</v>
      </c>
      <c r="AD661" s="23">
        <v>25</v>
      </c>
      <c r="AE661" s="23">
        <f t="shared" si="256"/>
        <v>5</v>
      </c>
    </row>
    <row r="662" spans="1:31" s="23" customFormat="1" x14ac:dyDescent="0.45">
      <c r="A662" s="23">
        <f t="shared" si="257"/>
        <v>10025060</v>
      </c>
      <c r="B662" s="23">
        <v>0</v>
      </c>
      <c r="C662" s="23">
        <v>25</v>
      </c>
      <c r="D662" s="23">
        <f t="shared" si="262"/>
        <v>6</v>
      </c>
      <c r="E662" s="23" t="s">
        <v>878</v>
      </c>
      <c r="F662" t="s">
        <v>973</v>
      </c>
      <c r="G662" s="55" t="s">
        <v>288</v>
      </c>
      <c r="H662" s="55">
        <v>25</v>
      </c>
      <c r="I662" s="55" t="s">
        <v>63</v>
      </c>
      <c r="J662" s="23" t="str">
        <f t="shared" si="258"/>
        <v>升级战争大厅至25级</v>
      </c>
      <c r="K662" s="23">
        <f t="shared" si="259"/>
        <v>10025060</v>
      </c>
      <c r="L662" s="23" t="s">
        <v>879</v>
      </c>
      <c r="M662" s="23">
        <f t="shared" si="261"/>
        <v>10801020</v>
      </c>
      <c r="N662" s="23" t="s">
        <v>254</v>
      </c>
      <c r="O662" s="23" t="s">
        <v>52</v>
      </c>
      <c r="P662" s="4" t="s">
        <v>491</v>
      </c>
      <c r="Q662" s="23" t="s">
        <v>52</v>
      </c>
      <c r="R662" s="23" t="s">
        <v>289</v>
      </c>
      <c r="S662" s="24" t="str">
        <f t="shared" si="260"/>
        <v>buildingLevelUp{buildingType:229,buildingLevel:25}</v>
      </c>
      <c r="T662" s="24" t="s">
        <v>52</v>
      </c>
      <c r="U662" s="23" t="s">
        <v>290</v>
      </c>
      <c r="V662" s="24" t="s">
        <v>291</v>
      </c>
      <c r="W662" s="23">
        <f>VLOOKUP(V662,[1]界面跳转!$I:$J,2,FALSE)</f>
        <v>7052</v>
      </c>
      <c r="Y662" s="23" t="s">
        <v>56</v>
      </c>
      <c r="Z662" s="23" t="s">
        <v>57</v>
      </c>
      <c r="AA662" s="23">
        <f t="shared" si="263"/>
        <v>25006</v>
      </c>
      <c r="AB662" s="23">
        <v>6622325</v>
      </c>
      <c r="AD662" s="23">
        <v>25</v>
      </c>
      <c r="AE662" s="23">
        <f t="shared" si="256"/>
        <v>6</v>
      </c>
    </row>
    <row r="663" spans="1:31" s="23" customFormat="1" x14ac:dyDescent="0.45">
      <c r="A663" s="23">
        <f t="shared" si="257"/>
        <v>10026010</v>
      </c>
      <c r="B663" s="23">
        <v>0</v>
      </c>
      <c r="C663" s="23">
        <v>26</v>
      </c>
      <c r="D663" s="23">
        <f t="shared" si="262"/>
        <v>1</v>
      </c>
      <c r="E663" s="23" t="s">
        <v>878</v>
      </c>
      <c r="F663" t="s">
        <v>974</v>
      </c>
      <c r="G663" s="55" t="s">
        <v>268</v>
      </c>
      <c r="H663" s="55">
        <v>26</v>
      </c>
      <c r="I663" s="55" t="s">
        <v>63</v>
      </c>
      <c r="J663" s="23" t="str">
        <f t="shared" si="258"/>
        <v>升级市集至26级</v>
      </c>
      <c r="K663" s="23">
        <f t="shared" si="259"/>
        <v>10026010</v>
      </c>
      <c r="L663" s="23" t="s">
        <v>879</v>
      </c>
      <c r="M663" s="23">
        <f t="shared" si="261"/>
        <v>10801020</v>
      </c>
      <c r="N663" s="23" t="s">
        <v>254</v>
      </c>
      <c r="O663" s="23" t="s">
        <v>52</v>
      </c>
      <c r="P663" s="4" t="s">
        <v>491</v>
      </c>
      <c r="Q663" s="23" t="s">
        <v>52</v>
      </c>
      <c r="R663" s="23" t="s">
        <v>269</v>
      </c>
      <c r="S663" s="24" t="str">
        <f t="shared" si="260"/>
        <v>buildingLevelUp{buildingType:231,buildingLevel:26}</v>
      </c>
      <c r="T663" s="24" t="s">
        <v>52</v>
      </c>
      <c r="U663" s="23" t="s">
        <v>895</v>
      </c>
      <c r="V663" s="24" t="s">
        <v>271</v>
      </c>
      <c r="W663" s="23">
        <f>VLOOKUP(V663,[1]界面跳转!$I:$J,2,FALSE)</f>
        <v>7058</v>
      </c>
      <c r="Y663" s="23" t="s">
        <v>56</v>
      </c>
      <c r="Z663" s="23" t="s">
        <v>57</v>
      </c>
      <c r="AA663" s="23">
        <f t="shared" si="263"/>
        <v>26001</v>
      </c>
      <c r="AB663" s="23">
        <v>6622326</v>
      </c>
      <c r="AD663" s="23">
        <v>26</v>
      </c>
      <c r="AE663" s="23">
        <f t="shared" si="256"/>
        <v>1</v>
      </c>
    </row>
    <row r="664" spans="1:31" s="23" customFormat="1" x14ac:dyDescent="0.45">
      <c r="A664" s="23">
        <f t="shared" si="257"/>
        <v>10026020</v>
      </c>
      <c r="B664" s="23">
        <v>0</v>
      </c>
      <c r="C664" s="23">
        <v>26</v>
      </c>
      <c r="D664" s="23">
        <f t="shared" si="262"/>
        <v>2</v>
      </c>
      <c r="E664" s="23" t="s">
        <v>878</v>
      </c>
      <c r="F664" s="23" t="s">
        <v>460</v>
      </c>
      <c r="G664" s="55" t="s">
        <v>106</v>
      </c>
      <c r="H664" s="55">
        <v>26</v>
      </c>
      <c r="I664" s="55" t="s">
        <v>63</v>
      </c>
      <c r="J664" s="23" t="str">
        <f t="shared" si="258"/>
        <v>升级城墙至26级</v>
      </c>
      <c r="K664" s="23">
        <f t="shared" si="259"/>
        <v>10026020</v>
      </c>
      <c r="L664" s="23" t="s">
        <v>879</v>
      </c>
      <c r="M664" s="23">
        <f t="shared" si="261"/>
        <v>10801020</v>
      </c>
      <c r="N664" s="23" t="s">
        <v>254</v>
      </c>
      <c r="O664" s="23" t="s">
        <v>52</v>
      </c>
      <c r="P664" s="4" t="s">
        <v>491</v>
      </c>
      <c r="Q664" s="23" t="s">
        <v>52</v>
      </c>
      <c r="R664" s="23" t="s">
        <v>107</v>
      </c>
      <c r="S664" s="24" t="str">
        <f t="shared" si="260"/>
        <v>buildingLevelUp{buildingType:215,buildingLevel:26}</v>
      </c>
      <c r="T664" s="24" t="s">
        <v>52</v>
      </c>
      <c r="U664" s="23" t="s">
        <v>880</v>
      </c>
      <c r="V664" s="24" t="s">
        <v>249</v>
      </c>
      <c r="W664" s="23">
        <f>VLOOKUP(V664,[1]界面跳转!$I:$J,2,FALSE)</f>
        <v>7039</v>
      </c>
      <c r="Y664" s="23" t="s">
        <v>56</v>
      </c>
      <c r="Z664" s="23" t="s">
        <v>57</v>
      </c>
      <c r="AA664" s="23">
        <f t="shared" si="263"/>
        <v>26002</v>
      </c>
      <c r="AB664" s="23">
        <v>6622326</v>
      </c>
      <c r="AD664" s="23">
        <v>26</v>
      </c>
      <c r="AE664" s="23">
        <f t="shared" si="256"/>
        <v>2</v>
      </c>
    </row>
    <row r="665" spans="1:31" s="23" customFormat="1" x14ac:dyDescent="0.45">
      <c r="A665" s="23">
        <f t="shared" si="257"/>
        <v>10026030</v>
      </c>
      <c r="B665" s="23">
        <v>0</v>
      </c>
      <c r="C665" s="23">
        <v>26</v>
      </c>
      <c r="D665" s="23">
        <f t="shared" si="262"/>
        <v>3</v>
      </c>
      <c r="E665" s="23" t="s">
        <v>878</v>
      </c>
      <c r="F665" t="s">
        <v>975</v>
      </c>
      <c r="G665" s="55" t="s">
        <v>139</v>
      </c>
      <c r="H665" s="55">
        <v>26</v>
      </c>
      <c r="I665" s="55" t="s">
        <v>63</v>
      </c>
      <c r="J665" s="23" t="str">
        <f t="shared" si="258"/>
        <v>升级瞭望塔至26级</v>
      </c>
      <c r="K665" s="23">
        <f t="shared" si="259"/>
        <v>10026030</v>
      </c>
      <c r="L665" s="23" t="s">
        <v>879</v>
      </c>
      <c r="M665" s="23">
        <f t="shared" si="261"/>
        <v>10801020</v>
      </c>
      <c r="N665" s="23" t="s">
        <v>254</v>
      </c>
      <c r="O665" s="23" t="s">
        <v>52</v>
      </c>
      <c r="P665" s="4" t="s">
        <v>491</v>
      </c>
      <c r="Q665" s="23" t="s">
        <v>52</v>
      </c>
      <c r="R665" s="23" t="s">
        <v>140</v>
      </c>
      <c r="S665" s="24" t="str">
        <f t="shared" si="260"/>
        <v>buildingLevelUp{buildingType:226,buildingLevel:26}</v>
      </c>
      <c r="T665" s="24" t="s">
        <v>52</v>
      </c>
      <c r="U665" s="23" t="s">
        <v>881</v>
      </c>
      <c r="V665" s="24" t="s">
        <v>449</v>
      </c>
      <c r="W665" s="23">
        <f>VLOOKUP(V665,[1]界面跳转!$I:$J,2,FALSE)</f>
        <v>7049</v>
      </c>
      <c r="Y665" s="23" t="s">
        <v>56</v>
      </c>
      <c r="Z665" s="23" t="s">
        <v>57</v>
      </c>
      <c r="AA665" s="23">
        <f t="shared" si="263"/>
        <v>26003</v>
      </c>
      <c r="AB665" s="23">
        <v>6622326</v>
      </c>
      <c r="AD665" s="23">
        <v>26</v>
      </c>
      <c r="AE665" s="23">
        <f t="shared" si="256"/>
        <v>3</v>
      </c>
    </row>
    <row r="666" spans="1:31" s="23" customFormat="1" x14ac:dyDescent="0.45">
      <c r="A666" s="23">
        <f t="shared" si="257"/>
        <v>10026040</v>
      </c>
      <c r="B666" s="23">
        <v>0</v>
      </c>
      <c r="C666" s="23">
        <v>26</v>
      </c>
      <c r="D666" s="23">
        <f t="shared" si="262"/>
        <v>4</v>
      </c>
      <c r="E666" s="23" t="s">
        <v>878</v>
      </c>
      <c r="F666" s="23" t="s">
        <v>976</v>
      </c>
      <c r="G666" s="55" t="s">
        <v>883</v>
      </c>
      <c r="H666" s="55">
        <v>26</v>
      </c>
      <c r="I666" s="55" t="s">
        <v>63</v>
      </c>
      <c r="J666" s="23" t="str">
        <f t="shared" si="258"/>
        <v>升级2个防卫塔至26级</v>
      </c>
      <c r="K666" s="23">
        <f t="shared" si="259"/>
        <v>10026040</v>
      </c>
      <c r="L666" s="23" t="s">
        <v>879</v>
      </c>
      <c r="M666" s="23">
        <f t="shared" si="261"/>
        <v>10801020</v>
      </c>
      <c r="N666" s="23" t="s">
        <v>254</v>
      </c>
      <c r="O666" s="23" t="s">
        <v>52</v>
      </c>
      <c r="P666" s="4" t="s">
        <v>491</v>
      </c>
      <c r="Q666" s="23" t="s">
        <v>52</v>
      </c>
      <c r="R666" s="23" t="s">
        <v>884</v>
      </c>
      <c r="S666" s="24" t="str">
        <f t="shared" si="260"/>
        <v>buildingLevelUp{buildingType:227,buildingLevel:26}</v>
      </c>
      <c r="T666" s="24" t="s">
        <v>52</v>
      </c>
      <c r="U666" s="23" t="s">
        <v>885</v>
      </c>
      <c r="V666" s="24" t="s">
        <v>886</v>
      </c>
      <c r="W666" s="23">
        <f>VLOOKUP(V666,[1]界面跳转!$I:$J,2,FALSE)</f>
        <v>7051</v>
      </c>
      <c r="Y666" s="23" t="s">
        <v>56</v>
      </c>
      <c r="Z666" s="23" t="s">
        <v>57</v>
      </c>
      <c r="AA666" s="23">
        <f t="shared" si="263"/>
        <v>26004</v>
      </c>
      <c r="AB666" s="23">
        <v>6622326</v>
      </c>
      <c r="AD666" s="23">
        <v>26</v>
      </c>
      <c r="AE666" s="23">
        <f t="shared" si="256"/>
        <v>4</v>
      </c>
    </row>
    <row r="667" spans="1:31" s="23" customFormat="1" x14ac:dyDescent="0.45">
      <c r="A667" s="23">
        <f t="shared" si="257"/>
        <v>10026050</v>
      </c>
      <c r="B667" s="23">
        <v>0</v>
      </c>
      <c r="C667" s="23">
        <v>26</v>
      </c>
      <c r="D667" s="23">
        <f t="shared" si="262"/>
        <v>5</v>
      </c>
      <c r="E667" s="23" t="s">
        <v>878</v>
      </c>
      <c r="F667" t="s">
        <v>977</v>
      </c>
      <c r="G667" s="55" t="s">
        <v>319</v>
      </c>
      <c r="H667" s="55">
        <v>26</v>
      </c>
      <c r="I667" s="55" t="s">
        <v>63</v>
      </c>
      <c r="J667" s="23" t="str">
        <f t="shared" si="258"/>
        <v>升级大使馆至26级</v>
      </c>
      <c r="K667" s="23">
        <f t="shared" si="259"/>
        <v>10026050</v>
      </c>
      <c r="L667" s="23" t="s">
        <v>879</v>
      </c>
      <c r="M667" s="23">
        <f t="shared" si="261"/>
        <v>10801020</v>
      </c>
      <c r="N667" s="23" t="s">
        <v>254</v>
      </c>
      <c r="O667" s="23" t="s">
        <v>52</v>
      </c>
      <c r="P667" s="4" t="s">
        <v>491</v>
      </c>
      <c r="Q667" s="23" t="s">
        <v>52</v>
      </c>
      <c r="R667" s="23" t="s">
        <v>320</v>
      </c>
      <c r="S667" s="24" t="str">
        <f t="shared" si="260"/>
        <v>buildingLevelUp{buildingType:230,buildingLevel:26}</v>
      </c>
      <c r="T667" s="24" t="s">
        <v>52</v>
      </c>
      <c r="U667" s="23" t="s">
        <v>893</v>
      </c>
      <c r="V667" s="24" t="s">
        <v>322</v>
      </c>
      <c r="W667" s="23">
        <f>VLOOKUP(V667,[1]界面跳转!$I:$J,2,FALSE)</f>
        <v>7055</v>
      </c>
      <c r="Y667" s="23" t="s">
        <v>56</v>
      </c>
      <c r="Z667" s="23" t="s">
        <v>57</v>
      </c>
      <c r="AA667" s="23">
        <f t="shared" si="263"/>
        <v>26005</v>
      </c>
      <c r="AB667" s="23">
        <v>6622326</v>
      </c>
      <c r="AD667" s="23">
        <v>26</v>
      </c>
      <c r="AE667" s="23">
        <f t="shared" si="256"/>
        <v>5</v>
      </c>
    </row>
    <row r="668" spans="1:31" s="23" customFormat="1" x14ac:dyDescent="0.45">
      <c r="A668" s="23">
        <f t="shared" si="257"/>
        <v>10026060</v>
      </c>
      <c r="B668" s="23">
        <v>0</v>
      </c>
      <c r="C668" s="23">
        <v>26</v>
      </c>
      <c r="D668" s="23">
        <f t="shared" si="262"/>
        <v>6</v>
      </c>
      <c r="E668" s="23" t="s">
        <v>878</v>
      </c>
      <c r="F668" t="s">
        <v>978</v>
      </c>
      <c r="G668" s="55" t="s">
        <v>288</v>
      </c>
      <c r="H668" s="55">
        <v>26</v>
      </c>
      <c r="I668" s="55" t="s">
        <v>63</v>
      </c>
      <c r="J668" s="23" t="str">
        <f t="shared" si="258"/>
        <v>升级战争大厅至26级</v>
      </c>
      <c r="K668" s="23">
        <f t="shared" si="259"/>
        <v>10026060</v>
      </c>
      <c r="L668" s="23" t="s">
        <v>879</v>
      </c>
      <c r="M668" s="23">
        <f t="shared" si="261"/>
        <v>10801020</v>
      </c>
      <c r="N668" s="23" t="s">
        <v>254</v>
      </c>
      <c r="O668" s="23" t="s">
        <v>52</v>
      </c>
      <c r="P668" s="4" t="s">
        <v>491</v>
      </c>
      <c r="Q668" s="23" t="s">
        <v>52</v>
      </c>
      <c r="R668" s="23" t="s">
        <v>289</v>
      </c>
      <c r="S668" s="24" t="str">
        <f t="shared" si="260"/>
        <v>buildingLevelUp{buildingType:229,buildingLevel:26}</v>
      </c>
      <c r="T668" s="24" t="s">
        <v>52</v>
      </c>
      <c r="U668" s="23" t="s">
        <v>290</v>
      </c>
      <c r="V668" s="24" t="s">
        <v>291</v>
      </c>
      <c r="W668" s="23">
        <f>VLOOKUP(V668,[1]界面跳转!$I:$J,2,FALSE)</f>
        <v>7052</v>
      </c>
      <c r="Y668" s="23" t="s">
        <v>56</v>
      </c>
      <c r="Z668" s="23" t="s">
        <v>57</v>
      </c>
      <c r="AA668" s="23">
        <f t="shared" si="263"/>
        <v>26006</v>
      </c>
      <c r="AB668" s="23">
        <v>6622326</v>
      </c>
      <c r="AD668" s="23">
        <v>26</v>
      </c>
      <c r="AE668" s="23">
        <f t="shared" si="256"/>
        <v>6</v>
      </c>
    </row>
    <row r="669" spans="1:31" s="23" customFormat="1" x14ac:dyDescent="0.45">
      <c r="A669" s="23">
        <f t="shared" si="257"/>
        <v>10027010</v>
      </c>
      <c r="B669" s="23">
        <v>0</v>
      </c>
      <c r="C669" s="23">
        <v>27</v>
      </c>
      <c r="D669" s="23">
        <f t="shared" si="262"/>
        <v>1</v>
      </c>
      <c r="E669" s="23" t="s">
        <v>878</v>
      </c>
      <c r="F669" t="s">
        <v>979</v>
      </c>
      <c r="G669" s="55" t="s">
        <v>268</v>
      </c>
      <c r="H669" s="55">
        <v>27</v>
      </c>
      <c r="I669" s="55" t="s">
        <v>63</v>
      </c>
      <c r="J669" s="23" t="str">
        <f t="shared" si="258"/>
        <v>升级市集至27级</v>
      </c>
      <c r="K669" s="23">
        <f t="shared" si="259"/>
        <v>10027010</v>
      </c>
      <c r="L669" s="23" t="s">
        <v>879</v>
      </c>
      <c r="M669" s="23">
        <f t="shared" si="261"/>
        <v>10801020</v>
      </c>
      <c r="N669" s="23" t="s">
        <v>254</v>
      </c>
      <c r="O669" s="23" t="s">
        <v>52</v>
      </c>
      <c r="P669" s="4" t="s">
        <v>491</v>
      </c>
      <c r="Q669" s="23" t="s">
        <v>52</v>
      </c>
      <c r="R669" s="23" t="s">
        <v>269</v>
      </c>
      <c r="S669" s="24" t="str">
        <f t="shared" si="260"/>
        <v>buildingLevelUp{buildingType:231,buildingLevel:27}</v>
      </c>
      <c r="T669" s="24" t="s">
        <v>52</v>
      </c>
      <c r="U669" s="23" t="s">
        <v>895</v>
      </c>
      <c r="V669" s="24" t="s">
        <v>271</v>
      </c>
      <c r="W669" s="23">
        <f>VLOOKUP(V669,[1]界面跳转!$I:$J,2,FALSE)</f>
        <v>7058</v>
      </c>
      <c r="Y669" s="23" t="s">
        <v>56</v>
      </c>
      <c r="Z669" s="23" t="s">
        <v>57</v>
      </c>
      <c r="AA669" s="23">
        <f t="shared" si="263"/>
        <v>27001</v>
      </c>
      <c r="AB669" s="23">
        <v>6622327</v>
      </c>
      <c r="AD669" s="23">
        <v>27</v>
      </c>
      <c r="AE669" s="23">
        <f t="shared" si="256"/>
        <v>1</v>
      </c>
    </row>
    <row r="670" spans="1:31" s="23" customFormat="1" x14ac:dyDescent="0.45">
      <c r="A670" s="23">
        <f t="shared" ref="A670:A692" si="264">10000000+B670*100000+C670*1000+D670*10</f>
        <v>10027020</v>
      </c>
      <c r="B670" s="23">
        <v>0</v>
      </c>
      <c r="C670" s="23">
        <v>27</v>
      </c>
      <c r="D670" s="23">
        <f t="shared" si="262"/>
        <v>2</v>
      </c>
      <c r="E670" s="23" t="s">
        <v>878</v>
      </c>
      <c r="F670" s="23" t="s">
        <v>468</v>
      </c>
      <c r="G670" s="55" t="s">
        <v>106</v>
      </c>
      <c r="H670" s="55">
        <v>27</v>
      </c>
      <c r="I670" s="55" t="s">
        <v>63</v>
      </c>
      <c r="J670" s="23" t="str">
        <f t="shared" ref="J670:J692" si="265">G670&amp;H670&amp;I670</f>
        <v>升级城墙至27级</v>
      </c>
      <c r="K670" s="23">
        <f t="shared" ref="K670:K692" si="266">A670</f>
        <v>10027020</v>
      </c>
      <c r="L670" s="23" t="s">
        <v>879</v>
      </c>
      <c r="M670" s="23">
        <f t="shared" si="261"/>
        <v>10801020</v>
      </c>
      <c r="N670" s="23" t="s">
        <v>254</v>
      </c>
      <c r="O670" s="23" t="s">
        <v>52</v>
      </c>
      <c r="P670" s="4" t="s">
        <v>491</v>
      </c>
      <c r="Q670" s="23" t="s">
        <v>52</v>
      </c>
      <c r="R670" s="23" t="s">
        <v>107</v>
      </c>
      <c r="S670" s="24" t="str">
        <f t="shared" ref="S670:S692" si="267">SUBSTITUTE(R670,"@@@",H670)</f>
        <v>buildingLevelUp{buildingType:215,buildingLevel:27}</v>
      </c>
      <c r="T670" s="24" t="s">
        <v>52</v>
      </c>
      <c r="U670" s="23" t="s">
        <v>880</v>
      </c>
      <c r="V670" s="24" t="s">
        <v>249</v>
      </c>
      <c r="W670" s="23">
        <f>VLOOKUP(V670,[1]界面跳转!$I:$J,2,FALSE)</f>
        <v>7039</v>
      </c>
      <c r="Y670" s="23" t="s">
        <v>56</v>
      </c>
      <c r="Z670" s="23" t="s">
        <v>57</v>
      </c>
      <c r="AA670" s="23">
        <f t="shared" si="263"/>
        <v>27002</v>
      </c>
      <c r="AB670" s="23">
        <v>6622327</v>
      </c>
      <c r="AD670" s="23">
        <v>27</v>
      </c>
      <c r="AE670" s="23">
        <f t="shared" si="256"/>
        <v>2</v>
      </c>
    </row>
    <row r="671" spans="1:31" s="23" customFormat="1" x14ac:dyDescent="0.45">
      <c r="A671" s="23">
        <f t="shared" si="264"/>
        <v>10027030</v>
      </c>
      <c r="B671" s="23">
        <v>0</v>
      </c>
      <c r="C671" s="23">
        <v>27</v>
      </c>
      <c r="D671" s="23">
        <f t="shared" si="262"/>
        <v>3</v>
      </c>
      <c r="E671" s="23" t="s">
        <v>878</v>
      </c>
      <c r="F671" t="s">
        <v>980</v>
      </c>
      <c r="G671" s="55" t="s">
        <v>139</v>
      </c>
      <c r="H671" s="55">
        <v>27</v>
      </c>
      <c r="I671" s="55" t="s">
        <v>63</v>
      </c>
      <c r="J671" s="23" t="str">
        <f t="shared" si="265"/>
        <v>升级瞭望塔至27级</v>
      </c>
      <c r="K671" s="23">
        <f t="shared" si="266"/>
        <v>10027030</v>
      </c>
      <c r="L671" s="23" t="s">
        <v>879</v>
      </c>
      <c r="M671" s="23">
        <f t="shared" si="261"/>
        <v>10801020</v>
      </c>
      <c r="N671" s="23" t="s">
        <v>254</v>
      </c>
      <c r="O671" s="23" t="s">
        <v>52</v>
      </c>
      <c r="P671" s="4" t="s">
        <v>491</v>
      </c>
      <c r="Q671" s="23" t="s">
        <v>52</v>
      </c>
      <c r="R671" s="23" t="s">
        <v>140</v>
      </c>
      <c r="S671" s="24" t="str">
        <f t="shared" si="267"/>
        <v>buildingLevelUp{buildingType:226,buildingLevel:27}</v>
      </c>
      <c r="T671" s="24" t="s">
        <v>52</v>
      </c>
      <c r="U671" s="23" t="s">
        <v>881</v>
      </c>
      <c r="V671" s="24" t="s">
        <v>449</v>
      </c>
      <c r="W671" s="23">
        <f>VLOOKUP(V671,[1]界面跳转!$I:$J,2,FALSE)</f>
        <v>7049</v>
      </c>
      <c r="Y671" s="23" t="s">
        <v>56</v>
      </c>
      <c r="Z671" s="23" t="s">
        <v>57</v>
      </c>
      <c r="AA671" s="23">
        <f t="shared" si="263"/>
        <v>27003</v>
      </c>
      <c r="AB671" s="23">
        <v>6622327</v>
      </c>
      <c r="AD671" s="23">
        <v>27</v>
      </c>
      <c r="AE671" s="23">
        <f t="shared" si="256"/>
        <v>3</v>
      </c>
    </row>
    <row r="672" spans="1:31" s="23" customFormat="1" x14ac:dyDescent="0.45">
      <c r="A672" s="23">
        <f t="shared" si="264"/>
        <v>10027040</v>
      </c>
      <c r="B672" s="23">
        <v>0</v>
      </c>
      <c r="C672" s="23">
        <v>27</v>
      </c>
      <c r="D672" s="23">
        <f t="shared" si="262"/>
        <v>4</v>
      </c>
      <c r="E672" s="23" t="s">
        <v>878</v>
      </c>
      <c r="F672" s="23" t="s">
        <v>981</v>
      </c>
      <c r="G672" s="55" t="s">
        <v>883</v>
      </c>
      <c r="H672" s="55">
        <v>27</v>
      </c>
      <c r="I672" s="55" t="s">
        <v>63</v>
      </c>
      <c r="J672" s="23" t="str">
        <f t="shared" si="265"/>
        <v>升级2个防卫塔至27级</v>
      </c>
      <c r="K672" s="23">
        <f t="shared" si="266"/>
        <v>10027040</v>
      </c>
      <c r="L672" s="23" t="s">
        <v>879</v>
      </c>
      <c r="M672" s="23">
        <f t="shared" si="261"/>
        <v>10801020</v>
      </c>
      <c r="N672" s="23" t="s">
        <v>254</v>
      </c>
      <c r="O672" s="23" t="s">
        <v>52</v>
      </c>
      <c r="P672" s="4" t="s">
        <v>491</v>
      </c>
      <c r="Q672" s="23" t="s">
        <v>52</v>
      </c>
      <c r="R672" s="23" t="s">
        <v>884</v>
      </c>
      <c r="S672" s="24" t="str">
        <f t="shared" si="267"/>
        <v>buildingLevelUp{buildingType:227,buildingLevel:27}</v>
      </c>
      <c r="T672" s="24" t="s">
        <v>52</v>
      </c>
      <c r="U672" s="23" t="s">
        <v>885</v>
      </c>
      <c r="V672" s="24" t="s">
        <v>886</v>
      </c>
      <c r="W672" s="23">
        <f>VLOOKUP(V672,[1]界面跳转!$I:$J,2,FALSE)</f>
        <v>7051</v>
      </c>
      <c r="Y672" s="23" t="s">
        <v>56</v>
      </c>
      <c r="Z672" s="23" t="s">
        <v>57</v>
      </c>
      <c r="AA672" s="23">
        <f t="shared" si="263"/>
        <v>27004</v>
      </c>
      <c r="AB672" s="23">
        <v>6622327</v>
      </c>
      <c r="AD672" s="23">
        <v>27</v>
      </c>
      <c r="AE672" s="23">
        <f t="shared" si="256"/>
        <v>4</v>
      </c>
    </row>
    <row r="673" spans="1:31" s="23" customFormat="1" x14ac:dyDescent="0.45">
      <c r="A673" s="23">
        <f t="shared" si="264"/>
        <v>10027050</v>
      </c>
      <c r="B673" s="23">
        <v>0</v>
      </c>
      <c r="C673" s="23">
        <v>27</v>
      </c>
      <c r="D673" s="23">
        <f t="shared" si="262"/>
        <v>5</v>
      </c>
      <c r="E673" s="23" t="s">
        <v>878</v>
      </c>
      <c r="F673" t="s">
        <v>982</v>
      </c>
      <c r="G673" s="55" t="s">
        <v>319</v>
      </c>
      <c r="H673" s="55">
        <v>27</v>
      </c>
      <c r="I673" s="55" t="s">
        <v>63</v>
      </c>
      <c r="J673" s="23" t="str">
        <f t="shared" si="265"/>
        <v>升级大使馆至27级</v>
      </c>
      <c r="K673" s="23">
        <f t="shared" si="266"/>
        <v>10027050</v>
      </c>
      <c r="L673" s="23" t="s">
        <v>879</v>
      </c>
      <c r="M673" s="23">
        <f t="shared" si="261"/>
        <v>10801020</v>
      </c>
      <c r="N673" s="23" t="s">
        <v>254</v>
      </c>
      <c r="O673" s="23" t="s">
        <v>52</v>
      </c>
      <c r="P673" s="4" t="s">
        <v>491</v>
      </c>
      <c r="Q673" s="23" t="s">
        <v>52</v>
      </c>
      <c r="R673" s="23" t="s">
        <v>320</v>
      </c>
      <c r="S673" s="24" t="str">
        <f t="shared" si="267"/>
        <v>buildingLevelUp{buildingType:230,buildingLevel:27}</v>
      </c>
      <c r="T673" s="24" t="s">
        <v>52</v>
      </c>
      <c r="U673" s="23" t="s">
        <v>893</v>
      </c>
      <c r="V673" s="24" t="s">
        <v>322</v>
      </c>
      <c r="W673" s="23">
        <f>VLOOKUP(V673,[1]界面跳转!$I:$J,2,FALSE)</f>
        <v>7055</v>
      </c>
      <c r="Y673" s="23" t="s">
        <v>56</v>
      </c>
      <c r="Z673" s="23" t="s">
        <v>57</v>
      </c>
      <c r="AA673" s="23">
        <f t="shared" si="263"/>
        <v>27005</v>
      </c>
      <c r="AB673" s="23">
        <v>6622327</v>
      </c>
      <c r="AD673" s="23">
        <v>27</v>
      </c>
      <c r="AE673" s="23">
        <f t="shared" si="256"/>
        <v>5</v>
      </c>
    </row>
    <row r="674" spans="1:31" s="23" customFormat="1" x14ac:dyDescent="0.45">
      <c r="A674" s="23">
        <f t="shared" si="264"/>
        <v>10027060</v>
      </c>
      <c r="B674" s="23">
        <v>0</v>
      </c>
      <c r="C674" s="23">
        <v>27</v>
      </c>
      <c r="D674" s="23">
        <f t="shared" si="262"/>
        <v>6</v>
      </c>
      <c r="E674" s="23" t="s">
        <v>878</v>
      </c>
      <c r="F674" t="s">
        <v>983</v>
      </c>
      <c r="G674" s="55" t="s">
        <v>288</v>
      </c>
      <c r="H674" s="55">
        <v>27</v>
      </c>
      <c r="I674" s="55" t="s">
        <v>63</v>
      </c>
      <c r="J674" s="23" t="str">
        <f t="shared" si="265"/>
        <v>升级战争大厅至27级</v>
      </c>
      <c r="K674" s="23">
        <f t="shared" si="266"/>
        <v>10027060</v>
      </c>
      <c r="L674" s="23" t="s">
        <v>879</v>
      </c>
      <c r="M674" s="23">
        <f t="shared" si="261"/>
        <v>10801020</v>
      </c>
      <c r="N674" s="23" t="s">
        <v>254</v>
      </c>
      <c r="O674" s="23" t="s">
        <v>52</v>
      </c>
      <c r="P674" s="4" t="s">
        <v>491</v>
      </c>
      <c r="Q674" s="23" t="s">
        <v>52</v>
      </c>
      <c r="R674" s="23" t="s">
        <v>289</v>
      </c>
      <c r="S674" s="24" t="str">
        <f t="shared" si="267"/>
        <v>buildingLevelUp{buildingType:229,buildingLevel:27}</v>
      </c>
      <c r="T674" s="24" t="s">
        <v>52</v>
      </c>
      <c r="U674" s="23" t="s">
        <v>290</v>
      </c>
      <c r="V674" s="24" t="s">
        <v>291</v>
      </c>
      <c r="W674" s="23">
        <f>VLOOKUP(V674,[1]界面跳转!$I:$J,2,FALSE)</f>
        <v>7052</v>
      </c>
      <c r="Y674" s="23" t="s">
        <v>56</v>
      </c>
      <c r="Z674" s="23" t="s">
        <v>57</v>
      </c>
      <c r="AA674" s="23">
        <f t="shared" si="263"/>
        <v>27006</v>
      </c>
      <c r="AB674" s="23">
        <v>6622327</v>
      </c>
      <c r="AD674" s="23">
        <v>27</v>
      </c>
      <c r="AE674" s="23">
        <f t="shared" si="256"/>
        <v>6</v>
      </c>
    </row>
    <row r="675" spans="1:31" s="23" customFormat="1" x14ac:dyDescent="0.45">
      <c r="A675" s="23">
        <f t="shared" si="264"/>
        <v>10028010</v>
      </c>
      <c r="B675" s="23">
        <v>0</v>
      </c>
      <c r="C675" s="23">
        <v>28</v>
      </c>
      <c r="D675" s="23">
        <f t="shared" si="262"/>
        <v>1</v>
      </c>
      <c r="E675" s="23" t="s">
        <v>878</v>
      </c>
      <c r="F675" t="s">
        <v>984</v>
      </c>
      <c r="G675" s="55" t="s">
        <v>268</v>
      </c>
      <c r="H675" s="55">
        <v>28</v>
      </c>
      <c r="I675" s="55" t="s">
        <v>63</v>
      </c>
      <c r="J675" s="23" t="str">
        <f t="shared" si="265"/>
        <v>升级市集至28级</v>
      </c>
      <c r="K675" s="23">
        <f t="shared" si="266"/>
        <v>10028010</v>
      </c>
      <c r="L675" s="23" t="s">
        <v>879</v>
      </c>
      <c r="M675" s="23">
        <f t="shared" si="261"/>
        <v>10801020</v>
      </c>
      <c r="N675" s="23" t="s">
        <v>254</v>
      </c>
      <c r="O675" s="23" t="s">
        <v>52</v>
      </c>
      <c r="P675" s="4" t="s">
        <v>491</v>
      </c>
      <c r="Q675" s="23" t="s">
        <v>52</v>
      </c>
      <c r="R675" s="23" t="s">
        <v>269</v>
      </c>
      <c r="S675" s="24" t="str">
        <f t="shared" si="267"/>
        <v>buildingLevelUp{buildingType:231,buildingLevel:28}</v>
      </c>
      <c r="T675" s="24" t="s">
        <v>52</v>
      </c>
      <c r="U675" s="23" t="s">
        <v>895</v>
      </c>
      <c r="V675" s="24" t="s">
        <v>271</v>
      </c>
      <c r="W675" s="23">
        <f>VLOOKUP(V675,[1]界面跳转!$I:$J,2,FALSE)</f>
        <v>7058</v>
      </c>
      <c r="Y675" s="23" t="s">
        <v>56</v>
      </c>
      <c r="Z675" s="23" t="s">
        <v>57</v>
      </c>
      <c r="AA675" s="23">
        <f t="shared" si="263"/>
        <v>28001</v>
      </c>
      <c r="AB675" s="23">
        <v>6622328</v>
      </c>
      <c r="AD675" s="23">
        <v>28</v>
      </c>
      <c r="AE675" s="23">
        <f t="shared" si="256"/>
        <v>1</v>
      </c>
    </row>
    <row r="676" spans="1:31" s="23" customFormat="1" x14ac:dyDescent="0.45">
      <c r="A676" s="23">
        <f t="shared" si="264"/>
        <v>10028020</v>
      </c>
      <c r="B676" s="23">
        <v>0</v>
      </c>
      <c r="C676" s="23">
        <v>28</v>
      </c>
      <c r="D676" s="23">
        <f t="shared" si="262"/>
        <v>2</v>
      </c>
      <c r="E676" s="23" t="s">
        <v>878</v>
      </c>
      <c r="F676" s="23" t="s">
        <v>477</v>
      </c>
      <c r="G676" s="55" t="s">
        <v>106</v>
      </c>
      <c r="H676" s="55">
        <v>28</v>
      </c>
      <c r="I676" s="55" t="s">
        <v>63</v>
      </c>
      <c r="J676" s="23" t="str">
        <f t="shared" si="265"/>
        <v>升级城墙至28级</v>
      </c>
      <c r="K676" s="23">
        <f t="shared" si="266"/>
        <v>10028020</v>
      </c>
      <c r="L676" s="23" t="s">
        <v>879</v>
      </c>
      <c r="M676" s="23">
        <f t="shared" si="261"/>
        <v>10801020</v>
      </c>
      <c r="N676" s="23" t="s">
        <v>254</v>
      </c>
      <c r="O676" s="23" t="s">
        <v>52</v>
      </c>
      <c r="P676" s="4" t="s">
        <v>491</v>
      </c>
      <c r="Q676" s="23" t="s">
        <v>52</v>
      </c>
      <c r="R676" s="23" t="s">
        <v>107</v>
      </c>
      <c r="S676" s="24" t="str">
        <f t="shared" si="267"/>
        <v>buildingLevelUp{buildingType:215,buildingLevel:28}</v>
      </c>
      <c r="T676" s="24" t="s">
        <v>52</v>
      </c>
      <c r="U676" s="23" t="s">
        <v>880</v>
      </c>
      <c r="V676" s="24" t="s">
        <v>249</v>
      </c>
      <c r="W676" s="23">
        <f>VLOOKUP(V676,[1]界面跳转!$I:$J,2,FALSE)</f>
        <v>7039</v>
      </c>
      <c r="Y676" s="23" t="s">
        <v>56</v>
      </c>
      <c r="Z676" s="23" t="s">
        <v>57</v>
      </c>
      <c r="AA676" s="23">
        <f t="shared" si="263"/>
        <v>28002</v>
      </c>
      <c r="AB676" s="23">
        <v>6622328</v>
      </c>
      <c r="AD676" s="23">
        <v>28</v>
      </c>
      <c r="AE676" s="23">
        <f t="shared" si="256"/>
        <v>2</v>
      </c>
    </row>
    <row r="677" spans="1:31" s="23" customFormat="1" x14ac:dyDescent="0.45">
      <c r="A677" s="23">
        <f t="shared" si="264"/>
        <v>10028030</v>
      </c>
      <c r="B677" s="23">
        <v>0</v>
      </c>
      <c r="C677" s="23">
        <v>28</v>
      </c>
      <c r="D677" s="23">
        <f t="shared" si="262"/>
        <v>3</v>
      </c>
      <c r="E677" s="23" t="s">
        <v>878</v>
      </c>
      <c r="F677" t="s">
        <v>985</v>
      </c>
      <c r="G677" s="55" t="s">
        <v>139</v>
      </c>
      <c r="H677" s="55">
        <v>28</v>
      </c>
      <c r="I677" s="55" t="s">
        <v>63</v>
      </c>
      <c r="J677" s="23" t="str">
        <f t="shared" si="265"/>
        <v>升级瞭望塔至28级</v>
      </c>
      <c r="K677" s="23">
        <f t="shared" si="266"/>
        <v>10028030</v>
      </c>
      <c r="L677" s="23" t="s">
        <v>879</v>
      </c>
      <c r="M677" s="23">
        <f t="shared" ref="M677:M708" si="268">VLOOKUP(L677,J:K,2,FALSE)</f>
        <v>10801020</v>
      </c>
      <c r="N677" s="23" t="s">
        <v>254</v>
      </c>
      <c r="O677" s="23" t="s">
        <v>52</v>
      </c>
      <c r="P677" s="4" t="s">
        <v>491</v>
      </c>
      <c r="Q677" s="23" t="s">
        <v>52</v>
      </c>
      <c r="R677" s="23" t="s">
        <v>140</v>
      </c>
      <c r="S677" s="24" t="str">
        <f t="shared" si="267"/>
        <v>buildingLevelUp{buildingType:226,buildingLevel:28}</v>
      </c>
      <c r="T677" s="24" t="s">
        <v>52</v>
      </c>
      <c r="U677" s="23" t="s">
        <v>881</v>
      </c>
      <c r="V677" s="24" t="s">
        <v>449</v>
      </c>
      <c r="W677" s="23">
        <f>VLOOKUP(V677,[1]界面跳转!$I:$J,2,FALSE)</f>
        <v>7049</v>
      </c>
      <c r="Y677" s="23" t="s">
        <v>56</v>
      </c>
      <c r="Z677" s="23" t="s">
        <v>57</v>
      </c>
      <c r="AA677" s="23">
        <f t="shared" si="263"/>
        <v>28003</v>
      </c>
      <c r="AB677" s="23">
        <v>6622328</v>
      </c>
      <c r="AD677" s="23">
        <v>28</v>
      </c>
      <c r="AE677" s="23">
        <f t="shared" si="256"/>
        <v>3</v>
      </c>
    </row>
    <row r="678" spans="1:31" s="23" customFormat="1" x14ac:dyDescent="0.45">
      <c r="A678" s="23">
        <f t="shared" si="264"/>
        <v>10028040</v>
      </c>
      <c r="B678" s="23">
        <v>0</v>
      </c>
      <c r="C678" s="23">
        <v>28</v>
      </c>
      <c r="D678" s="23">
        <f t="shared" si="262"/>
        <v>4</v>
      </c>
      <c r="E678" s="23" t="s">
        <v>878</v>
      </c>
      <c r="F678" s="23" t="s">
        <v>986</v>
      </c>
      <c r="G678" s="55" t="s">
        <v>883</v>
      </c>
      <c r="H678" s="55">
        <v>28</v>
      </c>
      <c r="I678" s="55" t="s">
        <v>63</v>
      </c>
      <c r="J678" s="23" t="str">
        <f t="shared" si="265"/>
        <v>升级2个防卫塔至28级</v>
      </c>
      <c r="K678" s="23">
        <f t="shared" si="266"/>
        <v>10028040</v>
      </c>
      <c r="L678" s="23" t="s">
        <v>879</v>
      </c>
      <c r="M678" s="23">
        <f t="shared" si="268"/>
        <v>10801020</v>
      </c>
      <c r="N678" s="23" t="s">
        <v>254</v>
      </c>
      <c r="O678" s="23" t="s">
        <v>52</v>
      </c>
      <c r="P678" s="4" t="s">
        <v>491</v>
      </c>
      <c r="Q678" s="23" t="s">
        <v>52</v>
      </c>
      <c r="R678" s="23" t="s">
        <v>884</v>
      </c>
      <c r="S678" s="24" t="str">
        <f t="shared" si="267"/>
        <v>buildingLevelUp{buildingType:227,buildingLevel:28}</v>
      </c>
      <c r="T678" s="24" t="s">
        <v>52</v>
      </c>
      <c r="U678" s="23" t="s">
        <v>885</v>
      </c>
      <c r="V678" s="24" t="s">
        <v>886</v>
      </c>
      <c r="W678" s="23">
        <f>VLOOKUP(V678,[1]界面跳转!$I:$J,2,FALSE)</f>
        <v>7051</v>
      </c>
      <c r="Y678" s="23" t="s">
        <v>56</v>
      </c>
      <c r="Z678" s="23" t="s">
        <v>57</v>
      </c>
      <c r="AA678" s="23">
        <f t="shared" si="263"/>
        <v>28004</v>
      </c>
      <c r="AB678" s="23">
        <v>6622328</v>
      </c>
      <c r="AD678" s="23">
        <v>28</v>
      </c>
      <c r="AE678" s="23">
        <f t="shared" ref="AE678:AE692" si="269">IF(AD678=AD677,AE677+1,1)</f>
        <v>4</v>
      </c>
    </row>
    <row r="679" spans="1:31" s="23" customFormat="1" x14ac:dyDescent="0.45">
      <c r="A679" s="23">
        <f t="shared" si="264"/>
        <v>10028050</v>
      </c>
      <c r="B679" s="23">
        <v>0</v>
      </c>
      <c r="C679" s="23">
        <v>28</v>
      </c>
      <c r="D679" s="23">
        <f t="shared" si="262"/>
        <v>5</v>
      </c>
      <c r="E679" s="23" t="s">
        <v>878</v>
      </c>
      <c r="F679" t="s">
        <v>476</v>
      </c>
      <c r="G679" s="55" t="s">
        <v>319</v>
      </c>
      <c r="H679" s="55">
        <v>28</v>
      </c>
      <c r="I679" s="55" t="s">
        <v>63</v>
      </c>
      <c r="J679" s="23" t="str">
        <f t="shared" si="265"/>
        <v>升级大使馆至28级</v>
      </c>
      <c r="K679" s="23">
        <f t="shared" si="266"/>
        <v>10028050</v>
      </c>
      <c r="L679" s="23" t="s">
        <v>879</v>
      </c>
      <c r="M679" s="23">
        <f t="shared" si="268"/>
        <v>10801020</v>
      </c>
      <c r="N679" s="23" t="s">
        <v>254</v>
      </c>
      <c r="O679" s="23" t="s">
        <v>52</v>
      </c>
      <c r="P679" s="4" t="s">
        <v>491</v>
      </c>
      <c r="Q679" s="23" t="s">
        <v>52</v>
      </c>
      <c r="R679" s="23" t="s">
        <v>320</v>
      </c>
      <c r="S679" s="24" t="str">
        <f t="shared" si="267"/>
        <v>buildingLevelUp{buildingType:230,buildingLevel:28}</v>
      </c>
      <c r="T679" s="24" t="s">
        <v>52</v>
      </c>
      <c r="U679" s="23" t="s">
        <v>893</v>
      </c>
      <c r="V679" s="24" t="s">
        <v>322</v>
      </c>
      <c r="W679" s="23">
        <f>VLOOKUP(V679,[1]界面跳转!$I:$J,2,FALSE)</f>
        <v>7055</v>
      </c>
      <c r="Y679" s="23" t="s">
        <v>56</v>
      </c>
      <c r="Z679" s="23" t="s">
        <v>57</v>
      </c>
      <c r="AA679" s="23">
        <f t="shared" si="263"/>
        <v>28005</v>
      </c>
      <c r="AB679" s="23">
        <v>6622328</v>
      </c>
      <c r="AD679" s="23">
        <v>28</v>
      </c>
      <c r="AE679" s="23">
        <f t="shared" si="269"/>
        <v>5</v>
      </c>
    </row>
    <row r="680" spans="1:31" s="23" customFormat="1" x14ac:dyDescent="0.45">
      <c r="A680" s="23">
        <f t="shared" si="264"/>
        <v>10028060</v>
      </c>
      <c r="B680" s="23">
        <v>0</v>
      </c>
      <c r="C680" s="23">
        <v>28</v>
      </c>
      <c r="D680" s="23">
        <f t="shared" si="262"/>
        <v>6</v>
      </c>
      <c r="E680" s="23" t="s">
        <v>878</v>
      </c>
      <c r="F680" t="s">
        <v>987</v>
      </c>
      <c r="G680" s="55" t="s">
        <v>288</v>
      </c>
      <c r="H680" s="55">
        <v>28</v>
      </c>
      <c r="I680" s="55" t="s">
        <v>63</v>
      </c>
      <c r="J680" s="23" t="str">
        <f t="shared" si="265"/>
        <v>升级战争大厅至28级</v>
      </c>
      <c r="K680" s="23">
        <f t="shared" si="266"/>
        <v>10028060</v>
      </c>
      <c r="L680" s="23" t="s">
        <v>879</v>
      </c>
      <c r="M680" s="23">
        <f t="shared" si="268"/>
        <v>10801020</v>
      </c>
      <c r="N680" s="23" t="s">
        <v>254</v>
      </c>
      <c r="O680" s="23" t="s">
        <v>52</v>
      </c>
      <c r="P680" s="4" t="s">
        <v>491</v>
      </c>
      <c r="Q680" s="23" t="s">
        <v>52</v>
      </c>
      <c r="R680" s="23" t="s">
        <v>289</v>
      </c>
      <c r="S680" s="24" t="str">
        <f t="shared" si="267"/>
        <v>buildingLevelUp{buildingType:229,buildingLevel:28}</v>
      </c>
      <c r="T680" s="24" t="s">
        <v>52</v>
      </c>
      <c r="U680" s="23" t="s">
        <v>290</v>
      </c>
      <c r="V680" s="24" t="s">
        <v>291</v>
      </c>
      <c r="W680" s="23">
        <f>VLOOKUP(V680,[1]界面跳转!$I:$J,2,FALSE)</f>
        <v>7052</v>
      </c>
      <c r="Y680" s="23" t="s">
        <v>56</v>
      </c>
      <c r="Z680" s="23" t="s">
        <v>57</v>
      </c>
      <c r="AA680" s="23">
        <f t="shared" si="263"/>
        <v>28006</v>
      </c>
      <c r="AB680" s="23">
        <v>6622328</v>
      </c>
      <c r="AD680" s="23">
        <v>28</v>
      </c>
      <c r="AE680" s="23">
        <f t="shared" si="269"/>
        <v>6</v>
      </c>
    </row>
    <row r="681" spans="1:31" s="23" customFormat="1" x14ac:dyDescent="0.45">
      <c r="A681" s="23">
        <f t="shared" si="264"/>
        <v>10029010</v>
      </c>
      <c r="B681" s="23">
        <v>0</v>
      </c>
      <c r="C681" s="23">
        <v>29</v>
      </c>
      <c r="D681" s="23">
        <f t="shared" si="262"/>
        <v>1</v>
      </c>
      <c r="E681" s="23" t="s">
        <v>878</v>
      </c>
      <c r="F681" t="s">
        <v>988</v>
      </c>
      <c r="G681" s="55" t="s">
        <v>268</v>
      </c>
      <c r="H681" s="55">
        <v>29</v>
      </c>
      <c r="I681" s="55" t="s">
        <v>63</v>
      </c>
      <c r="J681" s="23" t="str">
        <f t="shared" si="265"/>
        <v>升级市集至29级</v>
      </c>
      <c r="K681" s="23">
        <f t="shared" si="266"/>
        <v>10029010</v>
      </c>
      <c r="L681" s="23" t="s">
        <v>879</v>
      </c>
      <c r="M681" s="23">
        <f t="shared" si="268"/>
        <v>10801020</v>
      </c>
      <c r="N681" s="23" t="s">
        <v>254</v>
      </c>
      <c r="O681" s="23" t="s">
        <v>52</v>
      </c>
      <c r="P681" s="4" t="s">
        <v>491</v>
      </c>
      <c r="Q681" s="23" t="s">
        <v>52</v>
      </c>
      <c r="R681" s="23" t="s">
        <v>269</v>
      </c>
      <c r="S681" s="24" t="str">
        <f t="shared" si="267"/>
        <v>buildingLevelUp{buildingType:231,buildingLevel:29}</v>
      </c>
      <c r="T681" s="24" t="s">
        <v>52</v>
      </c>
      <c r="U681" s="23" t="s">
        <v>895</v>
      </c>
      <c r="V681" s="24" t="s">
        <v>271</v>
      </c>
      <c r="W681" s="23">
        <f>VLOOKUP(V681,[1]界面跳转!$I:$J,2,FALSE)</f>
        <v>7058</v>
      </c>
      <c r="Y681" s="23" t="s">
        <v>56</v>
      </c>
      <c r="Z681" s="23" t="s">
        <v>57</v>
      </c>
      <c r="AA681" s="23">
        <f t="shared" si="263"/>
        <v>29001</v>
      </c>
      <c r="AB681" s="23">
        <v>6622329</v>
      </c>
      <c r="AD681" s="23">
        <v>29</v>
      </c>
      <c r="AE681" s="23">
        <f t="shared" si="269"/>
        <v>1</v>
      </c>
    </row>
    <row r="682" spans="1:31" s="23" customFormat="1" x14ac:dyDescent="0.45">
      <c r="A682" s="23">
        <f t="shared" si="264"/>
        <v>10029020</v>
      </c>
      <c r="B682" s="23">
        <v>0</v>
      </c>
      <c r="C682" s="23">
        <v>29</v>
      </c>
      <c r="D682" s="23">
        <f t="shared" si="262"/>
        <v>2</v>
      </c>
      <c r="E682" s="23" t="s">
        <v>878</v>
      </c>
      <c r="F682" s="23" t="s">
        <v>486</v>
      </c>
      <c r="G682" s="55" t="s">
        <v>106</v>
      </c>
      <c r="H682" s="55">
        <v>29</v>
      </c>
      <c r="I682" s="55" t="s">
        <v>63</v>
      </c>
      <c r="J682" s="23" t="str">
        <f t="shared" si="265"/>
        <v>升级城墙至29级</v>
      </c>
      <c r="K682" s="23">
        <f t="shared" si="266"/>
        <v>10029020</v>
      </c>
      <c r="L682" s="23" t="s">
        <v>879</v>
      </c>
      <c r="M682" s="23">
        <f t="shared" si="268"/>
        <v>10801020</v>
      </c>
      <c r="N682" s="23" t="s">
        <v>254</v>
      </c>
      <c r="O682" s="23" t="s">
        <v>52</v>
      </c>
      <c r="P682" s="4" t="s">
        <v>491</v>
      </c>
      <c r="Q682" s="23" t="s">
        <v>52</v>
      </c>
      <c r="R682" s="23" t="s">
        <v>107</v>
      </c>
      <c r="S682" s="24" t="str">
        <f t="shared" si="267"/>
        <v>buildingLevelUp{buildingType:215,buildingLevel:29}</v>
      </c>
      <c r="T682" s="24" t="s">
        <v>52</v>
      </c>
      <c r="U682" s="23" t="s">
        <v>880</v>
      </c>
      <c r="V682" s="24" t="s">
        <v>249</v>
      </c>
      <c r="W682" s="23">
        <f>VLOOKUP(V682,[1]界面跳转!$I:$J,2,FALSE)</f>
        <v>7039</v>
      </c>
      <c r="Y682" s="23" t="s">
        <v>56</v>
      </c>
      <c r="Z682" s="23" t="s">
        <v>57</v>
      </c>
      <c r="AA682" s="23">
        <f t="shared" si="263"/>
        <v>29002</v>
      </c>
      <c r="AB682" s="23">
        <v>6622329</v>
      </c>
      <c r="AD682" s="23">
        <v>29</v>
      </c>
      <c r="AE682" s="23">
        <f t="shared" si="269"/>
        <v>2</v>
      </c>
    </row>
    <row r="683" spans="1:31" s="23" customFormat="1" x14ac:dyDescent="0.45">
      <c r="A683" s="23">
        <f t="shared" si="264"/>
        <v>10029030</v>
      </c>
      <c r="B683" s="23">
        <v>0</v>
      </c>
      <c r="C683" s="23">
        <v>29</v>
      </c>
      <c r="D683" s="23">
        <f t="shared" si="262"/>
        <v>3</v>
      </c>
      <c r="E683" s="23" t="s">
        <v>878</v>
      </c>
      <c r="F683" t="s">
        <v>989</v>
      </c>
      <c r="G683" s="55" t="s">
        <v>139</v>
      </c>
      <c r="H683" s="55">
        <v>29</v>
      </c>
      <c r="I683" s="55" t="s">
        <v>63</v>
      </c>
      <c r="J683" s="23" t="str">
        <f t="shared" si="265"/>
        <v>升级瞭望塔至29级</v>
      </c>
      <c r="K683" s="23">
        <f t="shared" si="266"/>
        <v>10029030</v>
      </c>
      <c r="L683" s="23" t="s">
        <v>879</v>
      </c>
      <c r="M683" s="23">
        <f t="shared" si="268"/>
        <v>10801020</v>
      </c>
      <c r="N683" s="23" t="s">
        <v>254</v>
      </c>
      <c r="O683" s="23" t="s">
        <v>52</v>
      </c>
      <c r="P683" s="4" t="s">
        <v>491</v>
      </c>
      <c r="Q683" s="23" t="s">
        <v>52</v>
      </c>
      <c r="R683" s="23" t="s">
        <v>140</v>
      </c>
      <c r="S683" s="24" t="str">
        <f t="shared" si="267"/>
        <v>buildingLevelUp{buildingType:226,buildingLevel:29}</v>
      </c>
      <c r="T683" s="24" t="s">
        <v>52</v>
      </c>
      <c r="U683" s="23" t="s">
        <v>881</v>
      </c>
      <c r="V683" s="24" t="s">
        <v>449</v>
      </c>
      <c r="W683" s="23">
        <f>VLOOKUP(V683,[1]界面跳转!$I:$J,2,FALSE)</f>
        <v>7049</v>
      </c>
      <c r="Y683" s="23" t="s">
        <v>56</v>
      </c>
      <c r="Z683" s="23" t="s">
        <v>57</v>
      </c>
      <c r="AA683" s="23">
        <f t="shared" si="263"/>
        <v>29003</v>
      </c>
      <c r="AB683" s="23">
        <v>6622329</v>
      </c>
      <c r="AD683" s="23">
        <v>29</v>
      </c>
      <c r="AE683" s="23">
        <f t="shared" si="269"/>
        <v>3</v>
      </c>
    </row>
    <row r="684" spans="1:31" s="23" customFormat="1" x14ac:dyDescent="0.45">
      <c r="A684" s="23">
        <f t="shared" si="264"/>
        <v>10029040</v>
      </c>
      <c r="B684" s="23">
        <v>0</v>
      </c>
      <c r="C684" s="23">
        <v>29</v>
      </c>
      <c r="D684" s="23">
        <f t="shared" si="262"/>
        <v>4</v>
      </c>
      <c r="E684" s="23" t="s">
        <v>878</v>
      </c>
      <c r="F684" s="23" t="s">
        <v>990</v>
      </c>
      <c r="G684" s="55" t="s">
        <v>883</v>
      </c>
      <c r="H684" s="55">
        <v>29</v>
      </c>
      <c r="I684" s="55" t="s">
        <v>63</v>
      </c>
      <c r="J684" s="23" t="str">
        <f t="shared" si="265"/>
        <v>升级2个防卫塔至29级</v>
      </c>
      <c r="K684" s="23">
        <f t="shared" si="266"/>
        <v>10029040</v>
      </c>
      <c r="L684" s="23" t="s">
        <v>879</v>
      </c>
      <c r="M684" s="23">
        <f t="shared" si="268"/>
        <v>10801020</v>
      </c>
      <c r="N684" s="23" t="s">
        <v>254</v>
      </c>
      <c r="O684" s="23" t="s">
        <v>52</v>
      </c>
      <c r="P684" s="4" t="s">
        <v>491</v>
      </c>
      <c r="Q684" s="23" t="s">
        <v>52</v>
      </c>
      <c r="R684" s="23" t="s">
        <v>884</v>
      </c>
      <c r="S684" s="24" t="str">
        <f t="shared" si="267"/>
        <v>buildingLevelUp{buildingType:227,buildingLevel:29}</v>
      </c>
      <c r="T684" s="24" t="s">
        <v>52</v>
      </c>
      <c r="U684" s="23" t="s">
        <v>885</v>
      </c>
      <c r="V684" s="24" t="s">
        <v>886</v>
      </c>
      <c r="W684" s="23">
        <f>VLOOKUP(V684,[1]界面跳转!$I:$J,2,FALSE)</f>
        <v>7051</v>
      </c>
      <c r="Y684" s="23" t="s">
        <v>56</v>
      </c>
      <c r="Z684" s="23" t="s">
        <v>57</v>
      </c>
      <c r="AA684" s="23">
        <f t="shared" si="263"/>
        <v>29004</v>
      </c>
      <c r="AB684" s="23">
        <v>6622329</v>
      </c>
      <c r="AD684" s="23">
        <v>29</v>
      </c>
      <c r="AE684" s="23">
        <f t="shared" si="269"/>
        <v>4</v>
      </c>
    </row>
    <row r="685" spans="1:31" s="23" customFormat="1" x14ac:dyDescent="0.45">
      <c r="A685" s="23">
        <f t="shared" si="264"/>
        <v>10029050</v>
      </c>
      <c r="B685" s="23">
        <v>0</v>
      </c>
      <c r="C685" s="23">
        <v>29</v>
      </c>
      <c r="D685" s="23">
        <f t="shared" si="262"/>
        <v>5</v>
      </c>
      <c r="E685" s="23" t="s">
        <v>878</v>
      </c>
      <c r="F685" t="s">
        <v>991</v>
      </c>
      <c r="G685" s="55" t="s">
        <v>319</v>
      </c>
      <c r="H685" s="55">
        <v>29</v>
      </c>
      <c r="I685" s="55" t="s">
        <v>63</v>
      </c>
      <c r="J685" s="23" t="str">
        <f t="shared" si="265"/>
        <v>升级大使馆至29级</v>
      </c>
      <c r="K685" s="23">
        <f t="shared" si="266"/>
        <v>10029050</v>
      </c>
      <c r="L685" s="23" t="s">
        <v>879</v>
      </c>
      <c r="M685" s="23">
        <f t="shared" si="268"/>
        <v>10801020</v>
      </c>
      <c r="N685" s="23" t="s">
        <v>254</v>
      </c>
      <c r="O685" s="23" t="s">
        <v>52</v>
      </c>
      <c r="P685" s="4" t="s">
        <v>491</v>
      </c>
      <c r="Q685" s="23" t="s">
        <v>52</v>
      </c>
      <c r="R685" s="23" t="s">
        <v>320</v>
      </c>
      <c r="S685" s="24" t="str">
        <f t="shared" si="267"/>
        <v>buildingLevelUp{buildingType:230,buildingLevel:29}</v>
      </c>
      <c r="T685" s="24" t="s">
        <v>52</v>
      </c>
      <c r="U685" s="23" t="s">
        <v>893</v>
      </c>
      <c r="V685" s="24" t="s">
        <v>322</v>
      </c>
      <c r="W685" s="23">
        <f>VLOOKUP(V685,[1]界面跳转!$I:$J,2,FALSE)</f>
        <v>7055</v>
      </c>
      <c r="Y685" s="23" t="s">
        <v>56</v>
      </c>
      <c r="Z685" s="23" t="s">
        <v>57</v>
      </c>
      <c r="AA685" s="23">
        <f t="shared" si="263"/>
        <v>29005</v>
      </c>
      <c r="AB685" s="23">
        <v>6622329</v>
      </c>
      <c r="AD685" s="23">
        <v>29</v>
      </c>
      <c r="AE685" s="23">
        <f t="shared" si="269"/>
        <v>5</v>
      </c>
    </row>
    <row r="686" spans="1:31" s="23" customFormat="1" x14ac:dyDescent="0.45">
      <c r="A686" s="23">
        <f t="shared" si="264"/>
        <v>10029060</v>
      </c>
      <c r="B686" s="23">
        <v>0</v>
      </c>
      <c r="C686" s="23">
        <v>29</v>
      </c>
      <c r="D686" s="23">
        <f t="shared" si="262"/>
        <v>6</v>
      </c>
      <c r="E686" s="23" t="s">
        <v>878</v>
      </c>
      <c r="F686" t="s">
        <v>992</v>
      </c>
      <c r="G686" s="55" t="s">
        <v>288</v>
      </c>
      <c r="H686" s="55">
        <v>29</v>
      </c>
      <c r="I686" s="55" t="s">
        <v>63</v>
      </c>
      <c r="J686" s="23" t="str">
        <f t="shared" si="265"/>
        <v>升级战争大厅至29级</v>
      </c>
      <c r="K686" s="23">
        <f t="shared" si="266"/>
        <v>10029060</v>
      </c>
      <c r="L686" s="23" t="s">
        <v>879</v>
      </c>
      <c r="M686" s="23">
        <f t="shared" si="268"/>
        <v>10801020</v>
      </c>
      <c r="N686" s="23" t="s">
        <v>254</v>
      </c>
      <c r="O686" s="23" t="s">
        <v>52</v>
      </c>
      <c r="P686" s="4" t="s">
        <v>491</v>
      </c>
      <c r="Q686" s="23" t="s">
        <v>52</v>
      </c>
      <c r="R686" s="23" t="s">
        <v>289</v>
      </c>
      <c r="S686" s="24" t="str">
        <f t="shared" si="267"/>
        <v>buildingLevelUp{buildingType:229,buildingLevel:29}</v>
      </c>
      <c r="T686" s="24" t="s">
        <v>52</v>
      </c>
      <c r="U686" s="23" t="s">
        <v>290</v>
      </c>
      <c r="V686" s="24" t="s">
        <v>291</v>
      </c>
      <c r="W686" s="23">
        <f>VLOOKUP(V686,[1]界面跳转!$I:$J,2,FALSE)</f>
        <v>7052</v>
      </c>
      <c r="Y686" s="23" t="s">
        <v>56</v>
      </c>
      <c r="Z686" s="23" t="s">
        <v>57</v>
      </c>
      <c r="AA686" s="23">
        <f t="shared" si="263"/>
        <v>29006</v>
      </c>
      <c r="AB686" s="23">
        <v>6622329</v>
      </c>
      <c r="AD686" s="23">
        <v>29</v>
      </c>
      <c r="AE686" s="23">
        <f t="shared" si="269"/>
        <v>6</v>
      </c>
    </row>
    <row r="687" spans="1:31" s="23" customFormat="1" x14ac:dyDescent="0.45">
      <c r="A687" s="23">
        <f t="shared" si="264"/>
        <v>10030010</v>
      </c>
      <c r="B687" s="23">
        <v>0</v>
      </c>
      <c r="C687" s="23">
        <v>30</v>
      </c>
      <c r="D687" s="23">
        <f t="shared" si="262"/>
        <v>1</v>
      </c>
      <c r="E687" s="23" t="s">
        <v>878</v>
      </c>
      <c r="F687" t="s">
        <v>993</v>
      </c>
      <c r="G687" s="55" t="s">
        <v>268</v>
      </c>
      <c r="H687" s="55">
        <v>30</v>
      </c>
      <c r="I687" s="55" t="s">
        <v>63</v>
      </c>
      <c r="J687" s="23" t="str">
        <f t="shared" si="265"/>
        <v>升级市集至30级</v>
      </c>
      <c r="K687" s="23">
        <f t="shared" si="266"/>
        <v>10030010</v>
      </c>
      <c r="L687" s="23" t="s">
        <v>879</v>
      </c>
      <c r="M687" s="23">
        <f t="shared" si="268"/>
        <v>10801020</v>
      </c>
      <c r="N687" s="23" t="s">
        <v>254</v>
      </c>
      <c r="O687" s="23" t="s">
        <v>52</v>
      </c>
      <c r="P687" s="4" t="s">
        <v>491</v>
      </c>
      <c r="Q687" s="23" t="s">
        <v>52</v>
      </c>
      <c r="R687" s="23" t="s">
        <v>269</v>
      </c>
      <c r="S687" s="24" t="str">
        <f t="shared" si="267"/>
        <v>buildingLevelUp{buildingType:231,buildingLevel:30}</v>
      </c>
      <c r="T687" s="24" t="s">
        <v>52</v>
      </c>
      <c r="U687" s="23" t="s">
        <v>895</v>
      </c>
      <c r="V687" s="24" t="s">
        <v>271</v>
      </c>
      <c r="W687" s="23">
        <f>VLOOKUP(V687,[1]界面跳转!$I:$J,2,FALSE)</f>
        <v>7058</v>
      </c>
      <c r="Y687" s="23" t="s">
        <v>56</v>
      </c>
      <c r="Z687" s="23" t="s">
        <v>57</v>
      </c>
      <c r="AA687" s="23">
        <f t="shared" si="263"/>
        <v>30001</v>
      </c>
      <c r="AB687" s="23">
        <v>6622330</v>
      </c>
      <c r="AD687" s="23">
        <v>30</v>
      </c>
      <c r="AE687" s="23">
        <f t="shared" si="269"/>
        <v>1</v>
      </c>
    </row>
    <row r="688" spans="1:31" s="23" customFormat="1" x14ac:dyDescent="0.45">
      <c r="A688" s="23">
        <f t="shared" si="264"/>
        <v>10030020</v>
      </c>
      <c r="B688" s="23">
        <v>0</v>
      </c>
      <c r="C688" s="23">
        <v>30</v>
      </c>
      <c r="D688" s="23">
        <f t="shared" si="262"/>
        <v>2</v>
      </c>
      <c r="E688" s="23" t="s">
        <v>878</v>
      </c>
      <c r="F688" s="23" t="s">
        <v>994</v>
      </c>
      <c r="G688" s="55" t="s">
        <v>106</v>
      </c>
      <c r="H688" s="55">
        <v>30</v>
      </c>
      <c r="I688" s="55" t="s">
        <v>63</v>
      </c>
      <c r="J688" s="23" t="str">
        <f t="shared" si="265"/>
        <v>升级城墙至30级</v>
      </c>
      <c r="K688" s="23">
        <f t="shared" si="266"/>
        <v>10030020</v>
      </c>
      <c r="L688" s="23" t="s">
        <v>879</v>
      </c>
      <c r="M688" s="23">
        <f t="shared" si="268"/>
        <v>10801020</v>
      </c>
      <c r="N688" s="23" t="s">
        <v>254</v>
      </c>
      <c r="O688" s="23" t="s">
        <v>52</v>
      </c>
      <c r="P688" s="4" t="s">
        <v>491</v>
      </c>
      <c r="Q688" s="23" t="s">
        <v>52</v>
      </c>
      <c r="R688" s="23" t="s">
        <v>107</v>
      </c>
      <c r="S688" s="24" t="str">
        <f t="shared" si="267"/>
        <v>buildingLevelUp{buildingType:215,buildingLevel:30}</v>
      </c>
      <c r="T688" s="24" t="s">
        <v>52</v>
      </c>
      <c r="U688" s="23" t="s">
        <v>880</v>
      </c>
      <c r="V688" s="24" t="s">
        <v>249</v>
      </c>
      <c r="W688" s="23">
        <f>VLOOKUP(V688,[1]界面跳转!$I:$J,2,FALSE)</f>
        <v>7039</v>
      </c>
      <c r="Y688" s="23" t="s">
        <v>56</v>
      </c>
      <c r="Z688" s="23" t="s">
        <v>57</v>
      </c>
      <c r="AA688" s="23">
        <f t="shared" si="263"/>
        <v>30002</v>
      </c>
      <c r="AB688" s="23">
        <v>6622330</v>
      </c>
      <c r="AD688" s="23">
        <v>30</v>
      </c>
      <c r="AE688" s="23">
        <f t="shared" si="269"/>
        <v>2</v>
      </c>
    </row>
    <row r="689" spans="1:31" s="23" customFormat="1" x14ac:dyDescent="0.45">
      <c r="A689" s="23">
        <f t="shared" si="264"/>
        <v>10030030</v>
      </c>
      <c r="B689" s="23">
        <v>0</v>
      </c>
      <c r="C689" s="23">
        <v>30</v>
      </c>
      <c r="D689" s="23">
        <f t="shared" si="262"/>
        <v>3</v>
      </c>
      <c r="E689" s="23" t="s">
        <v>878</v>
      </c>
      <c r="F689" t="s">
        <v>995</v>
      </c>
      <c r="G689" s="55" t="s">
        <v>139</v>
      </c>
      <c r="H689" s="55">
        <v>30</v>
      </c>
      <c r="I689" s="55" t="s">
        <v>63</v>
      </c>
      <c r="J689" s="23" t="str">
        <f t="shared" si="265"/>
        <v>升级瞭望塔至30级</v>
      </c>
      <c r="K689" s="23">
        <f t="shared" si="266"/>
        <v>10030030</v>
      </c>
      <c r="L689" s="23" t="s">
        <v>879</v>
      </c>
      <c r="M689" s="23">
        <f t="shared" si="268"/>
        <v>10801020</v>
      </c>
      <c r="N689" s="23" t="s">
        <v>254</v>
      </c>
      <c r="O689" s="23" t="s">
        <v>52</v>
      </c>
      <c r="P689" s="4" t="s">
        <v>491</v>
      </c>
      <c r="Q689" s="23" t="s">
        <v>52</v>
      </c>
      <c r="R689" s="23" t="s">
        <v>140</v>
      </c>
      <c r="S689" s="24" t="str">
        <f t="shared" si="267"/>
        <v>buildingLevelUp{buildingType:226,buildingLevel:30}</v>
      </c>
      <c r="T689" s="24" t="s">
        <v>52</v>
      </c>
      <c r="U689" s="23" t="s">
        <v>881</v>
      </c>
      <c r="V689" s="24" t="s">
        <v>449</v>
      </c>
      <c r="W689" s="23">
        <f>VLOOKUP(V689,[1]界面跳转!$I:$J,2,FALSE)</f>
        <v>7049</v>
      </c>
      <c r="Y689" s="23" t="s">
        <v>56</v>
      </c>
      <c r="Z689" s="23" t="s">
        <v>57</v>
      </c>
      <c r="AA689" s="23">
        <f t="shared" si="263"/>
        <v>30003</v>
      </c>
      <c r="AB689" s="23">
        <v>6622330</v>
      </c>
      <c r="AD689" s="23">
        <v>30</v>
      </c>
      <c r="AE689" s="23">
        <f t="shared" si="269"/>
        <v>3</v>
      </c>
    </row>
    <row r="690" spans="1:31" s="23" customFormat="1" x14ac:dyDescent="0.45">
      <c r="A690" s="23">
        <f t="shared" si="264"/>
        <v>10030040</v>
      </c>
      <c r="B690" s="23">
        <v>0</v>
      </c>
      <c r="C690" s="23">
        <v>30</v>
      </c>
      <c r="D690" s="23">
        <f t="shared" si="262"/>
        <v>4</v>
      </c>
      <c r="E690" s="23" t="s">
        <v>878</v>
      </c>
      <c r="F690" s="23" t="s">
        <v>996</v>
      </c>
      <c r="G690" s="55" t="s">
        <v>883</v>
      </c>
      <c r="H690" s="55">
        <v>30</v>
      </c>
      <c r="I690" s="55" t="s">
        <v>63</v>
      </c>
      <c r="J690" s="23" t="str">
        <f t="shared" si="265"/>
        <v>升级2个防卫塔至30级</v>
      </c>
      <c r="K690" s="23">
        <f t="shared" si="266"/>
        <v>10030040</v>
      </c>
      <c r="L690" s="23" t="s">
        <v>879</v>
      </c>
      <c r="M690" s="23">
        <f t="shared" si="268"/>
        <v>10801020</v>
      </c>
      <c r="N690" s="23" t="s">
        <v>254</v>
      </c>
      <c r="O690" s="23" t="s">
        <v>52</v>
      </c>
      <c r="P690" s="4" t="s">
        <v>491</v>
      </c>
      <c r="Q690" s="23" t="s">
        <v>52</v>
      </c>
      <c r="R690" s="23" t="s">
        <v>884</v>
      </c>
      <c r="S690" s="24" t="str">
        <f t="shared" si="267"/>
        <v>buildingLevelUp{buildingType:227,buildingLevel:30}</v>
      </c>
      <c r="T690" s="24" t="s">
        <v>52</v>
      </c>
      <c r="U690" s="23" t="s">
        <v>885</v>
      </c>
      <c r="V690" s="24" t="s">
        <v>886</v>
      </c>
      <c r="W690" s="23">
        <f>VLOOKUP(V690,[1]界面跳转!$I:$J,2,FALSE)</f>
        <v>7051</v>
      </c>
      <c r="Y690" s="23" t="s">
        <v>56</v>
      </c>
      <c r="Z690" s="23" t="s">
        <v>57</v>
      </c>
      <c r="AA690" s="23">
        <f t="shared" si="263"/>
        <v>30004</v>
      </c>
      <c r="AB690" s="23">
        <v>6622330</v>
      </c>
      <c r="AD690" s="23">
        <v>30</v>
      </c>
      <c r="AE690" s="23">
        <f t="shared" si="269"/>
        <v>4</v>
      </c>
    </row>
    <row r="691" spans="1:31" s="23" customFormat="1" x14ac:dyDescent="0.45">
      <c r="A691" s="23">
        <f t="shared" si="264"/>
        <v>10030050</v>
      </c>
      <c r="B691" s="23">
        <v>0</v>
      </c>
      <c r="C691" s="23">
        <v>30</v>
      </c>
      <c r="D691" s="23">
        <f t="shared" si="262"/>
        <v>5</v>
      </c>
      <c r="E691" s="23" t="s">
        <v>878</v>
      </c>
      <c r="F691" t="s">
        <v>997</v>
      </c>
      <c r="G691" s="55" t="s">
        <v>319</v>
      </c>
      <c r="H691" s="55">
        <v>30</v>
      </c>
      <c r="I691" s="55" t="s">
        <v>63</v>
      </c>
      <c r="J691" s="23" t="str">
        <f t="shared" si="265"/>
        <v>升级大使馆至30级</v>
      </c>
      <c r="K691" s="23">
        <f t="shared" si="266"/>
        <v>10030050</v>
      </c>
      <c r="L691" s="23" t="s">
        <v>879</v>
      </c>
      <c r="M691" s="23">
        <f t="shared" si="268"/>
        <v>10801020</v>
      </c>
      <c r="N691" s="23" t="s">
        <v>254</v>
      </c>
      <c r="O691" s="23" t="s">
        <v>52</v>
      </c>
      <c r="P691" s="4" t="s">
        <v>491</v>
      </c>
      <c r="Q691" s="23" t="s">
        <v>52</v>
      </c>
      <c r="R691" s="23" t="s">
        <v>320</v>
      </c>
      <c r="S691" s="24" t="str">
        <f t="shared" si="267"/>
        <v>buildingLevelUp{buildingType:230,buildingLevel:30}</v>
      </c>
      <c r="T691" s="24" t="s">
        <v>52</v>
      </c>
      <c r="U691" s="23" t="s">
        <v>893</v>
      </c>
      <c r="V691" s="24" t="s">
        <v>322</v>
      </c>
      <c r="W691" s="23">
        <f>VLOOKUP(V691,[1]界面跳转!$I:$J,2,FALSE)</f>
        <v>7055</v>
      </c>
      <c r="Y691" s="23" t="s">
        <v>56</v>
      </c>
      <c r="Z691" s="23" t="s">
        <v>57</v>
      </c>
      <c r="AA691" s="23">
        <f t="shared" si="263"/>
        <v>30005</v>
      </c>
      <c r="AB691" s="23">
        <v>6622330</v>
      </c>
      <c r="AD691" s="23">
        <v>30</v>
      </c>
      <c r="AE691" s="23">
        <f t="shared" si="269"/>
        <v>5</v>
      </c>
    </row>
    <row r="692" spans="1:31" s="23" customFormat="1" x14ac:dyDescent="0.45">
      <c r="A692" s="23">
        <f t="shared" si="264"/>
        <v>10030060</v>
      </c>
      <c r="B692" s="23">
        <v>0</v>
      </c>
      <c r="C692" s="23">
        <v>30</v>
      </c>
      <c r="D692" s="23">
        <f t="shared" si="262"/>
        <v>6</v>
      </c>
      <c r="E692" s="23" t="s">
        <v>878</v>
      </c>
      <c r="F692" t="s">
        <v>998</v>
      </c>
      <c r="G692" s="55" t="s">
        <v>288</v>
      </c>
      <c r="H692" s="55">
        <v>30</v>
      </c>
      <c r="I692" s="55" t="s">
        <v>63</v>
      </c>
      <c r="J692" s="23" t="str">
        <f t="shared" si="265"/>
        <v>升级战争大厅至30级</v>
      </c>
      <c r="K692" s="23">
        <f t="shared" si="266"/>
        <v>10030060</v>
      </c>
      <c r="L692" s="23" t="s">
        <v>879</v>
      </c>
      <c r="M692" s="23">
        <f t="shared" si="268"/>
        <v>10801020</v>
      </c>
      <c r="N692" s="23" t="s">
        <v>254</v>
      </c>
      <c r="O692" s="23" t="s">
        <v>52</v>
      </c>
      <c r="P692" s="4" t="s">
        <v>491</v>
      </c>
      <c r="Q692" s="23" t="s">
        <v>52</v>
      </c>
      <c r="R692" s="23" t="s">
        <v>289</v>
      </c>
      <c r="S692" s="24" t="str">
        <f t="shared" si="267"/>
        <v>buildingLevelUp{buildingType:229,buildingLevel:30}</v>
      </c>
      <c r="T692" s="24" t="s">
        <v>52</v>
      </c>
      <c r="U692" s="23" t="s">
        <v>290</v>
      </c>
      <c r="V692" s="24" t="s">
        <v>291</v>
      </c>
      <c r="W692" s="23">
        <f>VLOOKUP(V692,[1]界面跳转!$I:$J,2,FALSE)</f>
        <v>7052</v>
      </c>
      <c r="Y692" s="23" t="s">
        <v>56</v>
      </c>
      <c r="Z692" s="23" t="s">
        <v>57</v>
      </c>
      <c r="AA692" s="23">
        <f t="shared" si="263"/>
        <v>30006</v>
      </c>
      <c r="AB692" s="23">
        <v>6622330</v>
      </c>
      <c r="AD692" s="23">
        <v>30</v>
      </c>
      <c r="AE692" s="23">
        <f t="shared" si="269"/>
        <v>6</v>
      </c>
    </row>
    <row r="693" spans="1:31" s="25" customFormat="1" x14ac:dyDescent="0.45">
      <c r="A693" s="25">
        <f t="shared" ref="A693:A710" si="270">10000000+B693*100000+C693*1000+D693*10</f>
        <v>10033010</v>
      </c>
      <c r="B693" s="25">
        <v>0</v>
      </c>
      <c r="C693" s="25">
        <v>33</v>
      </c>
      <c r="D693" s="25">
        <v>1</v>
      </c>
      <c r="E693" s="25" t="s">
        <v>555</v>
      </c>
      <c r="F693" s="25" t="s">
        <v>3104</v>
      </c>
      <c r="G693" s="60" t="s">
        <v>3102</v>
      </c>
      <c r="H693" s="25">
        <v>3</v>
      </c>
      <c r="I693" s="60" t="s">
        <v>3103</v>
      </c>
      <c r="J693" s="25" t="str">
        <f t="shared" ref="J693:J710" si="271">G693&amp;H693&amp;I693</f>
        <v>探照灯等级到达3级</v>
      </c>
      <c r="K693" s="25">
        <f t="shared" ref="K693:K710" si="272">A693</f>
        <v>10033010</v>
      </c>
      <c r="L693" s="25" t="s">
        <v>515</v>
      </c>
      <c r="M693" s="25">
        <v>10001170</v>
      </c>
      <c r="N693" s="60" t="s">
        <v>3144</v>
      </c>
      <c r="O693" s="25" t="s">
        <v>52</v>
      </c>
      <c r="P693" s="4" t="str">
        <f t="shared" ref="P693:P730" si="273">SUBSTITUTE(N693,"@@@",M693)</f>
        <v>taskReward{taskId:10001170}</v>
      </c>
      <c r="Q693" s="25" t="s">
        <v>52</v>
      </c>
      <c r="R693" s="60" t="s">
        <v>3143</v>
      </c>
      <c r="S693" s="52" t="str">
        <f t="shared" ref="S693:S710" si="274">SUBSTITUTE(R693,"@@@",H693)</f>
        <v xml:space="preserve">explorationLevel { level: 3 } </v>
      </c>
      <c r="T693" s="52" t="s">
        <v>52</v>
      </c>
      <c r="U693" s="52"/>
      <c r="V693" s="52"/>
      <c r="W693" s="25">
        <v>100316</v>
      </c>
      <c r="Y693" s="25" t="s">
        <v>56</v>
      </c>
      <c r="Z693" s="25" t="s">
        <v>57</v>
      </c>
      <c r="AA693" s="25">
        <f t="shared" si="263"/>
        <v>33001</v>
      </c>
      <c r="AB693" s="25">
        <v>6622302</v>
      </c>
      <c r="AD693" s="25">
        <v>33</v>
      </c>
      <c r="AE693" s="23">
        <f>IF(AD693=AD692,AE692+1,1)</f>
        <v>1</v>
      </c>
    </row>
    <row r="694" spans="1:31" s="25" customFormat="1" x14ac:dyDescent="0.45">
      <c r="A694" s="25">
        <f t="shared" si="270"/>
        <v>10033020</v>
      </c>
      <c r="B694" s="25">
        <v>0</v>
      </c>
      <c r="C694" s="25">
        <v>33</v>
      </c>
      <c r="D694" s="25">
        <f t="shared" ref="D694:D710" si="275">IF(C694=C693,D693+1,1)</f>
        <v>2</v>
      </c>
      <c r="E694" s="25" t="s">
        <v>555</v>
      </c>
      <c r="F694" s="25" t="s">
        <v>3105</v>
      </c>
      <c r="G694" s="60" t="s">
        <v>3102</v>
      </c>
      <c r="H694" s="25">
        <v>4</v>
      </c>
      <c r="I694" s="60" t="s">
        <v>3103</v>
      </c>
      <c r="J694" s="25" t="str">
        <f t="shared" si="271"/>
        <v>探照灯等级到达4级</v>
      </c>
      <c r="K694" s="25">
        <f t="shared" si="272"/>
        <v>10033020</v>
      </c>
      <c r="L694" s="25" t="s">
        <v>515</v>
      </c>
      <c r="M694" s="25">
        <v>10001170</v>
      </c>
      <c r="N694" s="60" t="s">
        <v>3144</v>
      </c>
      <c r="O694" s="25" t="s">
        <v>52</v>
      </c>
      <c r="P694" s="4" t="str">
        <f t="shared" si="273"/>
        <v>taskReward{taskId:10001170}</v>
      </c>
      <c r="Q694" s="25" t="s">
        <v>52</v>
      </c>
      <c r="R694" s="60" t="s">
        <v>3143</v>
      </c>
      <c r="S694" s="52" t="str">
        <f t="shared" si="274"/>
        <v xml:space="preserve">explorationLevel { level: 4 } </v>
      </c>
      <c r="T694" s="52" t="s">
        <v>52</v>
      </c>
      <c r="U694" s="52"/>
      <c r="V694" s="52"/>
      <c r="W694" s="25">
        <v>100316</v>
      </c>
      <c r="Y694" s="25" t="s">
        <v>56</v>
      </c>
      <c r="Z694" s="25" t="s">
        <v>57</v>
      </c>
      <c r="AA694" s="25">
        <f t="shared" si="263"/>
        <v>33002</v>
      </c>
      <c r="AB694" s="25">
        <v>6622303</v>
      </c>
      <c r="AD694" s="25">
        <v>33</v>
      </c>
      <c r="AE694" s="25">
        <f t="shared" ref="AE694:AE710" si="276">IF(AD694=AD693,AE693+1,1)</f>
        <v>2</v>
      </c>
    </row>
    <row r="695" spans="1:31" s="25" customFormat="1" x14ac:dyDescent="0.45">
      <c r="A695" s="25">
        <f t="shared" si="270"/>
        <v>10033030</v>
      </c>
      <c r="B695" s="25">
        <v>0</v>
      </c>
      <c r="C695" s="25">
        <v>33</v>
      </c>
      <c r="D695" s="25">
        <f t="shared" si="275"/>
        <v>3</v>
      </c>
      <c r="E695" s="25" t="s">
        <v>555</v>
      </c>
      <c r="F695" s="25" t="s">
        <v>3106</v>
      </c>
      <c r="G695" s="60" t="s">
        <v>3102</v>
      </c>
      <c r="H695" s="25">
        <v>5</v>
      </c>
      <c r="I695" s="60" t="s">
        <v>3103</v>
      </c>
      <c r="J695" s="25" t="str">
        <f t="shared" si="271"/>
        <v>探照灯等级到达5级</v>
      </c>
      <c r="K695" s="25">
        <f t="shared" si="272"/>
        <v>10033030</v>
      </c>
      <c r="L695" s="25" t="s">
        <v>515</v>
      </c>
      <c r="M695" s="25">
        <v>10001170</v>
      </c>
      <c r="N695" s="60" t="s">
        <v>3144</v>
      </c>
      <c r="O695" s="25" t="s">
        <v>52</v>
      </c>
      <c r="P695" s="4" t="str">
        <f t="shared" si="273"/>
        <v>taskReward{taskId:10001170}</v>
      </c>
      <c r="Q695" s="25" t="s">
        <v>52</v>
      </c>
      <c r="R695" s="60" t="s">
        <v>3143</v>
      </c>
      <c r="S695" s="52" t="str">
        <f t="shared" si="274"/>
        <v xml:space="preserve">explorationLevel { level: 5 } </v>
      </c>
      <c r="T695" s="52" t="s">
        <v>52</v>
      </c>
      <c r="U695" s="52"/>
      <c r="V695" s="52"/>
      <c r="W695" s="25">
        <v>100316</v>
      </c>
      <c r="Y695" s="25" t="s">
        <v>56</v>
      </c>
      <c r="Z695" s="25" t="s">
        <v>57</v>
      </c>
      <c r="AA695" s="25">
        <f t="shared" si="263"/>
        <v>33003</v>
      </c>
      <c r="AB695" s="25">
        <v>6622304</v>
      </c>
      <c r="AD695" s="25">
        <v>33</v>
      </c>
      <c r="AE695" s="25">
        <f t="shared" si="276"/>
        <v>3</v>
      </c>
    </row>
    <row r="696" spans="1:31" s="25" customFormat="1" x14ac:dyDescent="0.45">
      <c r="A696" s="25">
        <f t="shared" si="270"/>
        <v>10033040</v>
      </c>
      <c r="B696" s="25">
        <v>0</v>
      </c>
      <c r="C696" s="25">
        <v>33</v>
      </c>
      <c r="D696" s="25">
        <f t="shared" si="275"/>
        <v>4</v>
      </c>
      <c r="E696" s="25" t="s">
        <v>555</v>
      </c>
      <c r="F696" s="25" t="s">
        <v>3107</v>
      </c>
      <c r="G696" s="60" t="s">
        <v>3102</v>
      </c>
      <c r="H696" s="25">
        <v>6</v>
      </c>
      <c r="I696" s="60" t="s">
        <v>3103</v>
      </c>
      <c r="J696" s="25" t="str">
        <f t="shared" si="271"/>
        <v>探照灯等级到达6级</v>
      </c>
      <c r="K696" s="25">
        <f t="shared" si="272"/>
        <v>10033040</v>
      </c>
      <c r="L696" s="25" t="s">
        <v>515</v>
      </c>
      <c r="M696" s="25">
        <v>10001170</v>
      </c>
      <c r="N696" s="60" t="s">
        <v>3144</v>
      </c>
      <c r="O696" s="25" t="s">
        <v>52</v>
      </c>
      <c r="P696" s="4" t="str">
        <f t="shared" si="273"/>
        <v>taskReward{taskId:10001170}</v>
      </c>
      <c r="Q696" s="25" t="s">
        <v>52</v>
      </c>
      <c r="R696" s="60" t="s">
        <v>3143</v>
      </c>
      <c r="S696" s="52" t="str">
        <f t="shared" si="274"/>
        <v xml:space="preserve">explorationLevel { level: 6 } </v>
      </c>
      <c r="T696" s="52" t="s">
        <v>52</v>
      </c>
      <c r="U696" s="52"/>
      <c r="V696" s="52"/>
      <c r="W696" s="25">
        <v>100316</v>
      </c>
      <c r="Y696" s="25" t="s">
        <v>56</v>
      </c>
      <c r="Z696" s="25" t="s">
        <v>57</v>
      </c>
      <c r="AA696" s="25">
        <f t="shared" si="263"/>
        <v>33004</v>
      </c>
      <c r="AB696" s="25">
        <v>6622305</v>
      </c>
      <c r="AD696" s="25">
        <v>33</v>
      </c>
      <c r="AE696" s="25">
        <f t="shared" si="276"/>
        <v>4</v>
      </c>
    </row>
    <row r="697" spans="1:31" s="25" customFormat="1" x14ac:dyDescent="0.45">
      <c r="A697" s="25">
        <f t="shared" si="270"/>
        <v>10033050</v>
      </c>
      <c r="B697" s="25">
        <v>0</v>
      </c>
      <c r="C697" s="25">
        <v>33</v>
      </c>
      <c r="D697" s="25">
        <f t="shared" si="275"/>
        <v>5</v>
      </c>
      <c r="E697" s="25" t="s">
        <v>555</v>
      </c>
      <c r="F697" s="25" t="s">
        <v>3108</v>
      </c>
      <c r="G697" s="60" t="s">
        <v>3102</v>
      </c>
      <c r="H697" s="25">
        <v>7</v>
      </c>
      <c r="I697" s="60" t="s">
        <v>3103</v>
      </c>
      <c r="J697" s="25" t="str">
        <f t="shared" si="271"/>
        <v>探照灯等级到达7级</v>
      </c>
      <c r="K697" s="25">
        <f t="shared" si="272"/>
        <v>10033050</v>
      </c>
      <c r="L697" s="25" t="s">
        <v>515</v>
      </c>
      <c r="M697" s="25">
        <v>10001170</v>
      </c>
      <c r="N697" s="60" t="s">
        <v>3144</v>
      </c>
      <c r="O697" s="25" t="s">
        <v>52</v>
      </c>
      <c r="P697" s="4" t="str">
        <f t="shared" si="273"/>
        <v>taskReward{taskId:10001170}</v>
      </c>
      <c r="Q697" s="25" t="s">
        <v>52</v>
      </c>
      <c r="R697" s="60" t="s">
        <v>3143</v>
      </c>
      <c r="S697" s="52" t="str">
        <f t="shared" si="274"/>
        <v xml:space="preserve">explorationLevel { level: 7 } </v>
      </c>
      <c r="T697" s="52" t="s">
        <v>52</v>
      </c>
      <c r="U697" s="52"/>
      <c r="V697" s="52"/>
      <c r="W697" s="25">
        <v>100316</v>
      </c>
      <c r="Y697" s="25" t="s">
        <v>56</v>
      </c>
      <c r="Z697" s="25" t="s">
        <v>57</v>
      </c>
      <c r="AA697" s="25">
        <f t="shared" si="263"/>
        <v>33005</v>
      </c>
      <c r="AB697" s="25">
        <v>6622306</v>
      </c>
      <c r="AD697" s="25">
        <v>33</v>
      </c>
      <c r="AE697" s="25">
        <f t="shared" si="276"/>
        <v>5</v>
      </c>
    </row>
    <row r="698" spans="1:31" s="25" customFormat="1" x14ac:dyDescent="0.45">
      <c r="A698" s="25">
        <f t="shared" si="270"/>
        <v>10033060</v>
      </c>
      <c r="B698" s="25">
        <v>0</v>
      </c>
      <c r="C698" s="25">
        <v>33</v>
      </c>
      <c r="D698" s="25">
        <f t="shared" si="275"/>
        <v>6</v>
      </c>
      <c r="E698" s="25" t="s">
        <v>555</v>
      </c>
      <c r="F698" s="25" t="s">
        <v>3109</v>
      </c>
      <c r="G698" s="60" t="s">
        <v>3102</v>
      </c>
      <c r="H698" s="25">
        <v>8</v>
      </c>
      <c r="I698" s="60" t="s">
        <v>3103</v>
      </c>
      <c r="J698" s="25" t="str">
        <f t="shared" si="271"/>
        <v>探照灯等级到达8级</v>
      </c>
      <c r="K698" s="25">
        <f t="shared" si="272"/>
        <v>10033060</v>
      </c>
      <c r="L698" s="25" t="s">
        <v>515</v>
      </c>
      <c r="M698" s="25">
        <v>10001170</v>
      </c>
      <c r="N698" s="60" t="s">
        <v>3144</v>
      </c>
      <c r="O698" s="25" t="s">
        <v>52</v>
      </c>
      <c r="P698" s="4" t="str">
        <f t="shared" si="273"/>
        <v>taskReward{taskId:10001170}</v>
      </c>
      <c r="Q698" s="25" t="s">
        <v>52</v>
      </c>
      <c r="R698" s="60" t="s">
        <v>3143</v>
      </c>
      <c r="S698" s="52" t="str">
        <f t="shared" si="274"/>
        <v xml:space="preserve">explorationLevel { level: 8 } </v>
      </c>
      <c r="T698" s="52" t="s">
        <v>52</v>
      </c>
      <c r="U698" s="52"/>
      <c r="V698" s="52"/>
      <c r="W698" s="25">
        <v>100316</v>
      </c>
      <c r="Y698" s="25" t="s">
        <v>56</v>
      </c>
      <c r="Z698" s="25" t="s">
        <v>57</v>
      </c>
      <c r="AA698" s="25">
        <f t="shared" si="263"/>
        <v>33006</v>
      </c>
      <c r="AB698" s="25">
        <v>6622307</v>
      </c>
      <c r="AD698" s="25">
        <v>33</v>
      </c>
      <c r="AE698" s="25">
        <f t="shared" si="276"/>
        <v>6</v>
      </c>
    </row>
    <row r="699" spans="1:31" s="25" customFormat="1" x14ac:dyDescent="0.45">
      <c r="A699" s="25">
        <f t="shared" si="270"/>
        <v>10033070</v>
      </c>
      <c r="B699" s="25">
        <v>0</v>
      </c>
      <c r="C699" s="25">
        <v>33</v>
      </c>
      <c r="D699" s="25">
        <f t="shared" si="275"/>
        <v>7</v>
      </c>
      <c r="E699" s="25" t="s">
        <v>555</v>
      </c>
      <c r="F699" s="25" t="s">
        <v>3110</v>
      </c>
      <c r="G699" s="60" t="s">
        <v>3102</v>
      </c>
      <c r="H699" s="25">
        <v>9</v>
      </c>
      <c r="I699" s="60" t="s">
        <v>3103</v>
      </c>
      <c r="J699" s="25" t="str">
        <f t="shared" si="271"/>
        <v>探照灯等级到达9级</v>
      </c>
      <c r="K699" s="25">
        <f t="shared" si="272"/>
        <v>10033070</v>
      </c>
      <c r="L699" s="25" t="s">
        <v>515</v>
      </c>
      <c r="M699" s="25">
        <v>10001170</v>
      </c>
      <c r="N699" s="60" t="s">
        <v>3144</v>
      </c>
      <c r="O699" s="25" t="s">
        <v>52</v>
      </c>
      <c r="P699" s="4" t="str">
        <f t="shared" si="273"/>
        <v>taskReward{taskId:10001170}</v>
      </c>
      <c r="Q699" s="25" t="s">
        <v>52</v>
      </c>
      <c r="R699" s="60" t="s">
        <v>3143</v>
      </c>
      <c r="S699" s="52" t="str">
        <f t="shared" si="274"/>
        <v xml:space="preserve">explorationLevel { level: 9 } </v>
      </c>
      <c r="T699" s="52" t="s">
        <v>52</v>
      </c>
      <c r="U699" s="52"/>
      <c r="V699" s="52"/>
      <c r="W699" s="25">
        <v>100316</v>
      </c>
      <c r="Y699" s="25" t="s">
        <v>56</v>
      </c>
      <c r="Z699" s="25" t="s">
        <v>57</v>
      </c>
      <c r="AA699" s="25">
        <f t="shared" si="263"/>
        <v>33007</v>
      </c>
      <c r="AB699" s="25">
        <v>6622308</v>
      </c>
      <c r="AD699" s="25">
        <v>33</v>
      </c>
      <c r="AE699" s="25">
        <f t="shared" si="276"/>
        <v>7</v>
      </c>
    </row>
    <row r="700" spans="1:31" s="25" customFormat="1" x14ac:dyDescent="0.45">
      <c r="A700" s="25">
        <f t="shared" si="270"/>
        <v>10033080</v>
      </c>
      <c r="B700" s="25">
        <v>0</v>
      </c>
      <c r="C700" s="25">
        <v>33</v>
      </c>
      <c r="D700" s="25">
        <f t="shared" si="275"/>
        <v>8</v>
      </c>
      <c r="E700" s="25" t="s">
        <v>555</v>
      </c>
      <c r="F700" s="25" t="s">
        <v>3111</v>
      </c>
      <c r="G700" s="60" t="s">
        <v>3102</v>
      </c>
      <c r="H700" s="25">
        <v>10</v>
      </c>
      <c r="I700" s="60" t="s">
        <v>3103</v>
      </c>
      <c r="J700" s="25" t="str">
        <f t="shared" si="271"/>
        <v>探照灯等级到达10级</v>
      </c>
      <c r="K700" s="25">
        <f t="shared" si="272"/>
        <v>10033080</v>
      </c>
      <c r="L700" s="25" t="s">
        <v>515</v>
      </c>
      <c r="M700" s="25">
        <v>10001170</v>
      </c>
      <c r="N700" s="60" t="s">
        <v>3144</v>
      </c>
      <c r="O700" s="25" t="s">
        <v>52</v>
      </c>
      <c r="P700" s="4" t="str">
        <f t="shared" si="273"/>
        <v>taskReward{taskId:10001170}</v>
      </c>
      <c r="Q700" s="25" t="s">
        <v>52</v>
      </c>
      <c r="R700" s="60" t="s">
        <v>3143</v>
      </c>
      <c r="S700" s="52" t="str">
        <f t="shared" si="274"/>
        <v xml:space="preserve">explorationLevel { level: 10 } </v>
      </c>
      <c r="T700" s="52" t="s">
        <v>52</v>
      </c>
      <c r="U700" s="52"/>
      <c r="V700" s="52"/>
      <c r="W700" s="25">
        <v>100316</v>
      </c>
      <c r="Y700" s="25" t="s">
        <v>56</v>
      </c>
      <c r="Z700" s="25" t="s">
        <v>57</v>
      </c>
      <c r="AA700" s="25">
        <f t="shared" si="263"/>
        <v>33008</v>
      </c>
      <c r="AB700" s="25">
        <v>6622309</v>
      </c>
      <c r="AD700" s="25">
        <v>33</v>
      </c>
      <c r="AE700" s="25">
        <f t="shared" si="276"/>
        <v>8</v>
      </c>
    </row>
    <row r="701" spans="1:31" s="25" customFormat="1" x14ac:dyDescent="0.45">
      <c r="A701" s="25">
        <f t="shared" si="270"/>
        <v>10033090</v>
      </c>
      <c r="B701" s="25">
        <v>0</v>
      </c>
      <c r="C701" s="25">
        <v>33</v>
      </c>
      <c r="D701" s="25">
        <f t="shared" si="275"/>
        <v>9</v>
      </c>
      <c r="E701" s="25" t="s">
        <v>555</v>
      </c>
      <c r="F701" s="25" t="s">
        <v>3112</v>
      </c>
      <c r="G701" s="60" t="s">
        <v>3102</v>
      </c>
      <c r="H701" s="25">
        <v>11</v>
      </c>
      <c r="I701" s="60" t="s">
        <v>3103</v>
      </c>
      <c r="J701" s="25" t="str">
        <f t="shared" si="271"/>
        <v>探照灯等级到达11级</v>
      </c>
      <c r="K701" s="25">
        <f t="shared" si="272"/>
        <v>10033090</v>
      </c>
      <c r="L701" s="25" t="s">
        <v>515</v>
      </c>
      <c r="M701" s="25">
        <v>10001170</v>
      </c>
      <c r="N701" s="60" t="s">
        <v>3144</v>
      </c>
      <c r="O701" s="25" t="s">
        <v>52</v>
      </c>
      <c r="P701" s="4" t="str">
        <f t="shared" si="273"/>
        <v>taskReward{taskId:10001170}</v>
      </c>
      <c r="Q701" s="25" t="s">
        <v>52</v>
      </c>
      <c r="R701" s="60" t="s">
        <v>3143</v>
      </c>
      <c r="S701" s="52" t="str">
        <f t="shared" si="274"/>
        <v xml:space="preserve">explorationLevel { level: 11 } </v>
      </c>
      <c r="T701" s="52" t="s">
        <v>52</v>
      </c>
      <c r="U701" s="52"/>
      <c r="V701" s="52"/>
      <c r="W701" s="25">
        <v>100316</v>
      </c>
      <c r="Y701" s="25" t="s">
        <v>56</v>
      </c>
      <c r="Z701" s="25" t="s">
        <v>57</v>
      </c>
      <c r="AA701" s="25">
        <f t="shared" si="263"/>
        <v>33009</v>
      </c>
      <c r="AB701" s="25">
        <v>6622310</v>
      </c>
      <c r="AD701" s="25">
        <v>33</v>
      </c>
      <c r="AE701" s="25">
        <f t="shared" si="276"/>
        <v>9</v>
      </c>
    </row>
    <row r="702" spans="1:31" s="25" customFormat="1" x14ac:dyDescent="0.45">
      <c r="A702" s="25">
        <f t="shared" si="270"/>
        <v>10033100</v>
      </c>
      <c r="B702" s="25">
        <v>0</v>
      </c>
      <c r="C702" s="25">
        <v>33</v>
      </c>
      <c r="D702" s="25">
        <f t="shared" si="275"/>
        <v>10</v>
      </c>
      <c r="E702" s="25" t="s">
        <v>555</v>
      </c>
      <c r="F702" s="25" t="s">
        <v>3113</v>
      </c>
      <c r="G702" s="60" t="s">
        <v>3102</v>
      </c>
      <c r="H702" s="25">
        <v>12</v>
      </c>
      <c r="I702" s="60" t="s">
        <v>3103</v>
      </c>
      <c r="J702" s="25" t="str">
        <f t="shared" si="271"/>
        <v>探照灯等级到达12级</v>
      </c>
      <c r="K702" s="25">
        <f t="shared" si="272"/>
        <v>10033100</v>
      </c>
      <c r="L702" s="25" t="s">
        <v>515</v>
      </c>
      <c r="M702" s="25">
        <v>10001170</v>
      </c>
      <c r="N702" s="60" t="s">
        <v>3144</v>
      </c>
      <c r="O702" s="25" t="s">
        <v>52</v>
      </c>
      <c r="P702" s="4" t="str">
        <f t="shared" si="273"/>
        <v>taskReward{taskId:10001170}</v>
      </c>
      <c r="Q702" s="25" t="s">
        <v>52</v>
      </c>
      <c r="R702" s="60" t="s">
        <v>3143</v>
      </c>
      <c r="S702" s="52" t="str">
        <f t="shared" si="274"/>
        <v xml:space="preserve">explorationLevel { level: 12 } </v>
      </c>
      <c r="T702" s="52" t="s">
        <v>52</v>
      </c>
      <c r="U702" s="52"/>
      <c r="V702" s="52"/>
      <c r="W702" s="25">
        <v>100316</v>
      </c>
      <c r="Y702" s="25" t="s">
        <v>56</v>
      </c>
      <c r="Z702" s="25" t="s">
        <v>57</v>
      </c>
      <c r="AA702" s="25">
        <f t="shared" si="263"/>
        <v>33010</v>
      </c>
      <c r="AB702" s="25">
        <v>6622311</v>
      </c>
      <c r="AD702" s="25">
        <v>33</v>
      </c>
      <c r="AE702" s="25">
        <f t="shared" si="276"/>
        <v>10</v>
      </c>
    </row>
    <row r="703" spans="1:31" s="25" customFormat="1" x14ac:dyDescent="0.45">
      <c r="A703" s="25">
        <f t="shared" si="270"/>
        <v>10033110</v>
      </c>
      <c r="B703" s="25">
        <v>0</v>
      </c>
      <c r="C703" s="25">
        <v>33</v>
      </c>
      <c r="D703" s="25">
        <f t="shared" si="275"/>
        <v>11</v>
      </c>
      <c r="E703" s="25" t="s">
        <v>555</v>
      </c>
      <c r="F703" s="25" t="s">
        <v>3114</v>
      </c>
      <c r="G703" s="60" t="s">
        <v>3102</v>
      </c>
      <c r="H703" s="25">
        <v>13</v>
      </c>
      <c r="I703" s="60" t="s">
        <v>3103</v>
      </c>
      <c r="J703" s="25" t="str">
        <f t="shared" si="271"/>
        <v>探照灯等级到达13级</v>
      </c>
      <c r="K703" s="25">
        <f t="shared" si="272"/>
        <v>10033110</v>
      </c>
      <c r="L703" s="25" t="s">
        <v>515</v>
      </c>
      <c r="M703" s="25">
        <v>10001170</v>
      </c>
      <c r="N703" s="60" t="s">
        <v>3144</v>
      </c>
      <c r="O703" s="25" t="s">
        <v>52</v>
      </c>
      <c r="P703" s="4" t="str">
        <f t="shared" si="273"/>
        <v>taskReward{taskId:10001170}</v>
      </c>
      <c r="Q703" s="25" t="s">
        <v>52</v>
      </c>
      <c r="R703" s="60" t="s">
        <v>3143</v>
      </c>
      <c r="S703" s="52" t="str">
        <f t="shared" si="274"/>
        <v xml:space="preserve">explorationLevel { level: 13 } </v>
      </c>
      <c r="T703" s="52" t="s">
        <v>52</v>
      </c>
      <c r="U703" s="52"/>
      <c r="V703" s="52"/>
      <c r="W703" s="25">
        <v>100316</v>
      </c>
      <c r="Y703" s="25" t="s">
        <v>56</v>
      </c>
      <c r="Z703" s="25" t="s">
        <v>57</v>
      </c>
      <c r="AA703" s="25">
        <f t="shared" si="263"/>
        <v>33011</v>
      </c>
      <c r="AB703" s="25">
        <v>6622312</v>
      </c>
      <c r="AD703" s="25">
        <v>33</v>
      </c>
      <c r="AE703" s="25">
        <f t="shared" si="276"/>
        <v>11</v>
      </c>
    </row>
    <row r="704" spans="1:31" s="25" customFormat="1" x14ac:dyDescent="0.45">
      <c r="A704" s="25">
        <f t="shared" si="270"/>
        <v>10033120</v>
      </c>
      <c r="B704" s="25">
        <v>0</v>
      </c>
      <c r="C704" s="25">
        <v>33</v>
      </c>
      <c r="D704" s="25">
        <f t="shared" si="275"/>
        <v>12</v>
      </c>
      <c r="E704" s="25" t="s">
        <v>555</v>
      </c>
      <c r="F704" s="25" t="s">
        <v>3115</v>
      </c>
      <c r="G704" s="60" t="s">
        <v>3102</v>
      </c>
      <c r="H704" s="25">
        <v>14</v>
      </c>
      <c r="I704" s="60" t="s">
        <v>3103</v>
      </c>
      <c r="J704" s="25" t="str">
        <f t="shared" si="271"/>
        <v>探照灯等级到达14级</v>
      </c>
      <c r="K704" s="25">
        <f t="shared" si="272"/>
        <v>10033120</v>
      </c>
      <c r="L704" s="25" t="s">
        <v>515</v>
      </c>
      <c r="M704" s="25">
        <v>10001170</v>
      </c>
      <c r="N704" s="60" t="s">
        <v>3144</v>
      </c>
      <c r="O704" s="25" t="s">
        <v>52</v>
      </c>
      <c r="P704" s="4" t="str">
        <f t="shared" si="273"/>
        <v>taskReward{taskId:10001170}</v>
      </c>
      <c r="Q704" s="25" t="s">
        <v>52</v>
      </c>
      <c r="R704" s="60" t="s">
        <v>3143</v>
      </c>
      <c r="S704" s="52" t="str">
        <f t="shared" si="274"/>
        <v xml:space="preserve">explorationLevel { level: 14 } </v>
      </c>
      <c r="T704" s="52" t="s">
        <v>52</v>
      </c>
      <c r="U704" s="52"/>
      <c r="V704" s="52"/>
      <c r="W704" s="25">
        <v>100316</v>
      </c>
      <c r="Y704" s="25" t="s">
        <v>56</v>
      </c>
      <c r="Z704" s="25" t="s">
        <v>57</v>
      </c>
      <c r="AA704" s="25">
        <f t="shared" si="263"/>
        <v>33012</v>
      </c>
      <c r="AB704" s="25">
        <v>6622313</v>
      </c>
      <c r="AD704" s="25">
        <v>33</v>
      </c>
      <c r="AE704" s="25">
        <f t="shared" si="276"/>
        <v>12</v>
      </c>
    </row>
    <row r="705" spans="1:31" s="25" customFormat="1" x14ac:dyDescent="0.45">
      <c r="A705" s="25">
        <f t="shared" si="270"/>
        <v>10033130</v>
      </c>
      <c r="B705" s="25">
        <v>0</v>
      </c>
      <c r="C705" s="25">
        <v>33</v>
      </c>
      <c r="D705" s="25">
        <f t="shared" si="275"/>
        <v>13</v>
      </c>
      <c r="E705" s="25" t="s">
        <v>555</v>
      </c>
      <c r="F705" s="25" t="s">
        <v>3116</v>
      </c>
      <c r="G705" s="60" t="s">
        <v>3102</v>
      </c>
      <c r="H705" s="25">
        <v>15</v>
      </c>
      <c r="I705" s="60" t="s">
        <v>3103</v>
      </c>
      <c r="J705" s="25" t="str">
        <f t="shared" si="271"/>
        <v>探照灯等级到达15级</v>
      </c>
      <c r="K705" s="25">
        <f t="shared" si="272"/>
        <v>10033130</v>
      </c>
      <c r="L705" s="25" t="s">
        <v>515</v>
      </c>
      <c r="M705" s="25">
        <v>10001170</v>
      </c>
      <c r="N705" s="60" t="s">
        <v>3144</v>
      </c>
      <c r="O705" s="25" t="s">
        <v>52</v>
      </c>
      <c r="P705" s="4" t="str">
        <f t="shared" si="273"/>
        <v>taskReward{taskId:10001170}</v>
      </c>
      <c r="Q705" s="25" t="s">
        <v>52</v>
      </c>
      <c r="R705" s="60" t="s">
        <v>3143</v>
      </c>
      <c r="S705" s="52" t="str">
        <f t="shared" si="274"/>
        <v xml:space="preserve">explorationLevel { level: 15 } </v>
      </c>
      <c r="T705" s="52" t="s">
        <v>52</v>
      </c>
      <c r="U705" s="52"/>
      <c r="V705" s="52"/>
      <c r="W705" s="25">
        <v>100316</v>
      </c>
      <c r="Y705" s="25" t="s">
        <v>56</v>
      </c>
      <c r="Z705" s="25" t="s">
        <v>57</v>
      </c>
      <c r="AA705" s="25">
        <f t="shared" si="263"/>
        <v>33013</v>
      </c>
      <c r="AB705" s="25">
        <v>6622314</v>
      </c>
      <c r="AD705" s="25">
        <v>33</v>
      </c>
      <c r="AE705" s="25">
        <f t="shared" si="276"/>
        <v>13</v>
      </c>
    </row>
    <row r="706" spans="1:31" s="25" customFormat="1" x14ac:dyDescent="0.45">
      <c r="A706" s="25">
        <f t="shared" si="270"/>
        <v>10033140</v>
      </c>
      <c r="B706" s="25">
        <v>0</v>
      </c>
      <c r="C706" s="25">
        <v>33</v>
      </c>
      <c r="D706" s="25">
        <f t="shared" si="275"/>
        <v>14</v>
      </c>
      <c r="E706" s="25" t="s">
        <v>555</v>
      </c>
      <c r="F706" s="25" t="s">
        <v>3117</v>
      </c>
      <c r="G706" s="60" t="s">
        <v>3102</v>
      </c>
      <c r="H706" s="25">
        <v>16</v>
      </c>
      <c r="I706" s="60" t="s">
        <v>3103</v>
      </c>
      <c r="J706" s="25" t="str">
        <f t="shared" si="271"/>
        <v>探照灯等级到达16级</v>
      </c>
      <c r="K706" s="25">
        <f t="shared" si="272"/>
        <v>10033140</v>
      </c>
      <c r="L706" s="25" t="s">
        <v>515</v>
      </c>
      <c r="M706" s="25">
        <v>10001170</v>
      </c>
      <c r="N706" s="60" t="s">
        <v>3144</v>
      </c>
      <c r="O706" s="25" t="s">
        <v>52</v>
      </c>
      <c r="P706" s="4" t="str">
        <f t="shared" si="273"/>
        <v>taskReward{taskId:10001170}</v>
      </c>
      <c r="Q706" s="25" t="s">
        <v>52</v>
      </c>
      <c r="R706" s="60" t="s">
        <v>3143</v>
      </c>
      <c r="S706" s="52" t="str">
        <f t="shared" si="274"/>
        <v xml:space="preserve">explorationLevel { level: 16 } </v>
      </c>
      <c r="T706" s="52" t="s">
        <v>52</v>
      </c>
      <c r="U706" s="52"/>
      <c r="V706" s="52"/>
      <c r="W706" s="25">
        <v>100316</v>
      </c>
      <c r="Y706" s="25" t="s">
        <v>56</v>
      </c>
      <c r="Z706" s="25" t="s">
        <v>57</v>
      </c>
      <c r="AA706" s="25">
        <f t="shared" si="263"/>
        <v>33014</v>
      </c>
      <c r="AB706" s="25">
        <v>6622315</v>
      </c>
      <c r="AD706" s="25">
        <v>33</v>
      </c>
      <c r="AE706" s="25">
        <f t="shared" si="276"/>
        <v>14</v>
      </c>
    </row>
    <row r="707" spans="1:31" s="25" customFormat="1" x14ac:dyDescent="0.45">
      <c r="A707" s="25">
        <f t="shared" si="270"/>
        <v>10033150</v>
      </c>
      <c r="B707" s="25">
        <v>0</v>
      </c>
      <c r="C707" s="25">
        <v>33</v>
      </c>
      <c r="D707" s="25">
        <f t="shared" si="275"/>
        <v>15</v>
      </c>
      <c r="E707" s="25" t="s">
        <v>555</v>
      </c>
      <c r="F707" s="25" t="s">
        <v>3118</v>
      </c>
      <c r="G707" s="60" t="s">
        <v>3102</v>
      </c>
      <c r="H707" s="25">
        <v>17</v>
      </c>
      <c r="I707" s="60" t="s">
        <v>3103</v>
      </c>
      <c r="J707" s="25" t="str">
        <f t="shared" si="271"/>
        <v>探照灯等级到达17级</v>
      </c>
      <c r="K707" s="25">
        <f t="shared" si="272"/>
        <v>10033150</v>
      </c>
      <c r="L707" s="25" t="s">
        <v>515</v>
      </c>
      <c r="M707" s="25">
        <v>10001170</v>
      </c>
      <c r="N707" s="60" t="s">
        <v>3144</v>
      </c>
      <c r="O707" s="25" t="s">
        <v>52</v>
      </c>
      <c r="P707" s="4" t="str">
        <f t="shared" si="273"/>
        <v>taskReward{taskId:10001170}</v>
      </c>
      <c r="Q707" s="25" t="s">
        <v>52</v>
      </c>
      <c r="R707" s="60" t="s">
        <v>3143</v>
      </c>
      <c r="S707" s="52" t="str">
        <f t="shared" si="274"/>
        <v xml:space="preserve">explorationLevel { level: 17 } </v>
      </c>
      <c r="T707" s="52" t="s">
        <v>52</v>
      </c>
      <c r="U707" s="52"/>
      <c r="V707" s="52"/>
      <c r="W707" s="25">
        <v>100316</v>
      </c>
      <c r="Y707" s="25" t="s">
        <v>56</v>
      </c>
      <c r="Z707" s="25" t="s">
        <v>57</v>
      </c>
      <c r="AA707" s="25">
        <f t="shared" si="263"/>
        <v>33015</v>
      </c>
      <c r="AB707" s="25">
        <v>6622316</v>
      </c>
      <c r="AD707" s="25">
        <v>33</v>
      </c>
      <c r="AE707" s="25">
        <f t="shared" si="276"/>
        <v>15</v>
      </c>
    </row>
    <row r="708" spans="1:31" s="25" customFormat="1" x14ac:dyDescent="0.45">
      <c r="A708" s="25">
        <f t="shared" si="270"/>
        <v>10033160</v>
      </c>
      <c r="B708" s="25">
        <v>0</v>
      </c>
      <c r="C708" s="25">
        <v>33</v>
      </c>
      <c r="D708" s="25">
        <f t="shared" si="275"/>
        <v>16</v>
      </c>
      <c r="E708" s="25" t="s">
        <v>555</v>
      </c>
      <c r="F708" s="25" t="s">
        <v>3119</v>
      </c>
      <c r="G708" s="60" t="s">
        <v>3102</v>
      </c>
      <c r="H708" s="25">
        <v>18</v>
      </c>
      <c r="I708" s="60" t="s">
        <v>3103</v>
      </c>
      <c r="J708" s="25" t="str">
        <f t="shared" si="271"/>
        <v>探照灯等级到达18级</v>
      </c>
      <c r="K708" s="25">
        <f t="shared" si="272"/>
        <v>10033160</v>
      </c>
      <c r="L708" s="25" t="s">
        <v>515</v>
      </c>
      <c r="M708" s="25">
        <v>10001170</v>
      </c>
      <c r="N708" s="60" t="s">
        <v>3144</v>
      </c>
      <c r="O708" s="25" t="s">
        <v>52</v>
      </c>
      <c r="P708" s="4" t="str">
        <f t="shared" si="273"/>
        <v>taskReward{taskId:10001170}</v>
      </c>
      <c r="Q708" s="25" t="s">
        <v>52</v>
      </c>
      <c r="R708" s="60" t="s">
        <v>3143</v>
      </c>
      <c r="S708" s="52" t="str">
        <f t="shared" si="274"/>
        <v xml:space="preserve">explorationLevel { level: 18 } </v>
      </c>
      <c r="T708" s="52" t="s">
        <v>52</v>
      </c>
      <c r="U708" s="52"/>
      <c r="V708" s="52"/>
      <c r="W708" s="25">
        <v>100316</v>
      </c>
      <c r="Y708" s="25" t="s">
        <v>56</v>
      </c>
      <c r="Z708" s="25" t="s">
        <v>57</v>
      </c>
      <c r="AA708" s="25">
        <f t="shared" si="263"/>
        <v>33016</v>
      </c>
      <c r="AB708" s="25">
        <v>6622317</v>
      </c>
      <c r="AD708" s="25">
        <v>33</v>
      </c>
      <c r="AE708" s="25">
        <f t="shared" si="276"/>
        <v>16</v>
      </c>
    </row>
    <row r="709" spans="1:31" s="25" customFormat="1" x14ac:dyDescent="0.45">
      <c r="A709" s="25">
        <f t="shared" si="270"/>
        <v>10033170</v>
      </c>
      <c r="B709" s="25">
        <v>0</v>
      </c>
      <c r="C709" s="25">
        <v>33</v>
      </c>
      <c r="D709" s="25">
        <f t="shared" si="275"/>
        <v>17</v>
      </c>
      <c r="E709" s="25" t="s">
        <v>555</v>
      </c>
      <c r="F709" s="25" t="s">
        <v>3120</v>
      </c>
      <c r="G709" s="60" t="s">
        <v>3102</v>
      </c>
      <c r="H709" s="25">
        <v>19</v>
      </c>
      <c r="I709" s="60" t="s">
        <v>3103</v>
      </c>
      <c r="J709" s="25" t="str">
        <f t="shared" si="271"/>
        <v>探照灯等级到达19级</v>
      </c>
      <c r="K709" s="25">
        <f t="shared" si="272"/>
        <v>10033170</v>
      </c>
      <c r="L709" s="25" t="s">
        <v>515</v>
      </c>
      <c r="M709" s="25">
        <v>10001170</v>
      </c>
      <c r="N709" s="60" t="s">
        <v>3144</v>
      </c>
      <c r="O709" s="25" t="s">
        <v>52</v>
      </c>
      <c r="P709" s="4" t="str">
        <f t="shared" si="273"/>
        <v>taskReward{taskId:10001170}</v>
      </c>
      <c r="Q709" s="25" t="s">
        <v>52</v>
      </c>
      <c r="R709" s="60" t="s">
        <v>3143</v>
      </c>
      <c r="S709" s="52" t="str">
        <f t="shared" si="274"/>
        <v xml:space="preserve">explorationLevel { level: 19 } </v>
      </c>
      <c r="T709" s="52" t="s">
        <v>52</v>
      </c>
      <c r="U709" s="52"/>
      <c r="V709" s="52"/>
      <c r="W709" s="25">
        <v>100316</v>
      </c>
      <c r="Y709" s="25" t="s">
        <v>56</v>
      </c>
      <c r="Z709" s="25" t="s">
        <v>57</v>
      </c>
      <c r="AA709" s="25">
        <f t="shared" si="263"/>
        <v>33017</v>
      </c>
      <c r="AB709" s="25">
        <v>6622318</v>
      </c>
      <c r="AD709" s="25">
        <v>33</v>
      </c>
      <c r="AE709" s="25">
        <f t="shared" si="276"/>
        <v>17</v>
      </c>
    </row>
    <row r="710" spans="1:31" s="25" customFormat="1" x14ac:dyDescent="0.45">
      <c r="A710" s="25">
        <f t="shared" si="270"/>
        <v>10033180</v>
      </c>
      <c r="B710" s="25">
        <v>0</v>
      </c>
      <c r="C710" s="25">
        <v>33</v>
      </c>
      <c r="D710" s="25">
        <f t="shared" si="275"/>
        <v>18</v>
      </c>
      <c r="E710" s="25" t="s">
        <v>555</v>
      </c>
      <c r="F710" s="25" t="s">
        <v>3121</v>
      </c>
      <c r="G710" s="60" t="s">
        <v>3102</v>
      </c>
      <c r="H710" s="25">
        <v>20</v>
      </c>
      <c r="I710" s="60" t="s">
        <v>3103</v>
      </c>
      <c r="J710" s="25" t="str">
        <f t="shared" si="271"/>
        <v>探照灯等级到达20级</v>
      </c>
      <c r="K710" s="25">
        <f t="shared" si="272"/>
        <v>10033180</v>
      </c>
      <c r="L710" s="25" t="s">
        <v>515</v>
      </c>
      <c r="M710" s="25">
        <v>10001170</v>
      </c>
      <c r="N710" s="60" t="s">
        <v>3144</v>
      </c>
      <c r="O710" s="25" t="s">
        <v>52</v>
      </c>
      <c r="P710" s="4" t="str">
        <f t="shared" si="273"/>
        <v>taskReward{taskId:10001170}</v>
      </c>
      <c r="Q710" s="25" t="s">
        <v>52</v>
      </c>
      <c r="R710" s="60" t="s">
        <v>3143</v>
      </c>
      <c r="S710" s="52" t="str">
        <f t="shared" si="274"/>
        <v xml:space="preserve">explorationLevel { level: 20 } </v>
      </c>
      <c r="T710" s="52" t="s">
        <v>52</v>
      </c>
      <c r="U710" s="52"/>
      <c r="V710" s="52"/>
      <c r="W710" s="25">
        <v>100316</v>
      </c>
      <c r="Y710" s="25" t="s">
        <v>56</v>
      </c>
      <c r="Z710" s="25" t="s">
        <v>57</v>
      </c>
      <c r="AA710" s="25">
        <f t="shared" si="263"/>
        <v>33018</v>
      </c>
      <c r="AB710" s="25">
        <v>6622319</v>
      </c>
      <c r="AD710" s="25">
        <v>33</v>
      </c>
      <c r="AE710" s="25">
        <f t="shared" si="276"/>
        <v>18</v>
      </c>
    </row>
    <row r="711" spans="1:31" s="23" customFormat="1" x14ac:dyDescent="0.45">
      <c r="A711" s="23">
        <f t="shared" ref="A711:A729" si="277">10000000+B711*100000+C711*1000+D711*10</f>
        <v>10034010</v>
      </c>
      <c r="B711" s="23">
        <v>0</v>
      </c>
      <c r="C711" s="23">
        <v>34</v>
      </c>
      <c r="D711" s="23">
        <f>IF(C711=C509,D509+1,1)</f>
        <v>1</v>
      </c>
      <c r="E711" s="23" t="s">
        <v>555</v>
      </c>
      <c r="F711" s="23" t="s">
        <v>3122</v>
      </c>
      <c r="G711" s="59" t="s">
        <v>3098</v>
      </c>
      <c r="H711" s="24">
        <v>5</v>
      </c>
      <c r="I711" s="59" t="s">
        <v>3100</v>
      </c>
      <c r="J711" s="23" t="str">
        <f t="shared" ref="J711:J729" si="278">G711&amp;H711&amp;I711</f>
        <v>完成5次未知探索事件</v>
      </c>
      <c r="K711" s="23">
        <f t="shared" ref="K711:K729" si="279">A711</f>
        <v>10034010</v>
      </c>
      <c r="L711" s="23" t="s">
        <v>515</v>
      </c>
      <c r="M711" s="23">
        <v>10001170</v>
      </c>
      <c r="N711" s="23" t="s">
        <v>51</v>
      </c>
      <c r="O711" s="23" t="s">
        <v>52</v>
      </c>
      <c r="P711" s="4" t="str">
        <f t="shared" si="273"/>
        <v>taskReward{taskId:10001170}</v>
      </c>
      <c r="Q711" s="23" t="s">
        <v>52</v>
      </c>
      <c r="R711" s="61" t="s">
        <v>3142</v>
      </c>
      <c r="S711" s="24" t="str">
        <f>SUBSTITUTE(R711,"@@@",H711)</f>
        <v>explorationFinishCount { recordHistory:true, count: 5 }</v>
      </c>
      <c r="T711" s="24" t="s">
        <v>52</v>
      </c>
      <c r="V711" s="24"/>
      <c r="W711" s="23">
        <f>100316</f>
        <v>100316</v>
      </c>
      <c r="Y711" s="23" t="s">
        <v>56</v>
      </c>
      <c r="Z711" s="23" t="s">
        <v>57</v>
      </c>
      <c r="AA711" s="23">
        <f t="shared" ref="AA711:AA729" si="280">AD711*1000+AE711</f>
        <v>34001</v>
      </c>
      <c r="AB711" s="23">
        <v>6622301</v>
      </c>
      <c r="AD711" s="23">
        <v>34</v>
      </c>
      <c r="AE711" s="23">
        <f>IF(AD711=AD704,AE704+1,1)</f>
        <v>1</v>
      </c>
    </row>
    <row r="712" spans="1:31" s="23" customFormat="1" x14ac:dyDescent="0.45">
      <c r="A712" s="23">
        <f t="shared" si="277"/>
        <v>10034020</v>
      </c>
      <c r="B712" s="23">
        <v>0</v>
      </c>
      <c r="C712" s="23">
        <v>34</v>
      </c>
      <c r="D712" s="23">
        <f t="shared" ref="D712:D729" si="281">IF(C712=C711,D711+1,1)</f>
        <v>2</v>
      </c>
      <c r="E712" s="23" t="s">
        <v>555</v>
      </c>
      <c r="F712" s="23" t="s">
        <v>3123</v>
      </c>
      <c r="G712" s="59" t="s">
        <v>3098</v>
      </c>
      <c r="H712" s="55">
        <v>10</v>
      </c>
      <c r="I712" s="59" t="s">
        <v>3100</v>
      </c>
      <c r="J712" s="23" t="str">
        <f t="shared" si="278"/>
        <v>完成10次未知探索事件</v>
      </c>
      <c r="K712" s="23">
        <f t="shared" si="279"/>
        <v>10034020</v>
      </c>
      <c r="L712" s="23" t="s">
        <v>515</v>
      </c>
      <c r="M712" s="23">
        <v>10001170</v>
      </c>
      <c r="N712" s="23" t="s">
        <v>51</v>
      </c>
      <c r="O712" s="23" t="s">
        <v>52</v>
      </c>
      <c r="P712" s="4" t="str">
        <f t="shared" si="273"/>
        <v>taskReward{taskId:10001170}</v>
      </c>
      <c r="Q712" s="23" t="s">
        <v>52</v>
      </c>
      <c r="R712" s="61" t="s">
        <v>3142</v>
      </c>
      <c r="S712" s="24" t="str">
        <f t="shared" ref="S712:S729" si="282">SUBSTITUTE(R712,"@@@",H712)</f>
        <v>explorationFinishCount { recordHistory:true, count: 10 }</v>
      </c>
      <c r="T712" s="24" t="s">
        <v>52</v>
      </c>
      <c r="V712" s="24"/>
      <c r="W712" s="23">
        <f t="shared" ref="W712:W740" si="283">100316</f>
        <v>100316</v>
      </c>
      <c r="Y712" s="23" t="s">
        <v>56</v>
      </c>
      <c r="Z712" s="23" t="s">
        <v>57</v>
      </c>
      <c r="AA712" s="23">
        <f t="shared" si="280"/>
        <v>34002</v>
      </c>
      <c r="AB712" s="23">
        <v>6622302</v>
      </c>
      <c r="AD712" s="23">
        <v>34</v>
      </c>
      <c r="AE712" s="23">
        <f t="shared" ref="AE712:AE729" si="284">IF(AD712=AD711,AE711+1,1)</f>
        <v>2</v>
      </c>
    </row>
    <row r="713" spans="1:31" s="23" customFormat="1" x14ac:dyDescent="0.45">
      <c r="A713" s="23">
        <f t="shared" si="277"/>
        <v>10034030</v>
      </c>
      <c r="B713" s="23">
        <v>0</v>
      </c>
      <c r="C713" s="23">
        <v>34</v>
      </c>
      <c r="D713" s="23">
        <f t="shared" si="281"/>
        <v>3</v>
      </c>
      <c r="E713" s="23" t="s">
        <v>555</v>
      </c>
      <c r="F713" s="23" t="s">
        <v>3124</v>
      </c>
      <c r="G713" s="59" t="s">
        <v>3098</v>
      </c>
      <c r="H713" s="55">
        <v>15</v>
      </c>
      <c r="I713" s="59" t="s">
        <v>3100</v>
      </c>
      <c r="J713" s="23" t="str">
        <f t="shared" si="278"/>
        <v>完成15次未知探索事件</v>
      </c>
      <c r="K713" s="23">
        <f t="shared" si="279"/>
        <v>10034030</v>
      </c>
      <c r="L713" s="23" t="s">
        <v>515</v>
      </c>
      <c r="M713" s="23">
        <v>10001170</v>
      </c>
      <c r="N713" s="23" t="s">
        <v>51</v>
      </c>
      <c r="O713" s="23" t="s">
        <v>52</v>
      </c>
      <c r="P713" s="4" t="str">
        <f t="shared" si="273"/>
        <v>taskReward{taskId:10001170}</v>
      </c>
      <c r="Q713" s="23" t="s">
        <v>52</v>
      </c>
      <c r="R713" s="61" t="s">
        <v>3142</v>
      </c>
      <c r="S713" s="24" t="str">
        <f t="shared" si="282"/>
        <v>explorationFinishCount { recordHistory:true, count: 15 }</v>
      </c>
      <c r="T713" s="24" t="s">
        <v>52</v>
      </c>
      <c r="V713" s="24"/>
      <c r="W713" s="23">
        <f t="shared" si="283"/>
        <v>100316</v>
      </c>
      <c r="Y713" s="23" t="s">
        <v>56</v>
      </c>
      <c r="Z713" s="23" t="s">
        <v>57</v>
      </c>
      <c r="AA713" s="23">
        <f t="shared" si="280"/>
        <v>34003</v>
      </c>
      <c r="AB713" s="23">
        <v>6622303</v>
      </c>
      <c r="AD713" s="23">
        <v>34</v>
      </c>
      <c r="AE713" s="23">
        <f t="shared" si="284"/>
        <v>3</v>
      </c>
    </row>
    <row r="714" spans="1:31" s="23" customFormat="1" x14ac:dyDescent="0.45">
      <c r="A714" s="23">
        <f t="shared" si="277"/>
        <v>10034040</v>
      </c>
      <c r="B714" s="23">
        <v>0</v>
      </c>
      <c r="C714" s="23">
        <v>34</v>
      </c>
      <c r="D714" s="23">
        <f t="shared" si="281"/>
        <v>4</v>
      </c>
      <c r="E714" s="23" t="s">
        <v>555</v>
      </c>
      <c r="F714" s="23" t="s">
        <v>3125</v>
      </c>
      <c r="G714" s="59" t="s">
        <v>3098</v>
      </c>
      <c r="H714" s="24">
        <v>20</v>
      </c>
      <c r="I714" s="59" t="s">
        <v>3100</v>
      </c>
      <c r="J714" s="23" t="str">
        <f t="shared" si="278"/>
        <v>完成20次未知探索事件</v>
      </c>
      <c r="K714" s="23">
        <f t="shared" si="279"/>
        <v>10034040</v>
      </c>
      <c r="L714" s="23" t="s">
        <v>515</v>
      </c>
      <c r="M714" s="23">
        <v>10001170</v>
      </c>
      <c r="N714" s="23" t="s">
        <v>51</v>
      </c>
      <c r="O714" s="23" t="s">
        <v>52</v>
      </c>
      <c r="P714" s="4" t="str">
        <f t="shared" si="273"/>
        <v>taskReward{taskId:10001170}</v>
      </c>
      <c r="Q714" s="23" t="s">
        <v>52</v>
      </c>
      <c r="R714" s="61" t="s">
        <v>3142</v>
      </c>
      <c r="S714" s="24" t="str">
        <f t="shared" si="282"/>
        <v>explorationFinishCount { recordHistory:true, count: 20 }</v>
      </c>
      <c r="T714" s="24" t="s">
        <v>52</v>
      </c>
      <c r="V714" s="24"/>
      <c r="W714" s="23">
        <f t="shared" si="283"/>
        <v>100316</v>
      </c>
      <c r="Y714" s="23" t="s">
        <v>56</v>
      </c>
      <c r="Z714" s="23" t="s">
        <v>57</v>
      </c>
      <c r="AA714" s="23">
        <f t="shared" si="280"/>
        <v>34004</v>
      </c>
      <c r="AB714" s="23">
        <v>6622304</v>
      </c>
      <c r="AD714" s="23">
        <v>34</v>
      </c>
      <c r="AE714" s="23">
        <f t="shared" si="284"/>
        <v>4</v>
      </c>
    </row>
    <row r="715" spans="1:31" s="23" customFormat="1" x14ac:dyDescent="0.45">
      <c r="A715" s="23">
        <f t="shared" si="277"/>
        <v>10034050</v>
      </c>
      <c r="B715" s="23">
        <v>0</v>
      </c>
      <c r="C715" s="23">
        <v>34</v>
      </c>
      <c r="D715" s="23">
        <f t="shared" si="281"/>
        <v>5</v>
      </c>
      <c r="E715" s="23" t="s">
        <v>555</v>
      </c>
      <c r="F715" s="23" t="s">
        <v>3126</v>
      </c>
      <c r="G715" s="59" t="s">
        <v>3098</v>
      </c>
      <c r="H715" s="55">
        <v>25</v>
      </c>
      <c r="I715" s="59" t="s">
        <v>3100</v>
      </c>
      <c r="J715" s="23" t="str">
        <f t="shared" si="278"/>
        <v>完成25次未知探索事件</v>
      </c>
      <c r="K715" s="23">
        <f t="shared" si="279"/>
        <v>10034050</v>
      </c>
      <c r="L715" s="23" t="s">
        <v>515</v>
      </c>
      <c r="M715" s="23">
        <v>10001170</v>
      </c>
      <c r="N715" s="23" t="s">
        <v>51</v>
      </c>
      <c r="O715" s="23" t="s">
        <v>52</v>
      </c>
      <c r="P715" s="4" t="str">
        <f t="shared" si="273"/>
        <v>taskReward{taskId:10001170}</v>
      </c>
      <c r="Q715" s="23" t="s">
        <v>52</v>
      </c>
      <c r="R715" s="61" t="s">
        <v>3142</v>
      </c>
      <c r="S715" s="24" t="str">
        <f t="shared" si="282"/>
        <v>explorationFinishCount { recordHistory:true, count: 25 }</v>
      </c>
      <c r="T715" s="24" t="s">
        <v>52</v>
      </c>
      <c r="V715" s="24"/>
      <c r="W715" s="23">
        <f t="shared" si="283"/>
        <v>100316</v>
      </c>
      <c r="Y715" s="23" t="s">
        <v>56</v>
      </c>
      <c r="Z715" s="23" t="s">
        <v>57</v>
      </c>
      <c r="AA715" s="23">
        <f t="shared" si="280"/>
        <v>34005</v>
      </c>
      <c r="AB715" s="23">
        <v>6622305</v>
      </c>
      <c r="AD715" s="23">
        <v>34</v>
      </c>
      <c r="AE715" s="23">
        <f t="shared" si="284"/>
        <v>5</v>
      </c>
    </row>
    <row r="716" spans="1:31" s="23" customFormat="1" x14ac:dyDescent="0.45">
      <c r="A716" s="23">
        <f t="shared" si="277"/>
        <v>10034060</v>
      </c>
      <c r="B716" s="23">
        <v>0</v>
      </c>
      <c r="C716" s="23">
        <v>34</v>
      </c>
      <c r="D716" s="23">
        <f t="shared" si="281"/>
        <v>6</v>
      </c>
      <c r="E716" s="23" t="s">
        <v>555</v>
      </c>
      <c r="F716" s="23" t="s">
        <v>3127</v>
      </c>
      <c r="G716" s="59" t="s">
        <v>3098</v>
      </c>
      <c r="H716" s="55">
        <v>30</v>
      </c>
      <c r="I716" s="59" t="s">
        <v>3100</v>
      </c>
      <c r="J716" s="23" t="str">
        <f t="shared" si="278"/>
        <v>完成30次未知探索事件</v>
      </c>
      <c r="K716" s="23">
        <f t="shared" si="279"/>
        <v>10034060</v>
      </c>
      <c r="L716" s="23" t="s">
        <v>515</v>
      </c>
      <c r="M716" s="23">
        <v>10001170</v>
      </c>
      <c r="N716" s="23" t="s">
        <v>51</v>
      </c>
      <c r="O716" s="23" t="s">
        <v>52</v>
      </c>
      <c r="P716" s="4" t="str">
        <f t="shared" si="273"/>
        <v>taskReward{taskId:10001170}</v>
      </c>
      <c r="Q716" s="23" t="s">
        <v>52</v>
      </c>
      <c r="R716" s="61" t="s">
        <v>3142</v>
      </c>
      <c r="S716" s="24" t="str">
        <f t="shared" si="282"/>
        <v>explorationFinishCount { recordHistory:true, count: 30 }</v>
      </c>
      <c r="T716" s="24" t="s">
        <v>52</v>
      </c>
      <c r="V716" s="24"/>
      <c r="W716" s="23">
        <f t="shared" si="283"/>
        <v>100316</v>
      </c>
      <c r="Y716" s="23" t="s">
        <v>56</v>
      </c>
      <c r="Z716" s="23" t="s">
        <v>57</v>
      </c>
      <c r="AA716" s="23">
        <f t="shared" si="280"/>
        <v>34006</v>
      </c>
      <c r="AB716" s="23">
        <v>6622306</v>
      </c>
      <c r="AD716" s="23">
        <v>34</v>
      </c>
      <c r="AE716" s="23">
        <f t="shared" si="284"/>
        <v>6</v>
      </c>
    </row>
    <row r="717" spans="1:31" s="23" customFormat="1" x14ac:dyDescent="0.45">
      <c r="A717" s="23">
        <f t="shared" si="277"/>
        <v>10034070</v>
      </c>
      <c r="B717" s="23">
        <v>0</v>
      </c>
      <c r="C717" s="23">
        <v>34</v>
      </c>
      <c r="D717" s="23">
        <f t="shared" si="281"/>
        <v>7</v>
      </c>
      <c r="E717" s="23" t="s">
        <v>555</v>
      </c>
      <c r="F717" s="23" t="s">
        <v>3128</v>
      </c>
      <c r="G717" s="59" t="s">
        <v>3098</v>
      </c>
      <c r="H717" s="24">
        <v>35</v>
      </c>
      <c r="I717" s="59" t="s">
        <v>3100</v>
      </c>
      <c r="J717" s="23" t="str">
        <f t="shared" si="278"/>
        <v>完成35次未知探索事件</v>
      </c>
      <c r="K717" s="23">
        <f t="shared" si="279"/>
        <v>10034070</v>
      </c>
      <c r="L717" s="23" t="s">
        <v>515</v>
      </c>
      <c r="M717" s="23">
        <v>10001170</v>
      </c>
      <c r="N717" s="23" t="s">
        <v>51</v>
      </c>
      <c r="O717" s="23" t="s">
        <v>52</v>
      </c>
      <c r="P717" s="4" t="str">
        <f t="shared" si="273"/>
        <v>taskReward{taskId:10001170}</v>
      </c>
      <c r="Q717" s="23" t="s">
        <v>52</v>
      </c>
      <c r="R717" s="61" t="s">
        <v>3142</v>
      </c>
      <c r="S717" s="24" t="str">
        <f t="shared" si="282"/>
        <v>explorationFinishCount { recordHistory:true, count: 35 }</v>
      </c>
      <c r="T717" s="24" t="s">
        <v>52</v>
      </c>
      <c r="V717" s="24"/>
      <c r="W717" s="23">
        <f t="shared" si="283"/>
        <v>100316</v>
      </c>
      <c r="Y717" s="23" t="s">
        <v>56</v>
      </c>
      <c r="Z717" s="23" t="s">
        <v>57</v>
      </c>
      <c r="AA717" s="23">
        <f t="shared" si="280"/>
        <v>34007</v>
      </c>
      <c r="AB717" s="23">
        <v>6622307</v>
      </c>
      <c r="AD717" s="23">
        <v>34</v>
      </c>
      <c r="AE717" s="23">
        <f t="shared" si="284"/>
        <v>7</v>
      </c>
    </row>
    <row r="718" spans="1:31" s="23" customFormat="1" x14ac:dyDescent="0.45">
      <c r="A718" s="23">
        <f t="shared" si="277"/>
        <v>10034080</v>
      </c>
      <c r="B718" s="23">
        <v>0</v>
      </c>
      <c r="C718" s="23">
        <v>34</v>
      </c>
      <c r="D718" s="23">
        <f t="shared" si="281"/>
        <v>8</v>
      </c>
      <c r="E718" s="23" t="s">
        <v>555</v>
      </c>
      <c r="F718" s="23" t="s">
        <v>3129</v>
      </c>
      <c r="G718" s="59" t="s">
        <v>3098</v>
      </c>
      <c r="H718" s="55">
        <v>40</v>
      </c>
      <c r="I718" s="59" t="s">
        <v>3100</v>
      </c>
      <c r="J718" s="23" t="str">
        <f t="shared" si="278"/>
        <v>完成40次未知探索事件</v>
      </c>
      <c r="K718" s="23">
        <f t="shared" si="279"/>
        <v>10034080</v>
      </c>
      <c r="L718" s="23" t="s">
        <v>515</v>
      </c>
      <c r="M718" s="23">
        <v>10001170</v>
      </c>
      <c r="N718" s="23" t="s">
        <v>51</v>
      </c>
      <c r="O718" s="23" t="s">
        <v>52</v>
      </c>
      <c r="P718" s="4" t="str">
        <f t="shared" si="273"/>
        <v>taskReward{taskId:10001170}</v>
      </c>
      <c r="Q718" s="23" t="s">
        <v>52</v>
      </c>
      <c r="R718" s="61" t="s">
        <v>3142</v>
      </c>
      <c r="S718" s="24" t="str">
        <f t="shared" si="282"/>
        <v>explorationFinishCount { recordHistory:true, count: 40 }</v>
      </c>
      <c r="T718" s="24" t="s">
        <v>52</v>
      </c>
      <c r="V718" s="24"/>
      <c r="W718" s="23">
        <f t="shared" si="283"/>
        <v>100316</v>
      </c>
      <c r="Y718" s="23" t="s">
        <v>56</v>
      </c>
      <c r="Z718" s="23" t="s">
        <v>57</v>
      </c>
      <c r="AA718" s="23">
        <f t="shared" si="280"/>
        <v>34008</v>
      </c>
      <c r="AB718" s="23">
        <v>6622308</v>
      </c>
      <c r="AD718" s="23">
        <v>34</v>
      </c>
      <c r="AE718" s="23">
        <f t="shared" si="284"/>
        <v>8</v>
      </c>
    </row>
    <row r="719" spans="1:31" s="23" customFormat="1" x14ac:dyDescent="0.45">
      <c r="A719" s="23">
        <f t="shared" si="277"/>
        <v>10034090</v>
      </c>
      <c r="B719" s="23">
        <v>0</v>
      </c>
      <c r="C719" s="23">
        <v>34</v>
      </c>
      <c r="D719" s="23">
        <f t="shared" si="281"/>
        <v>9</v>
      </c>
      <c r="E719" s="23" t="s">
        <v>555</v>
      </c>
      <c r="F719" s="23" t="s">
        <v>3130</v>
      </c>
      <c r="G719" s="59" t="s">
        <v>3098</v>
      </c>
      <c r="H719" s="55">
        <v>45</v>
      </c>
      <c r="I719" s="59" t="s">
        <v>3100</v>
      </c>
      <c r="J719" s="23" t="str">
        <f t="shared" si="278"/>
        <v>完成45次未知探索事件</v>
      </c>
      <c r="K719" s="23">
        <f t="shared" si="279"/>
        <v>10034090</v>
      </c>
      <c r="L719" s="23" t="s">
        <v>515</v>
      </c>
      <c r="M719" s="23">
        <v>10001170</v>
      </c>
      <c r="N719" s="23" t="s">
        <v>51</v>
      </c>
      <c r="O719" s="23" t="s">
        <v>52</v>
      </c>
      <c r="P719" s="4" t="str">
        <f t="shared" si="273"/>
        <v>taskReward{taskId:10001170}</v>
      </c>
      <c r="Q719" s="23" t="s">
        <v>52</v>
      </c>
      <c r="R719" s="61" t="s">
        <v>3142</v>
      </c>
      <c r="S719" s="24" t="str">
        <f t="shared" si="282"/>
        <v>explorationFinishCount { recordHistory:true, count: 45 }</v>
      </c>
      <c r="T719" s="24" t="s">
        <v>52</v>
      </c>
      <c r="V719" s="24"/>
      <c r="W719" s="23">
        <f t="shared" si="283"/>
        <v>100316</v>
      </c>
      <c r="Y719" s="23" t="s">
        <v>56</v>
      </c>
      <c r="Z719" s="23" t="s">
        <v>57</v>
      </c>
      <c r="AA719" s="23">
        <f t="shared" si="280"/>
        <v>34009</v>
      </c>
      <c r="AB719" s="23">
        <v>6622309</v>
      </c>
      <c r="AD719" s="23">
        <v>34</v>
      </c>
      <c r="AE719" s="23">
        <f t="shared" si="284"/>
        <v>9</v>
      </c>
    </row>
    <row r="720" spans="1:31" s="23" customFormat="1" x14ac:dyDescent="0.45">
      <c r="A720" s="23">
        <f t="shared" si="277"/>
        <v>10034100</v>
      </c>
      <c r="B720" s="23">
        <v>0</v>
      </c>
      <c r="C720" s="23">
        <v>34</v>
      </c>
      <c r="D720" s="23">
        <f t="shared" si="281"/>
        <v>10</v>
      </c>
      <c r="E720" s="23" t="s">
        <v>555</v>
      </c>
      <c r="F720" s="23" t="s">
        <v>3131</v>
      </c>
      <c r="G720" s="59" t="s">
        <v>3098</v>
      </c>
      <c r="H720" s="24">
        <v>50</v>
      </c>
      <c r="I720" s="59" t="s">
        <v>3100</v>
      </c>
      <c r="J720" s="23" t="str">
        <f t="shared" si="278"/>
        <v>完成50次未知探索事件</v>
      </c>
      <c r="K720" s="23">
        <f t="shared" si="279"/>
        <v>10034100</v>
      </c>
      <c r="L720" s="23" t="s">
        <v>515</v>
      </c>
      <c r="M720" s="23">
        <v>10001170</v>
      </c>
      <c r="N720" s="23" t="s">
        <v>51</v>
      </c>
      <c r="O720" s="23" t="s">
        <v>52</v>
      </c>
      <c r="P720" s="4" t="str">
        <f t="shared" si="273"/>
        <v>taskReward{taskId:10001170}</v>
      </c>
      <c r="Q720" s="23" t="s">
        <v>52</v>
      </c>
      <c r="R720" s="61" t="s">
        <v>3142</v>
      </c>
      <c r="S720" s="24" t="str">
        <f t="shared" si="282"/>
        <v>explorationFinishCount { recordHistory:true, count: 50 }</v>
      </c>
      <c r="T720" s="24" t="s">
        <v>52</v>
      </c>
      <c r="V720" s="24"/>
      <c r="W720" s="23">
        <f t="shared" si="283"/>
        <v>100316</v>
      </c>
      <c r="Y720" s="23" t="s">
        <v>56</v>
      </c>
      <c r="Z720" s="23" t="s">
        <v>57</v>
      </c>
      <c r="AA720" s="23">
        <f t="shared" si="280"/>
        <v>34010</v>
      </c>
      <c r="AB720" s="23">
        <v>6622310</v>
      </c>
      <c r="AD720" s="23">
        <v>34</v>
      </c>
      <c r="AE720" s="23">
        <f t="shared" si="284"/>
        <v>10</v>
      </c>
    </row>
    <row r="721" spans="1:31" s="23" customFormat="1" x14ac:dyDescent="0.45">
      <c r="A721" s="23">
        <f t="shared" si="277"/>
        <v>10034110</v>
      </c>
      <c r="B721" s="23">
        <v>0</v>
      </c>
      <c r="C721" s="23">
        <v>34</v>
      </c>
      <c r="D721" s="23">
        <f t="shared" si="281"/>
        <v>11</v>
      </c>
      <c r="E721" s="23" t="s">
        <v>555</v>
      </c>
      <c r="F721" s="23" t="s">
        <v>3132</v>
      </c>
      <c r="G721" s="59" t="s">
        <v>3098</v>
      </c>
      <c r="H721" s="55">
        <v>55</v>
      </c>
      <c r="I721" s="59" t="s">
        <v>3100</v>
      </c>
      <c r="J721" s="23" t="str">
        <f t="shared" si="278"/>
        <v>完成55次未知探索事件</v>
      </c>
      <c r="K721" s="23">
        <f t="shared" si="279"/>
        <v>10034110</v>
      </c>
      <c r="L721" s="23" t="s">
        <v>515</v>
      </c>
      <c r="M721" s="23">
        <v>10001170</v>
      </c>
      <c r="N721" s="23" t="s">
        <v>51</v>
      </c>
      <c r="O721" s="23" t="s">
        <v>52</v>
      </c>
      <c r="P721" s="4" t="str">
        <f t="shared" si="273"/>
        <v>taskReward{taskId:10001170}</v>
      </c>
      <c r="Q721" s="23" t="s">
        <v>52</v>
      </c>
      <c r="R721" s="61" t="s">
        <v>3142</v>
      </c>
      <c r="S721" s="24" t="str">
        <f t="shared" si="282"/>
        <v>explorationFinishCount { recordHistory:true, count: 55 }</v>
      </c>
      <c r="T721" s="24" t="s">
        <v>52</v>
      </c>
      <c r="V721" s="24"/>
      <c r="W721" s="23">
        <f t="shared" si="283"/>
        <v>100316</v>
      </c>
      <c r="Y721" s="23" t="s">
        <v>56</v>
      </c>
      <c r="Z721" s="23" t="s">
        <v>57</v>
      </c>
      <c r="AA721" s="23">
        <f t="shared" si="280"/>
        <v>34011</v>
      </c>
      <c r="AB721" s="23">
        <v>6622311</v>
      </c>
      <c r="AD721" s="23">
        <v>34</v>
      </c>
      <c r="AE721" s="23">
        <f t="shared" si="284"/>
        <v>11</v>
      </c>
    </row>
    <row r="722" spans="1:31" s="23" customFormat="1" x14ac:dyDescent="0.45">
      <c r="A722" s="23">
        <f t="shared" si="277"/>
        <v>10034120</v>
      </c>
      <c r="B722" s="23">
        <v>0</v>
      </c>
      <c r="C722" s="23">
        <v>34</v>
      </c>
      <c r="D722" s="23">
        <f t="shared" si="281"/>
        <v>12</v>
      </c>
      <c r="E722" s="23" t="s">
        <v>555</v>
      </c>
      <c r="F722" s="23" t="s">
        <v>3133</v>
      </c>
      <c r="G722" s="59" t="s">
        <v>3098</v>
      </c>
      <c r="H722" s="55">
        <v>60</v>
      </c>
      <c r="I722" s="59" t="s">
        <v>3100</v>
      </c>
      <c r="J722" s="23" t="str">
        <f t="shared" si="278"/>
        <v>完成60次未知探索事件</v>
      </c>
      <c r="K722" s="23">
        <f t="shared" si="279"/>
        <v>10034120</v>
      </c>
      <c r="L722" s="23" t="s">
        <v>515</v>
      </c>
      <c r="M722" s="23">
        <v>10001170</v>
      </c>
      <c r="N722" s="23" t="s">
        <v>51</v>
      </c>
      <c r="O722" s="23" t="s">
        <v>52</v>
      </c>
      <c r="P722" s="4" t="str">
        <f t="shared" si="273"/>
        <v>taskReward{taskId:10001170}</v>
      </c>
      <c r="Q722" s="23" t="s">
        <v>52</v>
      </c>
      <c r="R722" s="61" t="s">
        <v>3142</v>
      </c>
      <c r="S722" s="24" t="str">
        <f t="shared" si="282"/>
        <v>explorationFinishCount { recordHistory:true, count: 60 }</v>
      </c>
      <c r="T722" s="24" t="s">
        <v>52</v>
      </c>
      <c r="V722" s="24"/>
      <c r="W722" s="23">
        <f t="shared" si="283"/>
        <v>100316</v>
      </c>
      <c r="Y722" s="23" t="s">
        <v>56</v>
      </c>
      <c r="Z722" s="23" t="s">
        <v>57</v>
      </c>
      <c r="AA722" s="23">
        <f t="shared" si="280"/>
        <v>34012</v>
      </c>
      <c r="AB722" s="23">
        <v>6622312</v>
      </c>
      <c r="AD722" s="23">
        <v>34</v>
      </c>
      <c r="AE722" s="23">
        <f t="shared" si="284"/>
        <v>12</v>
      </c>
    </row>
    <row r="723" spans="1:31" s="23" customFormat="1" x14ac:dyDescent="0.45">
      <c r="A723" s="23">
        <f t="shared" si="277"/>
        <v>10034130</v>
      </c>
      <c r="B723" s="23">
        <v>0</v>
      </c>
      <c r="C723" s="23">
        <v>34</v>
      </c>
      <c r="D723" s="23">
        <f t="shared" si="281"/>
        <v>13</v>
      </c>
      <c r="E723" s="23" t="s">
        <v>555</v>
      </c>
      <c r="F723" s="23" t="s">
        <v>3134</v>
      </c>
      <c r="G723" s="59" t="s">
        <v>3098</v>
      </c>
      <c r="H723" s="24">
        <v>65</v>
      </c>
      <c r="I723" s="59" t="s">
        <v>3100</v>
      </c>
      <c r="J723" s="23" t="str">
        <f t="shared" si="278"/>
        <v>完成65次未知探索事件</v>
      </c>
      <c r="K723" s="23">
        <f t="shared" si="279"/>
        <v>10034130</v>
      </c>
      <c r="L723" s="23" t="s">
        <v>515</v>
      </c>
      <c r="M723" s="23">
        <v>10001170</v>
      </c>
      <c r="N723" s="23" t="s">
        <v>51</v>
      </c>
      <c r="O723" s="23" t="s">
        <v>52</v>
      </c>
      <c r="P723" s="4" t="str">
        <f t="shared" si="273"/>
        <v>taskReward{taskId:10001170}</v>
      </c>
      <c r="Q723" s="23" t="s">
        <v>52</v>
      </c>
      <c r="R723" s="61" t="s">
        <v>3142</v>
      </c>
      <c r="S723" s="24" t="str">
        <f t="shared" si="282"/>
        <v>explorationFinishCount { recordHistory:true, count: 65 }</v>
      </c>
      <c r="T723" s="24" t="s">
        <v>52</v>
      </c>
      <c r="V723" s="24"/>
      <c r="W723" s="23">
        <f t="shared" si="283"/>
        <v>100316</v>
      </c>
      <c r="Y723" s="23" t="s">
        <v>56</v>
      </c>
      <c r="Z723" s="23" t="s">
        <v>57</v>
      </c>
      <c r="AA723" s="23">
        <f t="shared" si="280"/>
        <v>34013</v>
      </c>
      <c r="AB723" s="23">
        <v>6622313</v>
      </c>
      <c r="AD723" s="23">
        <v>34</v>
      </c>
      <c r="AE723" s="23">
        <f t="shared" si="284"/>
        <v>13</v>
      </c>
    </row>
    <row r="724" spans="1:31" s="23" customFormat="1" x14ac:dyDescent="0.45">
      <c r="A724" s="23">
        <f t="shared" si="277"/>
        <v>10034140</v>
      </c>
      <c r="B724" s="23">
        <v>0</v>
      </c>
      <c r="C724" s="23">
        <v>34</v>
      </c>
      <c r="D724" s="23">
        <f t="shared" si="281"/>
        <v>14</v>
      </c>
      <c r="E724" s="23" t="s">
        <v>555</v>
      </c>
      <c r="F724" s="23" t="s">
        <v>3135</v>
      </c>
      <c r="G724" s="59" t="s">
        <v>3098</v>
      </c>
      <c r="H724" s="55">
        <v>70</v>
      </c>
      <c r="I724" s="59" t="s">
        <v>3100</v>
      </c>
      <c r="J724" s="23" t="str">
        <f t="shared" si="278"/>
        <v>完成70次未知探索事件</v>
      </c>
      <c r="K724" s="23">
        <f t="shared" si="279"/>
        <v>10034140</v>
      </c>
      <c r="L724" s="23" t="s">
        <v>515</v>
      </c>
      <c r="M724" s="23">
        <v>10001170</v>
      </c>
      <c r="N724" s="23" t="s">
        <v>51</v>
      </c>
      <c r="O724" s="23" t="s">
        <v>52</v>
      </c>
      <c r="P724" s="4" t="str">
        <f t="shared" si="273"/>
        <v>taskReward{taskId:10001170}</v>
      </c>
      <c r="Q724" s="23" t="s">
        <v>52</v>
      </c>
      <c r="R724" s="61" t="s">
        <v>3142</v>
      </c>
      <c r="S724" s="24" t="str">
        <f t="shared" si="282"/>
        <v>explorationFinishCount { recordHistory:true, count: 70 }</v>
      </c>
      <c r="T724" s="24" t="s">
        <v>52</v>
      </c>
      <c r="V724" s="24"/>
      <c r="W724" s="23">
        <f t="shared" si="283"/>
        <v>100316</v>
      </c>
      <c r="Y724" s="23" t="s">
        <v>56</v>
      </c>
      <c r="Z724" s="23" t="s">
        <v>57</v>
      </c>
      <c r="AA724" s="23">
        <f t="shared" si="280"/>
        <v>34014</v>
      </c>
      <c r="AB724" s="23">
        <v>6622314</v>
      </c>
      <c r="AD724" s="23">
        <v>34</v>
      </c>
      <c r="AE724" s="23">
        <f t="shared" si="284"/>
        <v>14</v>
      </c>
    </row>
    <row r="725" spans="1:31" s="23" customFormat="1" x14ac:dyDescent="0.45">
      <c r="A725" s="23">
        <f t="shared" si="277"/>
        <v>10034150</v>
      </c>
      <c r="B725" s="23">
        <v>0</v>
      </c>
      <c r="C725" s="23">
        <v>34</v>
      </c>
      <c r="D725" s="23">
        <f t="shared" si="281"/>
        <v>15</v>
      </c>
      <c r="E725" s="23" t="s">
        <v>555</v>
      </c>
      <c r="F725" s="23" t="s">
        <v>3136</v>
      </c>
      <c r="G725" s="59" t="s">
        <v>3098</v>
      </c>
      <c r="H725" s="55">
        <v>75</v>
      </c>
      <c r="I725" s="59" t="s">
        <v>3100</v>
      </c>
      <c r="J725" s="23" t="str">
        <f t="shared" si="278"/>
        <v>完成75次未知探索事件</v>
      </c>
      <c r="K725" s="23">
        <f t="shared" si="279"/>
        <v>10034150</v>
      </c>
      <c r="L725" s="23" t="s">
        <v>515</v>
      </c>
      <c r="M725" s="23">
        <v>10001170</v>
      </c>
      <c r="N725" s="23" t="s">
        <v>51</v>
      </c>
      <c r="O725" s="23" t="s">
        <v>52</v>
      </c>
      <c r="P725" s="4" t="str">
        <f t="shared" si="273"/>
        <v>taskReward{taskId:10001170}</v>
      </c>
      <c r="Q725" s="23" t="s">
        <v>52</v>
      </c>
      <c r="R725" s="61" t="s">
        <v>3142</v>
      </c>
      <c r="S725" s="24" t="str">
        <f t="shared" si="282"/>
        <v>explorationFinishCount { recordHistory:true, count: 75 }</v>
      </c>
      <c r="T725" s="24" t="s">
        <v>52</v>
      </c>
      <c r="V725" s="24"/>
      <c r="W725" s="23">
        <f t="shared" si="283"/>
        <v>100316</v>
      </c>
      <c r="Y725" s="23" t="s">
        <v>56</v>
      </c>
      <c r="Z725" s="23" t="s">
        <v>57</v>
      </c>
      <c r="AA725" s="23">
        <f t="shared" si="280"/>
        <v>34015</v>
      </c>
      <c r="AB725" s="23">
        <v>6622315</v>
      </c>
      <c r="AD725" s="23">
        <v>34</v>
      </c>
      <c r="AE725" s="23">
        <f t="shared" si="284"/>
        <v>15</v>
      </c>
    </row>
    <row r="726" spans="1:31" s="23" customFormat="1" x14ac:dyDescent="0.45">
      <c r="A726" s="23">
        <f t="shared" si="277"/>
        <v>10034160</v>
      </c>
      <c r="B726" s="23">
        <v>0</v>
      </c>
      <c r="C726" s="23">
        <v>34</v>
      </c>
      <c r="D726" s="23">
        <f t="shared" si="281"/>
        <v>16</v>
      </c>
      <c r="E726" s="23" t="s">
        <v>555</v>
      </c>
      <c r="F726" s="23" t="s">
        <v>3137</v>
      </c>
      <c r="G726" s="59" t="s">
        <v>3098</v>
      </c>
      <c r="H726" s="24">
        <v>80</v>
      </c>
      <c r="I726" s="59" t="s">
        <v>3100</v>
      </c>
      <c r="J726" s="23" t="str">
        <f t="shared" si="278"/>
        <v>完成80次未知探索事件</v>
      </c>
      <c r="K726" s="23">
        <f t="shared" si="279"/>
        <v>10034160</v>
      </c>
      <c r="L726" s="23" t="s">
        <v>515</v>
      </c>
      <c r="M726" s="23">
        <v>10001170</v>
      </c>
      <c r="N726" s="23" t="s">
        <v>51</v>
      </c>
      <c r="O726" s="23" t="s">
        <v>52</v>
      </c>
      <c r="P726" s="4" t="str">
        <f t="shared" si="273"/>
        <v>taskReward{taskId:10001170}</v>
      </c>
      <c r="Q726" s="23" t="s">
        <v>52</v>
      </c>
      <c r="R726" s="61" t="s">
        <v>3142</v>
      </c>
      <c r="S726" s="24" t="str">
        <f t="shared" si="282"/>
        <v>explorationFinishCount { recordHistory:true, count: 80 }</v>
      </c>
      <c r="T726" s="24" t="s">
        <v>52</v>
      </c>
      <c r="V726" s="24"/>
      <c r="W726" s="23">
        <f t="shared" si="283"/>
        <v>100316</v>
      </c>
      <c r="Y726" s="23" t="s">
        <v>56</v>
      </c>
      <c r="Z726" s="23" t="s">
        <v>57</v>
      </c>
      <c r="AA726" s="23">
        <f t="shared" si="280"/>
        <v>34016</v>
      </c>
      <c r="AB726" s="23">
        <v>6622316</v>
      </c>
      <c r="AD726" s="23">
        <v>34</v>
      </c>
      <c r="AE726" s="23">
        <f t="shared" si="284"/>
        <v>16</v>
      </c>
    </row>
    <row r="727" spans="1:31" s="23" customFormat="1" x14ac:dyDescent="0.45">
      <c r="A727" s="23">
        <f t="shared" si="277"/>
        <v>10034170</v>
      </c>
      <c r="B727" s="23">
        <v>0</v>
      </c>
      <c r="C727" s="23">
        <v>34</v>
      </c>
      <c r="D727" s="23">
        <f t="shared" si="281"/>
        <v>17</v>
      </c>
      <c r="E727" s="23" t="s">
        <v>555</v>
      </c>
      <c r="F727" s="23" t="s">
        <v>3138</v>
      </c>
      <c r="G727" s="59" t="s">
        <v>3098</v>
      </c>
      <c r="H727" s="55">
        <v>85</v>
      </c>
      <c r="I727" s="59" t="s">
        <v>3100</v>
      </c>
      <c r="J727" s="23" t="str">
        <f t="shared" si="278"/>
        <v>完成85次未知探索事件</v>
      </c>
      <c r="K727" s="23">
        <f t="shared" si="279"/>
        <v>10034170</v>
      </c>
      <c r="L727" s="23" t="s">
        <v>515</v>
      </c>
      <c r="M727" s="23">
        <v>10001170</v>
      </c>
      <c r="N727" s="23" t="s">
        <v>51</v>
      </c>
      <c r="O727" s="23" t="s">
        <v>52</v>
      </c>
      <c r="P727" s="4" t="str">
        <f t="shared" si="273"/>
        <v>taskReward{taskId:10001170}</v>
      </c>
      <c r="Q727" s="23" t="s">
        <v>52</v>
      </c>
      <c r="R727" s="61" t="s">
        <v>3142</v>
      </c>
      <c r="S727" s="24" t="str">
        <f t="shared" si="282"/>
        <v>explorationFinishCount { recordHistory:true, count: 85 }</v>
      </c>
      <c r="T727" s="24" t="s">
        <v>52</v>
      </c>
      <c r="V727" s="24"/>
      <c r="W727" s="23">
        <f t="shared" si="283"/>
        <v>100316</v>
      </c>
      <c r="Y727" s="23" t="s">
        <v>56</v>
      </c>
      <c r="Z727" s="23" t="s">
        <v>57</v>
      </c>
      <c r="AA727" s="23">
        <f t="shared" si="280"/>
        <v>34017</v>
      </c>
      <c r="AB727" s="23">
        <v>6622317</v>
      </c>
      <c r="AD727" s="23">
        <v>34</v>
      </c>
      <c r="AE727" s="23">
        <f t="shared" si="284"/>
        <v>17</v>
      </c>
    </row>
    <row r="728" spans="1:31" s="23" customFormat="1" x14ac:dyDescent="0.45">
      <c r="A728" s="23">
        <f t="shared" si="277"/>
        <v>10034180</v>
      </c>
      <c r="B728" s="23">
        <v>0</v>
      </c>
      <c r="C728" s="23">
        <v>34</v>
      </c>
      <c r="D728" s="23">
        <f t="shared" si="281"/>
        <v>18</v>
      </c>
      <c r="E728" s="23" t="s">
        <v>555</v>
      </c>
      <c r="F728" s="23" t="s">
        <v>3139</v>
      </c>
      <c r="G728" s="59" t="s">
        <v>3098</v>
      </c>
      <c r="H728" s="55">
        <v>90</v>
      </c>
      <c r="I728" s="59" t="s">
        <v>3100</v>
      </c>
      <c r="J728" s="23" t="str">
        <f t="shared" si="278"/>
        <v>完成90次未知探索事件</v>
      </c>
      <c r="K728" s="23">
        <f t="shared" si="279"/>
        <v>10034180</v>
      </c>
      <c r="L728" s="23" t="s">
        <v>515</v>
      </c>
      <c r="M728" s="23">
        <v>10001170</v>
      </c>
      <c r="N728" s="23" t="s">
        <v>51</v>
      </c>
      <c r="O728" s="23" t="s">
        <v>52</v>
      </c>
      <c r="P728" s="4" t="str">
        <f t="shared" si="273"/>
        <v>taskReward{taskId:10001170}</v>
      </c>
      <c r="Q728" s="23" t="s">
        <v>52</v>
      </c>
      <c r="R728" s="61" t="s">
        <v>3142</v>
      </c>
      <c r="S728" s="24" t="str">
        <f t="shared" si="282"/>
        <v>explorationFinishCount { recordHistory:true, count: 90 }</v>
      </c>
      <c r="T728" s="24" t="s">
        <v>52</v>
      </c>
      <c r="V728" s="24"/>
      <c r="W728" s="23">
        <f t="shared" si="283"/>
        <v>100316</v>
      </c>
      <c r="Y728" s="23" t="s">
        <v>56</v>
      </c>
      <c r="Z728" s="23" t="s">
        <v>57</v>
      </c>
      <c r="AA728" s="23">
        <f t="shared" si="280"/>
        <v>34018</v>
      </c>
      <c r="AB728" s="23">
        <v>6622318</v>
      </c>
      <c r="AD728" s="23">
        <v>34</v>
      </c>
      <c r="AE728" s="23">
        <f t="shared" si="284"/>
        <v>18</v>
      </c>
    </row>
    <row r="729" spans="1:31" s="23" customFormat="1" x14ac:dyDescent="0.45">
      <c r="A729" s="23">
        <f t="shared" si="277"/>
        <v>10034190</v>
      </c>
      <c r="B729" s="23">
        <v>0</v>
      </c>
      <c r="C729" s="23">
        <v>34</v>
      </c>
      <c r="D729" s="23">
        <f t="shared" si="281"/>
        <v>19</v>
      </c>
      <c r="E729" s="23" t="s">
        <v>555</v>
      </c>
      <c r="F729" s="23" t="s">
        <v>3140</v>
      </c>
      <c r="G729" s="59" t="s">
        <v>3098</v>
      </c>
      <c r="H729" s="24">
        <v>95</v>
      </c>
      <c r="I729" s="59" t="s">
        <v>3100</v>
      </c>
      <c r="J729" s="23" t="str">
        <f t="shared" si="278"/>
        <v>完成95次未知探索事件</v>
      </c>
      <c r="K729" s="23">
        <f t="shared" si="279"/>
        <v>10034190</v>
      </c>
      <c r="L729" s="23" t="s">
        <v>515</v>
      </c>
      <c r="M729" s="23">
        <v>10001170</v>
      </c>
      <c r="N729" s="23" t="s">
        <v>51</v>
      </c>
      <c r="O729" s="23" t="s">
        <v>52</v>
      </c>
      <c r="P729" s="4" t="str">
        <f t="shared" si="273"/>
        <v>taskReward{taskId:10001170}</v>
      </c>
      <c r="Q729" s="23" t="s">
        <v>52</v>
      </c>
      <c r="R729" s="61" t="s">
        <v>3142</v>
      </c>
      <c r="S729" s="24" t="str">
        <f t="shared" si="282"/>
        <v>explorationFinishCount { recordHistory:true, count: 95 }</v>
      </c>
      <c r="T729" s="24" t="s">
        <v>52</v>
      </c>
      <c r="V729" s="24"/>
      <c r="W729" s="23">
        <f t="shared" si="283"/>
        <v>100316</v>
      </c>
      <c r="Y729" s="23" t="s">
        <v>56</v>
      </c>
      <c r="Z729" s="23" t="s">
        <v>57</v>
      </c>
      <c r="AA729" s="23">
        <f t="shared" si="280"/>
        <v>34019</v>
      </c>
      <c r="AB729" s="23">
        <v>6622319</v>
      </c>
      <c r="AD729" s="23">
        <v>34</v>
      </c>
      <c r="AE729" s="23">
        <f t="shared" si="284"/>
        <v>19</v>
      </c>
    </row>
    <row r="730" spans="1:31" s="23" customFormat="1" x14ac:dyDescent="0.45">
      <c r="A730" s="23">
        <f t="shared" ref="A730:A739" si="285">10000000+B730*100000+C730*1000+D730*10</f>
        <v>10034200</v>
      </c>
      <c r="B730" s="23">
        <v>0</v>
      </c>
      <c r="C730" s="23">
        <v>34</v>
      </c>
      <c r="D730" s="23">
        <f t="shared" ref="D730:D739" si="286">IF(C730=C729,D729+1,1)</f>
        <v>20</v>
      </c>
      <c r="E730" s="23" t="s">
        <v>555</v>
      </c>
      <c r="F730" s="23" t="s">
        <v>3141</v>
      </c>
      <c r="G730" s="59" t="s">
        <v>3098</v>
      </c>
      <c r="H730" s="55">
        <v>100</v>
      </c>
      <c r="I730" s="59" t="s">
        <v>3100</v>
      </c>
      <c r="J730" s="23" t="str">
        <f t="shared" ref="J730:J739" si="287">G730&amp;H730&amp;I730</f>
        <v>完成100次未知探索事件</v>
      </c>
      <c r="K730" s="23">
        <f t="shared" ref="K730:K739" si="288">A730</f>
        <v>10034200</v>
      </c>
      <c r="L730" s="23" t="s">
        <v>515</v>
      </c>
      <c r="M730" s="23">
        <v>10001170</v>
      </c>
      <c r="N730" s="23" t="s">
        <v>51</v>
      </c>
      <c r="O730" s="23" t="s">
        <v>52</v>
      </c>
      <c r="P730" s="4" t="str">
        <f t="shared" si="273"/>
        <v>taskReward{taskId:10001170}</v>
      </c>
      <c r="Q730" s="23" t="s">
        <v>52</v>
      </c>
      <c r="R730" s="61" t="s">
        <v>3142</v>
      </c>
      <c r="S730" s="24" t="str">
        <f t="shared" ref="S730:S739" si="289">SUBSTITUTE(R730,"@@@",H730)</f>
        <v>explorationFinishCount { recordHistory:true, count: 100 }</v>
      </c>
      <c r="T730" s="24" t="s">
        <v>52</v>
      </c>
      <c r="V730" s="24"/>
      <c r="W730" s="23">
        <f t="shared" si="283"/>
        <v>100316</v>
      </c>
      <c r="Y730" s="23" t="s">
        <v>56</v>
      </c>
      <c r="Z730" s="23" t="s">
        <v>57</v>
      </c>
      <c r="AA730" s="23">
        <f t="shared" ref="AA730:AA739" si="290">AD730*1000+AE730</f>
        <v>34020</v>
      </c>
      <c r="AB730" s="23">
        <v>6622319</v>
      </c>
      <c r="AD730" s="23">
        <v>34</v>
      </c>
      <c r="AE730" s="23">
        <f t="shared" ref="AE730:AE739" si="291">IF(AD730=AD729,AE729+1,1)</f>
        <v>20</v>
      </c>
    </row>
    <row r="731" spans="1:31" s="23" customFormat="1" x14ac:dyDescent="0.45">
      <c r="A731" s="23">
        <f t="shared" si="285"/>
        <v>10034210</v>
      </c>
      <c r="B731" s="23">
        <v>0</v>
      </c>
      <c r="C731" s="23">
        <v>34</v>
      </c>
      <c r="D731" s="23">
        <f t="shared" si="286"/>
        <v>21</v>
      </c>
      <c r="E731" s="23" t="s">
        <v>555</v>
      </c>
      <c r="F731" s="23" t="s">
        <v>3145</v>
      </c>
      <c r="G731" s="59" t="s">
        <v>3098</v>
      </c>
      <c r="H731" s="55">
        <v>105</v>
      </c>
      <c r="I731" s="59" t="s">
        <v>3100</v>
      </c>
      <c r="J731" s="23" t="str">
        <f t="shared" si="287"/>
        <v>完成105次未知探索事件</v>
      </c>
      <c r="K731" s="23">
        <f t="shared" si="288"/>
        <v>10034210</v>
      </c>
      <c r="L731" s="23" t="s">
        <v>515</v>
      </c>
      <c r="M731" s="23">
        <v>10001170</v>
      </c>
      <c r="N731" s="23" t="s">
        <v>51</v>
      </c>
      <c r="O731" s="23" t="s">
        <v>52</v>
      </c>
      <c r="P731" s="4" t="str">
        <f t="shared" ref="P731:P740" si="292">SUBSTITUTE(N731,"@@@",M731)</f>
        <v>taskReward{taskId:10001170}</v>
      </c>
      <c r="Q731" s="23" t="s">
        <v>52</v>
      </c>
      <c r="R731" s="61" t="s">
        <v>3142</v>
      </c>
      <c r="S731" s="24" t="str">
        <f t="shared" si="289"/>
        <v>explorationFinishCount { recordHistory:true, count: 105 }</v>
      </c>
      <c r="T731" s="24" t="s">
        <v>52</v>
      </c>
      <c r="V731" s="24"/>
      <c r="W731" s="23">
        <f t="shared" si="283"/>
        <v>100316</v>
      </c>
      <c r="Y731" s="23" t="s">
        <v>56</v>
      </c>
      <c r="Z731" s="23" t="s">
        <v>57</v>
      </c>
      <c r="AA731" s="23">
        <f t="shared" si="290"/>
        <v>34021</v>
      </c>
      <c r="AB731" s="23">
        <v>6622311</v>
      </c>
      <c r="AD731" s="23">
        <v>34</v>
      </c>
      <c r="AE731" s="23">
        <f t="shared" si="291"/>
        <v>21</v>
      </c>
    </row>
    <row r="732" spans="1:31" s="23" customFormat="1" x14ac:dyDescent="0.45">
      <c r="A732" s="23">
        <f t="shared" si="285"/>
        <v>10034220</v>
      </c>
      <c r="B732" s="23">
        <v>0</v>
      </c>
      <c r="C732" s="23">
        <v>34</v>
      </c>
      <c r="D732" s="23">
        <f t="shared" si="286"/>
        <v>22</v>
      </c>
      <c r="E732" s="23" t="s">
        <v>555</v>
      </c>
      <c r="F732" s="23" t="s">
        <v>3146</v>
      </c>
      <c r="G732" s="59" t="s">
        <v>3098</v>
      </c>
      <c r="H732" s="24">
        <v>110</v>
      </c>
      <c r="I732" s="59" t="s">
        <v>3100</v>
      </c>
      <c r="J732" s="23" t="str">
        <f t="shared" si="287"/>
        <v>完成110次未知探索事件</v>
      </c>
      <c r="K732" s="23">
        <f t="shared" si="288"/>
        <v>10034220</v>
      </c>
      <c r="L732" s="23" t="s">
        <v>515</v>
      </c>
      <c r="M732" s="23">
        <v>10001170</v>
      </c>
      <c r="N732" s="23" t="s">
        <v>51</v>
      </c>
      <c r="O732" s="23" t="s">
        <v>52</v>
      </c>
      <c r="P732" s="4" t="str">
        <f t="shared" si="292"/>
        <v>taskReward{taskId:10001170}</v>
      </c>
      <c r="Q732" s="23" t="s">
        <v>52</v>
      </c>
      <c r="R732" s="61" t="s">
        <v>3142</v>
      </c>
      <c r="S732" s="24" t="str">
        <f t="shared" si="289"/>
        <v>explorationFinishCount { recordHistory:true, count: 110 }</v>
      </c>
      <c r="T732" s="24" t="s">
        <v>52</v>
      </c>
      <c r="V732" s="24"/>
      <c r="W732" s="23">
        <f t="shared" si="283"/>
        <v>100316</v>
      </c>
      <c r="Y732" s="23" t="s">
        <v>56</v>
      </c>
      <c r="Z732" s="23" t="s">
        <v>57</v>
      </c>
      <c r="AA732" s="23">
        <f t="shared" si="290"/>
        <v>34022</v>
      </c>
      <c r="AB732" s="23">
        <v>6622312</v>
      </c>
      <c r="AD732" s="23">
        <v>34</v>
      </c>
      <c r="AE732" s="23">
        <f t="shared" si="291"/>
        <v>22</v>
      </c>
    </row>
    <row r="733" spans="1:31" s="23" customFormat="1" x14ac:dyDescent="0.45">
      <c r="A733" s="23">
        <f t="shared" si="285"/>
        <v>10034230</v>
      </c>
      <c r="B733" s="23">
        <v>0</v>
      </c>
      <c r="C733" s="23">
        <v>34</v>
      </c>
      <c r="D733" s="23">
        <f t="shared" si="286"/>
        <v>23</v>
      </c>
      <c r="E733" s="23" t="s">
        <v>555</v>
      </c>
      <c r="F733" s="23" t="s">
        <v>3147</v>
      </c>
      <c r="G733" s="59" t="s">
        <v>3098</v>
      </c>
      <c r="H733" s="55">
        <v>115</v>
      </c>
      <c r="I733" s="59" t="s">
        <v>3100</v>
      </c>
      <c r="J733" s="23" t="str">
        <f t="shared" si="287"/>
        <v>完成115次未知探索事件</v>
      </c>
      <c r="K733" s="23">
        <f t="shared" si="288"/>
        <v>10034230</v>
      </c>
      <c r="L733" s="23" t="s">
        <v>515</v>
      </c>
      <c r="M733" s="23">
        <v>10001170</v>
      </c>
      <c r="N733" s="23" t="s">
        <v>51</v>
      </c>
      <c r="O733" s="23" t="s">
        <v>52</v>
      </c>
      <c r="P733" s="4" t="str">
        <f t="shared" si="292"/>
        <v>taskReward{taskId:10001170}</v>
      </c>
      <c r="Q733" s="23" t="s">
        <v>52</v>
      </c>
      <c r="R733" s="61" t="s">
        <v>3142</v>
      </c>
      <c r="S733" s="24" t="str">
        <f t="shared" si="289"/>
        <v>explorationFinishCount { recordHistory:true, count: 115 }</v>
      </c>
      <c r="T733" s="24" t="s">
        <v>52</v>
      </c>
      <c r="V733" s="24"/>
      <c r="W733" s="23">
        <f t="shared" si="283"/>
        <v>100316</v>
      </c>
      <c r="Y733" s="23" t="s">
        <v>56</v>
      </c>
      <c r="Z733" s="23" t="s">
        <v>57</v>
      </c>
      <c r="AA733" s="23">
        <f t="shared" si="290"/>
        <v>34023</v>
      </c>
      <c r="AB733" s="23">
        <v>6622313</v>
      </c>
      <c r="AD733" s="23">
        <v>34</v>
      </c>
      <c r="AE733" s="23">
        <f t="shared" si="291"/>
        <v>23</v>
      </c>
    </row>
    <row r="734" spans="1:31" s="23" customFormat="1" x14ac:dyDescent="0.45">
      <c r="A734" s="23">
        <f t="shared" si="285"/>
        <v>10034240</v>
      </c>
      <c r="B734" s="23">
        <v>0</v>
      </c>
      <c r="C734" s="23">
        <v>34</v>
      </c>
      <c r="D734" s="23">
        <f t="shared" si="286"/>
        <v>24</v>
      </c>
      <c r="E734" s="23" t="s">
        <v>555</v>
      </c>
      <c r="F734" s="23" t="s">
        <v>3148</v>
      </c>
      <c r="G734" s="59" t="s">
        <v>3098</v>
      </c>
      <c r="H734" s="55">
        <v>120</v>
      </c>
      <c r="I734" s="59" t="s">
        <v>3100</v>
      </c>
      <c r="J734" s="23" t="str">
        <f t="shared" si="287"/>
        <v>完成120次未知探索事件</v>
      </c>
      <c r="K734" s="23">
        <f t="shared" si="288"/>
        <v>10034240</v>
      </c>
      <c r="L734" s="23" t="s">
        <v>515</v>
      </c>
      <c r="M734" s="23">
        <v>10001170</v>
      </c>
      <c r="N734" s="23" t="s">
        <v>51</v>
      </c>
      <c r="O734" s="23" t="s">
        <v>52</v>
      </c>
      <c r="P734" s="4" t="str">
        <f t="shared" si="292"/>
        <v>taskReward{taskId:10001170}</v>
      </c>
      <c r="Q734" s="23" t="s">
        <v>52</v>
      </c>
      <c r="R734" s="61" t="s">
        <v>3142</v>
      </c>
      <c r="S734" s="24" t="str">
        <f t="shared" si="289"/>
        <v>explorationFinishCount { recordHistory:true, count: 120 }</v>
      </c>
      <c r="T734" s="24" t="s">
        <v>52</v>
      </c>
      <c r="V734" s="24"/>
      <c r="W734" s="23">
        <f t="shared" si="283"/>
        <v>100316</v>
      </c>
      <c r="Y734" s="23" t="s">
        <v>56</v>
      </c>
      <c r="Z734" s="23" t="s">
        <v>57</v>
      </c>
      <c r="AA734" s="23">
        <f t="shared" si="290"/>
        <v>34024</v>
      </c>
      <c r="AB734" s="23">
        <v>6622314</v>
      </c>
      <c r="AD734" s="23">
        <v>34</v>
      </c>
      <c r="AE734" s="23">
        <f t="shared" si="291"/>
        <v>24</v>
      </c>
    </row>
    <row r="735" spans="1:31" s="23" customFormat="1" x14ac:dyDescent="0.45">
      <c r="A735" s="23">
        <f t="shared" si="285"/>
        <v>10034250</v>
      </c>
      <c r="B735" s="23">
        <v>0</v>
      </c>
      <c r="C735" s="23">
        <v>34</v>
      </c>
      <c r="D735" s="23">
        <f t="shared" si="286"/>
        <v>25</v>
      </c>
      <c r="E735" s="23" t="s">
        <v>555</v>
      </c>
      <c r="F735" s="23" t="s">
        <v>3149</v>
      </c>
      <c r="G735" s="59" t="s">
        <v>3098</v>
      </c>
      <c r="H735" s="24">
        <v>125</v>
      </c>
      <c r="I735" s="59" t="s">
        <v>3100</v>
      </c>
      <c r="J735" s="23" t="str">
        <f t="shared" si="287"/>
        <v>完成125次未知探索事件</v>
      </c>
      <c r="K735" s="23">
        <f t="shared" si="288"/>
        <v>10034250</v>
      </c>
      <c r="L735" s="23" t="s">
        <v>515</v>
      </c>
      <c r="M735" s="23">
        <v>10001170</v>
      </c>
      <c r="N735" s="23" t="s">
        <v>51</v>
      </c>
      <c r="O735" s="23" t="s">
        <v>52</v>
      </c>
      <c r="P735" s="4" t="str">
        <f t="shared" si="292"/>
        <v>taskReward{taskId:10001170}</v>
      </c>
      <c r="Q735" s="23" t="s">
        <v>52</v>
      </c>
      <c r="R735" s="61" t="s">
        <v>3142</v>
      </c>
      <c r="S735" s="24" t="str">
        <f t="shared" si="289"/>
        <v>explorationFinishCount { recordHistory:true, count: 125 }</v>
      </c>
      <c r="T735" s="24" t="s">
        <v>52</v>
      </c>
      <c r="V735" s="24"/>
      <c r="W735" s="23">
        <f t="shared" si="283"/>
        <v>100316</v>
      </c>
      <c r="Y735" s="23" t="s">
        <v>56</v>
      </c>
      <c r="Z735" s="23" t="s">
        <v>57</v>
      </c>
      <c r="AA735" s="23">
        <f t="shared" si="290"/>
        <v>34025</v>
      </c>
      <c r="AB735" s="23">
        <v>6622315</v>
      </c>
      <c r="AD735" s="23">
        <v>34</v>
      </c>
      <c r="AE735" s="23">
        <f t="shared" si="291"/>
        <v>25</v>
      </c>
    </row>
    <row r="736" spans="1:31" s="23" customFormat="1" x14ac:dyDescent="0.45">
      <c r="A736" s="23">
        <f t="shared" si="285"/>
        <v>10034260</v>
      </c>
      <c r="B736" s="23">
        <v>0</v>
      </c>
      <c r="C736" s="23">
        <v>34</v>
      </c>
      <c r="D736" s="23">
        <f t="shared" si="286"/>
        <v>26</v>
      </c>
      <c r="E736" s="23" t="s">
        <v>555</v>
      </c>
      <c r="F736" s="23" t="s">
        <v>3150</v>
      </c>
      <c r="G736" s="59" t="s">
        <v>3098</v>
      </c>
      <c r="H736" s="55">
        <v>130</v>
      </c>
      <c r="I736" s="59" t="s">
        <v>3100</v>
      </c>
      <c r="J736" s="23" t="str">
        <f t="shared" si="287"/>
        <v>完成130次未知探索事件</v>
      </c>
      <c r="K736" s="23">
        <f t="shared" si="288"/>
        <v>10034260</v>
      </c>
      <c r="L736" s="23" t="s">
        <v>515</v>
      </c>
      <c r="M736" s="23">
        <v>10001170</v>
      </c>
      <c r="N736" s="23" t="s">
        <v>51</v>
      </c>
      <c r="O736" s="23" t="s">
        <v>52</v>
      </c>
      <c r="P736" s="4" t="str">
        <f t="shared" si="292"/>
        <v>taskReward{taskId:10001170}</v>
      </c>
      <c r="Q736" s="23" t="s">
        <v>52</v>
      </c>
      <c r="R736" s="61" t="s">
        <v>3142</v>
      </c>
      <c r="S736" s="24" t="str">
        <f t="shared" si="289"/>
        <v>explorationFinishCount { recordHistory:true, count: 130 }</v>
      </c>
      <c r="T736" s="24" t="s">
        <v>52</v>
      </c>
      <c r="V736" s="24"/>
      <c r="W736" s="23">
        <f t="shared" si="283"/>
        <v>100316</v>
      </c>
      <c r="Y736" s="23" t="s">
        <v>56</v>
      </c>
      <c r="Z736" s="23" t="s">
        <v>57</v>
      </c>
      <c r="AA736" s="23">
        <f t="shared" si="290"/>
        <v>34026</v>
      </c>
      <c r="AB736" s="23">
        <v>6622316</v>
      </c>
      <c r="AD736" s="23">
        <v>34</v>
      </c>
      <c r="AE736" s="23">
        <f t="shared" si="291"/>
        <v>26</v>
      </c>
    </row>
    <row r="737" spans="1:31" s="23" customFormat="1" x14ac:dyDescent="0.45">
      <c r="A737" s="23">
        <f t="shared" si="285"/>
        <v>10034270</v>
      </c>
      <c r="B737" s="23">
        <v>0</v>
      </c>
      <c r="C737" s="23">
        <v>34</v>
      </c>
      <c r="D737" s="23">
        <f t="shared" si="286"/>
        <v>27</v>
      </c>
      <c r="E737" s="23" t="s">
        <v>555</v>
      </c>
      <c r="F737" s="23" t="s">
        <v>3151</v>
      </c>
      <c r="G737" s="59" t="s">
        <v>3098</v>
      </c>
      <c r="H737" s="55">
        <v>135</v>
      </c>
      <c r="I737" s="59" t="s">
        <v>3100</v>
      </c>
      <c r="J737" s="23" t="str">
        <f t="shared" si="287"/>
        <v>完成135次未知探索事件</v>
      </c>
      <c r="K737" s="23">
        <f t="shared" si="288"/>
        <v>10034270</v>
      </c>
      <c r="L737" s="23" t="s">
        <v>515</v>
      </c>
      <c r="M737" s="23">
        <v>10001170</v>
      </c>
      <c r="N737" s="23" t="s">
        <v>51</v>
      </c>
      <c r="O737" s="23" t="s">
        <v>52</v>
      </c>
      <c r="P737" s="4" t="str">
        <f t="shared" si="292"/>
        <v>taskReward{taskId:10001170}</v>
      </c>
      <c r="Q737" s="23" t="s">
        <v>52</v>
      </c>
      <c r="R737" s="61" t="s">
        <v>3142</v>
      </c>
      <c r="S737" s="24" t="str">
        <f t="shared" si="289"/>
        <v>explorationFinishCount { recordHistory:true, count: 135 }</v>
      </c>
      <c r="T737" s="24" t="s">
        <v>52</v>
      </c>
      <c r="V737" s="24"/>
      <c r="W737" s="23">
        <f t="shared" si="283"/>
        <v>100316</v>
      </c>
      <c r="Y737" s="23" t="s">
        <v>56</v>
      </c>
      <c r="Z737" s="23" t="s">
        <v>57</v>
      </c>
      <c r="AA737" s="23">
        <f t="shared" si="290"/>
        <v>34027</v>
      </c>
      <c r="AB737" s="23">
        <v>6622317</v>
      </c>
      <c r="AD737" s="23">
        <v>34</v>
      </c>
      <c r="AE737" s="23">
        <f t="shared" si="291"/>
        <v>27</v>
      </c>
    </row>
    <row r="738" spans="1:31" s="23" customFormat="1" x14ac:dyDescent="0.45">
      <c r="A738" s="23">
        <f t="shared" si="285"/>
        <v>10034280</v>
      </c>
      <c r="B738" s="23">
        <v>0</v>
      </c>
      <c r="C738" s="23">
        <v>34</v>
      </c>
      <c r="D738" s="23">
        <f t="shared" si="286"/>
        <v>28</v>
      </c>
      <c r="E738" s="23" t="s">
        <v>555</v>
      </c>
      <c r="F738" s="23" t="s">
        <v>3152</v>
      </c>
      <c r="G738" s="59" t="s">
        <v>3098</v>
      </c>
      <c r="H738" s="24">
        <v>140</v>
      </c>
      <c r="I738" s="59" t="s">
        <v>3100</v>
      </c>
      <c r="J738" s="23" t="str">
        <f t="shared" si="287"/>
        <v>完成140次未知探索事件</v>
      </c>
      <c r="K738" s="23">
        <f t="shared" si="288"/>
        <v>10034280</v>
      </c>
      <c r="L738" s="23" t="s">
        <v>515</v>
      </c>
      <c r="M738" s="23">
        <v>10001170</v>
      </c>
      <c r="N738" s="23" t="s">
        <v>51</v>
      </c>
      <c r="O738" s="23" t="s">
        <v>52</v>
      </c>
      <c r="P738" s="4" t="str">
        <f t="shared" si="292"/>
        <v>taskReward{taskId:10001170}</v>
      </c>
      <c r="Q738" s="23" t="s">
        <v>52</v>
      </c>
      <c r="R738" s="61" t="s">
        <v>3142</v>
      </c>
      <c r="S738" s="24" t="str">
        <f t="shared" si="289"/>
        <v>explorationFinishCount { recordHistory:true, count: 140 }</v>
      </c>
      <c r="T738" s="24" t="s">
        <v>52</v>
      </c>
      <c r="V738" s="24"/>
      <c r="W738" s="23">
        <f t="shared" si="283"/>
        <v>100316</v>
      </c>
      <c r="Y738" s="23" t="s">
        <v>56</v>
      </c>
      <c r="Z738" s="23" t="s">
        <v>57</v>
      </c>
      <c r="AA738" s="23">
        <f t="shared" si="290"/>
        <v>34028</v>
      </c>
      <c r="AB738" s="23">
        <v>6622318</v>
      </c>
      <c r="AD738" s="23">
        <v>34</v>
      </c>
      <c r="AE738" s="23">
        <f t="shared" si="291"/>
        <v>28</v>
      </c>
    </row>
    <row r="739" spans="1:31" s="23" customFormat="1" x14ac:dyDescent="0.45">
      <c r="A739" s="23">
        <f t="shared" si="285"/>
        <v>10034290</v>
      </c>
      <c r="B739" s="23">
        <v>0</v>
      </c>
      <c r="C739" s="23">
        <v>34</v>
      </c>
      <c r="D739" s="23">
        <f t="shared" si="286"/>
        <v>29</v>
      </c>
      <c r="E739" s="23" t="s">
        <v>555</v>
      </c>
      <c r="F739" s="23" t="s">
        <v>3153</v>
      </c>
      <c r="G739" s="59" t="s">
        <v>3098</v>
      </c>
      <c r="H739" s="55">
        <v>145</v>
      </c>
      <c r="I739" s="59" t="s">
        <v>3100</v>
      </c>
      <c r="J739" s="23" t="str">
        <f t="shared" si="287"/>
        <v>完成145次未知探索事件</v>
      </c>
      <c r="K739" s="23">
        <f t="shared" si="288"/>
        <v>10034290</v>
      </c>
      <c r="L739" s="23" t="s">
        <v>515</v>
      </c>
      <c r="M739" s="23">
        <v>10001170</v>
      </c>
      <c r="N739" s="23" t="s">
        <v>51</v>
      </c>
      <c r="O739" s="23" t="s">
        <v>52</v>
      </c>
      <c r="P739" s="4" t="str">
        <f t="shared" si="292"/>
        <v>taskReward{taskId:10001170}</v>
      </c>
      <c r="Q739" s="23" t="s">
        <v>52</v>
      </c>
      <c r="R739" s="61" t="s">
        <v>3142</v>
      </c>
      <c r="S739" s="24" t="str">
        <f t="shared" si="289"/>
        <v>explorationFinishCount { recordHistory:true, count: 145 }</v>
      </c>
      <c r="T739" s="24" t="s">
        <v>52</v>
      </c>
      <c r="V739" s="24"/>
      <c r="W739" s="23">
        <f t="shared" si="283"/>
        <v>100316</v>
      </c>
      <c r="Y739" s="23" t="s">
        <v>56</v>
      </c>
      <c r="Z739" s="23" t="s">
        <v>57</v>
      </c>
      <c r="AA739" s="23">
        <f t="shared" si="290"/>
        <v>34029</v>
      </c>
      <c r="AB739" s="23">
        <v>6622319</v>
      </c>
      <c r="AD739" s="23">
        <v>34</v>
      </c>
      <c r="AE739" s="23">
        <f t="shared" si="291"/>
        <v>29</v>
      </c>
    </row>
    <row r="740" spans="1:31" s="23" customFormat="1" x14ac:dyDescent="0.45">
      <c r="A740" s="23">
        <f t="shared" ref="A740:A747" si="293">10000000+B740*100000+C740*1000+D740*10</f>
        <v>10034300</v>
      </c>
      <c r="B740" s="23">
        <v>0</v>
      </c>
      <c r="C740" s="23">
        <v>34</v>
      </c>
      <c r="D740" s="23">
        <f t="shared" ref="D740:D747" si="294">IF(C740=C739,D739+1,1)</f>
        <v>30</v>
      </c>
      <c r="E740" s="23" t="s">
        <v>555</v>
      </c>
      <c r="F740" s="23" t="s">
        <v>3154</v>
      </c>
      <c r="G740" s="59" t="s">
        <v>3098</v>
      </c>
      <c r="H740" s="55">
        <v>150</v>
      </c>
      <c r="I740" s="59" t="s">
        <v>3100</v>
      </c>
      <c r="J740" s="23" t="str">
        <f t="shared" ref="J740:J747" si="295">G740&amp;H740&amp;I740</f>
        <v>完成150次未知探索事件</v>
      </c>
      <c r="K740" s="23">
        <f t="shared" ref="K740:K747" si="296">A740</f>
        <v>10034300</v>
      </c>
      <c r="L740" s="23" t="s">
        <v>515</v>
      </c>
      <c r="M740" s="23">
        <v>10001170</v>
      </c>
      <c r="N740" s="23" t="s">
        <v>51</v>
      </c>
      <c r="O740" s="23" t="s">
        <v>52</v>
      </c>
      <c r="P740" s="4" t="str">
        <f t="shared" si="292"/>
        <v>taskReward{taskId:10001170}</v>
      </c>
      <c r="Q740" s="23" t="s">
        <v>52</v>
      </c>
      <c r="R740" s="61" t="s">
        <v>3142</v>
      </c>
      <c r="S740" s="24" t="str">
        <f t="shared" ref="S740:S747" si="297">SUBSTITUTE(R740,"@@@",H740)</f>
        <v>explorationFinishCount { recordHistory:true, count: 150 }</v>
      </c>
      <c r="T740" s="24" t="s">
        <v>52</v>
      </c>
      <c r="V740" s="24"/>
      <c r="W740" s="23">
        <f t="shared" si="283"/>
        <v>100316</v>
      </c>
      <c r="Y740" s="23" t="s">
        <v>56</v>
      </c>
      <c r="Z740" s="23" t="s">
        <v>57</v>
      </c>
      <c r="AA740" s="23">
        <f t="shared" ref="AA740:AA747" si="298">AD740*1000+AE740</f>
        <v>34030</v>
      </c>
      <c r="AB740" s="23">
        <v>6622319</v>
      </c>
      <c r="AD740" s="23">
        <v>34</v>
      </c>
      <c r="AE740" s="23">
        <f t="shared" ref="AE740:AE747" si="299">IF(AD740=AD739,AE739+1,1)</f>
        <v>30</v>
      </c>
    </row>
    <row r="741" spans="1:31" s="25" customFormat="1" x14ac:dyDescent="0.45">
      <c r="A741" s="25">
        <f t="shared" si="293"/>
        <v>10035010</v>
      </c>
      <c r="B741" s="25">
        <v>0</v>
      </c>
      <c r="C741" s="25">
        <v>35</v>
      </c>
      <c r="D741" s="25">
        <f t="shared" si="294"/>
        <v>1</v>
      </c>
      <c r="E741" s="25" t="s">
        <v>795</v>
      </c>
      <c r="F741" s="60" t="s">
        <v>3218</v>
      </c>
      <c r="G741" s="58" t="s">
        <v>3217</v>
      </c>
      <c r="H741" s="58">
        <v>4</v>
      </c>
      <c r="I741" s="58" t="s">
        <v>63</v>
      </c>
      <c r="J741" s="25" t="str">
        <f t="shared" si="295"/>
        <v>升级1个玺戒到4级</v>
      </c>
      <c r="K741" s="25">
        <f t="shared" si="296"/>
        <v>10035010</v>
      </c>
      <c r="L741" s="25" t="s">
        <v>797</v>
      </c>
      <c r="M741" s="25">
        <v>10001190</v>
      </c>
      <c r="N741" s="60" t="s">
        <v>51</v>
      </c>
      <c r="O741" s="25" t="s">
        <v>52</v>
      </c>
      <c r="P741" s="62" t="s">
        <v>3242</v>
      </c>
      <c r="Q741" s="25" t="s">
        <v>52</v>
      </c>
      <c r="R741" s="60" t="s">
        <v>3236</v>
      </c>
      <c r="S741" s="52" t="str">
        <f t="shared" si="297"/>
        <v>equipmentLvUp{level:4,num:1}</v>
      </c>
      <c r="T741" s="52" t="s">
        <v>52</v>
      </c>
      <c r="U741" s="52"/>
      <c r="V741" s="52"/>
      <c r="W741" s="25">
        <v>100326</v>
      </c>
      <c r="Y741" s="25" t="s">
        <v>56</v>
      </c>
      <c r="Z741" s="25" t="s">
        <v>57</v>
      </c>
      <c r="AA741" s="25">
        <f t="shared" si="298"/>
        <v>35001</v>
      </c>
      <c r="AB741" s="25">
        <v>6622301</v>
      </c>
      <c r="AD741" s="25">
        <v>35</v>
      </c>
      <c r="AE741" s="25">
        <f t="shared" si="299"/>
        <v>1</v>
      </c>
    </row>
    <row r="742" spans="1:31" s="25" customFormat="1" x14ac:dyDescent="0.45">
      <c r="A742" s="25">
        <f t="shared" si="293"/>
        <v>10035020</v>
      </c>
      <c r="B742" s="25">
        <v>0</v>
      </c>
      <c r="C742" s="25">
        <v>35</v>
      </c>
      <c r="D742" s="25">
        <f t="shared" si="294"/>
        <v>2</v>
      </c>
      <c r="E742" s="25" t="s">
        <v>795</v>
      </c>
      <c r="F742" s="60" t="s">
        <v>3219</v>
      </c>
      <c r="G742" s="58" t="s">
        <v>3217</v>
      </c>
      <c r="H742" s="58">
        <v>9</v>
      </c>
      <c r="I742" s="58" t="s">
        <v>63</v>
      </c>
      <c r="J742" s="25" t="str">
        <f t="shared" si="295"/>
        <v>升级1个玺戒到9级</v>
      </c>
      <c r="K742" s="25">
        <f t="shared" si="296"/>
        <v>10035020</v>
      </c>
      <c r="L742" s="25" t="s">
        <v>797</v>
      </c>
      <c r="M742" s="25">
        <v>10001190</v>
      </c>
      <c r="N742" s="60" t="s">
        <v>51</v>
      </c>
      <c r="O742" s="25" t="s">
        <v>52</v>
      </c>
      <c r="P742" s="62" t="s">
        <v>3242</v>
      </c>
      <c r="Q742" s="25" t="s">
        <v>52</v>
      </c>
      <c r="R742" s="60" t="s">
        <v>3236</v>
      </c>
      <c r="S742" s="52" t="str">
        <f t="shared" si="297"/>
        <v>equipmentLvUp{level:9,num:1}</v>
      </c>
      <c r="T742" s="52" t="s">
        <v>52</v>
      </c>
      <c r="U742" s="52"/>
      <c r="V742" s="52"/>
      <c r="W742" s="25">
        <v>100326</v>
      </c>
      <c r="Y742" s="25" t="s">
        <v>56</v>
      </c>
      <c r="Z742" s="25" t="s">
        <v>57</v>
      </c>
      <c r="AA742" s="25">
        <f t="shared" si="298"/>
        <v>35002</v>
      </c>
      <c r="AB742" s="25">
        <v>6622302</v>
      </c>
      <c r="AD742" s="25">
        <v>35</v>
      </c>
      <c r="AE742" s="25">
        <f t="shared" si="299"/>
        <v>2</v>
      </c>
    </row>
    <row r="743" spans="1:31" s="25" customFormat="1" x14ac:dyDescent="0.45">
      <c r="A743" s="25">
        <f t="shared" si="293"/>
        <v>10035030</v>
      </c>
      <c r="B743" s="25">
        <v>0</v>
      </c>
      <c r="C743" s="25">
        <v>35</v>
      </c>
      <c r="D743" s="25">
        <f t="shared" si="294"/>
        <v>3</v>
      </c>
      <c r="E743" s="25" t="s">
        <v>795</v>
      </c>
      <c r="F743" s="60" t="s">
        <v>3220</v>
      </c>
      <c r="G743" s="58" t="s">
        <v>3217</v>
      </c>
      <c r="H743" s="58">
        <v>10</v>
      </c>
      <c r="I743" s="58" t="s">
        <v>63</v>
      </c>
      <c r="J743" s="25" t="str">
        <f t="shared" si="295"/>
        <v>升级1个玺戒到10级</v>
      </c>
      <c r="K743" s="25">
        <f t="shared" si="296"/>
        <v>10035030</v>
      </c>
      <c r="L743" s="25" t="s">
        <v>797</v>
      </c>
      <c r="M743" s="25">
        <v>10001190</v>
      </c>
      <c r="N743" s="60" t="s">
        <v>51</v>
      </c>
      <c r="O743" s="25" t="s">
        <v>52</v>
      </c>
      <c r="P743" s="62" t="s">
        <v>3242</v>
      </c>
      <c r="Q743" s="25" t="s">
        <v>52</v>
      </c>
      <c r="R743" s="60" t="s">
        <v>3236</v>
      </c>
      <c r="S743" s="52" t="str">
        <f t="shared" si="297"/>
        <v>equipmentLvUp{level:10,num:1}</v>
      </c>
      <c r="T743" s="52" t="s">
        <v>52</v>
      </c>
      <c r="U743" s="52"/>
      <c r="V743" s="52"/>
      <c r="W743" s="25">
        <v>100326</v>
      </c>
      <c r="Y743" s="25" t="s">
        <v>56</v>
      </c>
      <c r="Z743" s="25" t="s">
        <v>57</v>
      </c>
      <c r="AA743" s="25">
        <f t="shared" si="298"/>
        <v>35003</v>
      </c>
      <c r="AB743" s="25">
        <v>6622303</v>
      </c>
      <c r="AD743" s="25">
        <v>35</v>
      </c>
      <c r="AE743" s="25">
        <f t="shared" si="299"/>
        <v>3</v>
      </c>
    </row>
    <row r="744" spans="1:31" s="25" customFormat="1" x14ac:dyDescent="0.45">
      <c r="A744" s="25">
        <f t="shared" si="293"/>
        <v>10035040</v>
      </c>
      <c r="B744" s="25">
        <v>0</v>
      </c>
      <c r="C744" s="25">
        <v>35</v>
      </c>
      <c r="D744" s="25">
        <f t="shared" si="294"/>
        <v>4</v>
      </c>
      <c r="E744" s="25" t="s">
        <v>795</v>
      </c>
      <c r="F744" s="60" t="s">
        <v>3221</v>
      </c>
      <c r="G744" s="58" t="s">
        <v>3217</v>
      </c>
      <c r="H744" s="58">
        <v>14</v>
      </c>
      <c r="I744" s="58" t="s">
        <v>63</v>
      </c>
      <c r="J744" s="25" t="str">
        <f t="shared" si="295"/>
        <v>升级1个玺戒到14级</v>
      </c>
      <c r="K744" s="25">
        <f t="shared" si="296"/>
        <v>10035040</v>
      </c>
      <c r="L744" s="25" t="s">
        <v>797</v>
      </c>
      <c r="M744" s="25">
        <v>10001190</v>
      </c>
      <c r="N744" s="60" t="s">
        <v>51</v>
      </c>
      <c r="O744" s="25" t="s">
        <v>52</v>
      </c>
      <c r="P744" s="62" t="s">
        <v>3242</v>
      </c>
      <c r="Q744" s="25" t="s">
        <v>52</v>
      </c>
      <c r="R744" s="60" t="s">
        <v>3236</v>
      </c>
      <c r="S744" s="52" t="str">
        <f t="shared" si="297"/>
        <v>equipmentLvUp{level:14,num:1}</v>
      </c>
      <c r="T744" s="52" t="s">
        <v>52</v>
      </c>
      <c r="U744" s="52"/>
      <c r="V744" s="52"/>
      <c r="W744" s="25">
        <v>100326</v>
      </c>
      <c r="Y744" s="25" t="s">
        <v>56</v>
      </c>
      <c r="Z744" s="25" t="s">
        <v>57</v>
      </c>
      <c r="AA744" s="25">
        <f t="shared" si="298"/>
        <v>35004</v>
      </c>
      <c r="AB744" s="25">
        <v>6622304</v>
      </c>
      <c r="AD744" s="25">
        <v>35</v>
      </c>
      <c r="AE744" s="25">
        <f t="shared" si="299"/>
        <v>4</v>
      </c>
    </row>
    <row r="745" spans="1:31" s="25" customFormat="1" x14ac:dyDescent="0.45">
      <c r="A745" s="25">
        <f t="shared" si="293"/>
        <v>10035050</v>
      </c>
      <c r="B745" s="25">
        <v>0</v>
      </c>
      <c r="C745" s="25">
        <v>35</v>
      </c>
      <c r="D745" s="25">
        <f t="shared" si="294"/>
        <v>5</v>
      </c>
      <c r="E745" s="25" t="s">
        <v>795</v>
      </c>
      <c r="F745" s="60" t="s">
        <v>3222</v>
      </c>
      <c r="G745" s="58" t="s">
        <v>3217</v>
      </c>
      <c r="H745" s="58">
        <v>19</v>
      </c>
      <c r="I745" s="58" t="s">
        <v>63</v>
      </c>
      <c r="J745" s="25" t="str">
        <f t="shared" si="295"/>
        <v>升级1个玺戒到19级</v>
      </c>
      <c r="K745" s="25">
        <f t="shared" si="296"/>
        <v>10035050</v>
      </c>
      <c r="L745" s="25" t="s">
        <v>797</v>
      </c>
      <c r="M745" s="25">
        <v>10001190</v>
      </c>
      <c r="N745" s="60" t="s">
        <v>51</v>
      </c>
      <c r="O745" s="25" t="s">
        <v>52</v>
      </c>
      <c r="P745" s="62" t="s">
        <v>3242</v>
      </c>
      <c r="Q745" s="25" t="s">
        <v>52</v>
      </c>
      <c r="R745" s="60" t="s">
        <v>3236</v>
      </c>
      <c r="S745" s="52" t="str">
        <f t="shared" si="297"/>
        <v>equipmentLvUp{level:19,num:1}</v>
      </c>
      <c r="T745" s="52" t="s">
        <v>52</v>
      </c>
      <c r="U745" s="52"/>
      <c r="V745" s="52"/>
      <c r="W745" s="25">
        <v>100326</v>
      </c>
      <c r="Y745" s="25" t="s">
        <v>56</v>
      </c>
      <c r="Z745" s="25" t="s">
        <v>57</v>
      </c>
      <c r="AA745" s="25">
        <f t="shared" si="298"/>
        <v>35005</v>
      </c>
      <c r="AB745" s="25">
        <v>6622305</v>
      </c>
      <c r="AD745" s="25">
        <v>35</v>
      </c>
      <c r="AE745" s="25">
        <f t="shared" si="299"/>
        <v>5</v>
      </c>
    </row>
    <row r="746" spans="1:31" s="25" customFormat="1" x14ac:dyDescent="0.45">
      <c r="A746" s="25">
        <f t="shared" si="293"/>
        <v>10035060</v>
      </c>
      <c r="B746" s="25">
        <v>0</v>
      </c>
      <c r="C746" s="25">
        <v>35</v>
      </c>
      <c r="D746" s="25">
        <f t="shared" si="294"/>
        <v>6</v>
      </c>
      <c r="E746" s="25" t="s">
        <v>795</v>
      </c>
      <c r="F746" s="60" t="s">
        <v>3223</v>
      </c>
      <c r="G746" s="58" t="s">
        <v>3217</v>
      </c>
      <c r="H746" s="58">
        <v>20</v>
      </c>
      <c r="I746" s="58" t="s">
        <v>63</v>
      </c>
      <c r="J746" s="25" t="str">
        <f t="shared" si="295"/>
        <v>升级1个玺戒到20级</v>
      </c>
      <c r="K746" s="25">
        <f t="shared" si="296"/>
        <v>10035060</v>
      </c>
      <c r="L746" s="25" t="s">
        <v>797</v>
      </c>
      <c r="M746" s="25">
        <v>10001190</v>
      </c>
      <c r="N746" s="60" t="s">
        <v>51</v>
      </c>
      <c r="O746" s="25" t="s">
        <v>52</v>
      </c>
      <c r="P746" s="62" t="s">
        <v>3242</v>
      </c>
      <c r="Q746" s="25" t="s">
        <v>52</v>
      </c>
      <c r="R746" s="60" t="s">
        <v>3236</v>
      </c>
      <c r="S746" s="52" t="str">
        <f t="shared" si="297"/>
        <v>equipmentLvUp{level:20,num:1}</v>
      </c>
      <c r="T746" s="52" t="s">
        <v>52</v>
      </c>
      <c r="U746" s="52"/>
      <c r="V746" s="52"/>
      <c r="W746" s="25">
        <v>100326</v>
      </c>
      <c r="Y746" s="25" t="s">
        <v>56</v>
      </c>
      <c r="Z746" s="25" t="s">
        <v>57</v>
      </c>
      <c r="AA746" s="25">
        <f t="shared" si="298"/>
        <v>35006</v>
      </c>
      <c r="AB746" s="25">
        <v>6622306</v>
      </c>
      <c r="AD746" s="25">
        <v>35</v>
      </c>
      <c r="AE746" s="25">
        <f t="shared" si="299"/>
        <v>6</v>
      </c>
    </row>
    <row r="747" spans="1:31" s="25" customFormat="1" x14ac:dyDescent="0.45">
      <c r="A747" s="25">
        <f t="shared" si="293"/>
        <v>10035070</v>
      </c>
      <c r="B747" s="25">
        <v>0</v>
      </c>
      <c r="C747" s="25">
        <v>35</v>
      </c>
      <c r="D747" s="25">
        <f t="shared" si="294"/>
        <v>7</v>
      </c>
      <c r="E747" s="25" t="s">
        <v>795</v>
      </c>
      <c r="F747" s="60" t="s">
        <v>3224</v>
      </c>
      <c r="G747" s="58" t="s">
        <v>3217</v>
      </c>
      <c r="H747" s="58">
        <v>24</v>
      </c>
      <c r="I747" s="58" t="s">
        <v>63</v>
      </c>
      <c r="J747" s="25" t="str">
        <f t="shared" si="295"/>
        <v>升级1个玺戒到24级</v>
      </c>
      <c r="K747" s="25">
        <f t="shared" si="296"/>
        <v>10035070</v>
      </c>
      <c r="L747" s="25" t="s">
        <v>797</v>
      </c>
      <c r="M747" s="25">
        <v>10001190</v>
      </c>
      <c r="N747" s="60" t="s">
        <v>51</v>
      </c>
      <c r="O747" s="25" t="s">
        <v>52</v>
      </c>
      <c r="P747" s="62" t="s">
        <v>3242</v>
      </c>
      <c r="Q747" s="25" t="s">
        <v>52</v>
      </c>
      <c r="R747" s="60" t="s">
        <v>3236</v>
      </c>
      <c r="S747" s="52" t="str">
        <f t="shared" si="297"/>
        <v>equipmentLvUp{level:24,num:1}</v>
      </c>
      <c r="T747" s="52" t="s">
        <v>52</v>
      </c>
      <c r="U747" s="52"/>
      <c r="V747" s="52"/>
      <c r="W747" s="25">
        <v>100326</v>
      </c>
      <c r="Y747" s="25" t="s">
        <v>56</v>
      </c>
      <c r="Z747" s="25" t="s">
        <v>57</v>
      </c>
      <c r="AA747" s="25">
        <f t="shared" si="298"/>
        <v>35007</v>
      </c>
      <c r="AB747" s="25">
        <v>6622307</v>
      </c>
      <c r="AD747" s="25">
        <v>35</v>
      </c>
      <c r="AE747" s="25">
        <f t="shared" si="299"/>
        <v>7</v>
      </c>
    </row>
    <row r="748" spans="1:31" s="25" customFormat="1" x14ac:dyDescent="0.45">
      <c r="A748" s="25">
        <f t="shared" ref="A748:A756" si="300">10000000+B748*100000+C748*1000+D748*10</f>
        <v>10035080</v>
      </c>
      <c r="B748" s="25">
        <v>0</v>
      </c>
      <c r="C748" s="25">
        <v>35</v>
      </c>
      <c r="D748" s="25">
        <f t="shared" ref="D748:D749" si="301">IF(C748=C747,D747+1,1)</f>
        <v>8</v>
      </c>
      <c r="E748" s="25" t="s">
        <v>795</v>
      </c>
      <c r="F748" s="60" t="s">
        <v>3225</v>
      </c>
      <c r="G748" s="58" t="s">
        <v>3217</v>
      </c>
      <c r="H748" s="58">
        <v>29</v>
      </c>
      <c r="I748" s="58" t="s">
        <v>63</v>
      </c>
      <c r="J748" s="25" t="str">
        <f t="shared" ref="J748:J756" si="302">G748&amp;H748&amp;I748</f>
        <v>升级1个玺戒到29级</v>
      </c>
      <c r="K748" s="25">
        <f t="shared" ref="K748:K756" si="303">A748</f>
        <v>10035080</v>
      </c>
      <c r="L748" s="25" t="s">
        <v>797</v>
      </c>
      <c r="M748" s="25">
        <v>10001190</v>
      </c>
      <c r="N748" s="60" t="s">
        <v>51</v>
      </c>
      <c r="O748" s="25" t="s">
        <v>52</v>
      </c>
      <c r="P748" s="62" t="s">
        <v>3242</v>
      </c>
      <c r="Q748" s="25" t="s">
        <v>52</v>
      </c>
      <c r="R748" s="60" t="s">
        <v>3236</v>
      </c>
      <c r="S748" s="52" t="str">
        <f t="shared" ref="S748:S749" si="304">SUBSTITUTE(R748,"@@@",H748)</f>
        <v>equipmentLvUp{level:29,num:1}</v>
      </c>
      <c r="T748" s="52" t="s">
        <v>52</v>
      </c>
      <c r="U748" s="52"/>
      <c r="V748" s="52"/>
      <c r="W748" s="25">
        <v>100326</v>
      </c>
      <c r="Y748" s="25" t="s">
        <v>56</v>
      </c>
      <c r="Z748" s="25" t="s">
        <v>57</v>
      </c>
      <c r="AA748" s="25">
        <f t="shared" ref="AA748:AA756" si="305">AD748*1000+AE748</f>
        <v>35008</v>
      </c>
      <c r="AB748" s="25">
        <v>6622306</v>
      </c>
      <c r="AD748" s="25">
        <v>35</v>
      </c>
      <c r="AE748" s="25">
        <f t="shared" ref="AE748:AE749" si="306">IF(AD748=AD747,AE747+1,1)</f>
        <v>8</v>
      </c>
    </row>
    <row r="749" spans="1:31" s="25" customFormat="1" x14ac:dyDescent="0.45">
      <c r="A749" s="25">
        <f t="shared" si="300"/>
        <v>10035090</v>
      </c>
      <c r="B749" s="25">
        <v>0</v>
      </c>
      <c r="C749" s="25">
        <v>35</v>
      </c>
      <c r="D749" s="25">
        <f t="shared" si="301"/>
        <v>9</v>
      </c>
      <c r="E749" s="25" t="s">
        <v>795</v>
      </c>
      <c r="F749" s="60" t="s">
        <v>3226</v>
      </c>
      <c r="G749" s="58" t="s">
        <v>3217</v>
      </c>
      <c r="H749" s="58">
        <v>30</v>
      </c>
      <c r="I749" s="58" t="s">
        <v>63</v>
      </c>
      <c r="J749" s="25" t="str">
        <f t="shared" si="302"/>
        <v>升级1个玺戒到30级</v>
      </c>
      <c r="K749" s="25">
        <f t="shared" si="303"/>
        <v>10035090</v>
      </c>
      <c r="L749" s="25" t="s">
        <v>797</v>
      </c>
      <c r="M749" s="25">
        <v>10001190</v>
      </c>
      <c r="N749" s="60" t="s">
        <v>51</v>
      </c>
      <c r="O749" s="25" t="s">
        <v>52</v>
      </c>
      <c r="P749" s="62" t="s">
        <v>3242</v>
      </c>
      <c r="Q749" s="25" t="s">
        <v>52</v>
      </c>
      <c r="R749" s="60" t="s">
        <v>3236</v>
      </c>
      <c r="S749" s="52" t="str">
        <f t="shared" si="304"/>
        <v>equipmentLvUp{level:30,num:1}</v>
      </c>
      <c r="T749" s="52" t="s">
        <v>52</v>
      </c>
      <c r="U749" s="52"/>
      <c r="V749" s="52"/>
      <c r="W749" s="25">
        <v>100326</v>
      </c>
      <c r="Y749" s="25" t="s">
        <v>56</v>
      </c>
      <c r="Z749" s="25" t="s">
        <v>57</v>
      </c>
      <c r="AA749" s="25">
        <f t="shared" si="305"/>
        <v>35009</v>
      </c>
      <c r="AB749" s="25">
        <v>6622307</v>
      </c>
      <c r="AD749" s="25">
        <v>35</v>
      </c>
      <c r="AE749" s="25">
        <f t="shared" si="306"/>
        <v>9</v>
      </c>
    </row>
    <row r="750" spans="1:31" s="23" customFormat="1" x14ac:dyDescent="0.45">
      <c r="A750" s="23">
        <f t="shared" si="300"/>
        <v>10036010</v>
      </c>
      <c r="B750" s="23">
        <v>0</v>
      </c>
      <c r="C750" s="23">
        <v>36</v>
      </c>
      <c r="D750" s="23">
        <f>IF(C750=C548,D548+1,1)</f>
        <v>1</v>
      </c>
      <c r="E750" s="23" t="s">
        <v>555</v>
      </c>
      <c r="F750" s="23" t="s">
        <v>3398</v>
      </c>
      <c r="G750" s="59" t="s">
        <v>3377</v>
      </c>
      <c r="H750" s="24">
        <v>1</v>
      </c>
      <c r="I750" s="59" t="s">
        <v>3103</v>
      </c>
      <c r="J750" s="23" t="str">
        <f t="shared" si="302"/>
        <v>城堡科技里程碑到达1级</v>
      </c>
      <c r="K750" s="23">
        <f t="shared" si="303"/>
        <v>10036010</v>
      </c>
      <c r="L750" s="23" t="s">
        <v>515</v>
      </c>
      <c r="M750" s="23">
        <v>10001170</v>
      </c>
      <c r="N750" s="23" t="s">
        <v>51</v>
      </c>
      <c r="O750" s="23" t="s">
        <v>52</v>
      </c>
      <c r="P750" s="62" t="s">
        <v>3378</v>
      </c>
      <c r="Q750" s="23" t="s">
        <v>52</v>
      </c>
      <c r="R750" s="61" t="s">
        <v>3379</v>
      </c>
      <c r="S750" s="24" t="str">
        <f>SUBSTITUTE(R750,"@@@",H750)</f>
        <v>newCastleTechMilestone{mileStoneId: 1 }</v>
      </c>
      <c r="T750" s="24" t="s">
        <v>52</v>
      </c>
      <c r="V750" s="24"/>
      <c r="W750" s="23">
        <v>100380</v>
      </c>
      <c r="Y750" s="23" t="s">
        <v>56</v>
      </c>
      <c r="Z750" s="23" t="s">
        <v>57</v>
      </c>
      <c r="AA750" s="23">
        <f t="shared" si="305"/>
        <v>34001</v>
      </c>
      <c r="AB750" s="23">
        <v>6622401</v>
      </c>
      <c r="AD750" s="23">
        <v>34</v>
      </c>
      <c r="AE750" s="23">
        <f>IF(AD750=AD743,AE743+1,1)</f>
        <v>1</v>
      </c>
    </row>
    <row r="751" spans="1:31" s="23" customFormat="1" x14ac:dyDescent="0.45">
      <c r="A751" s="23">
        <f t="shared" si="300"/>
        <v>10036020</v>
      </c>
      <c r="B751" s="23">
        <v>0</v>
      </c>
      <c r="C751" s="23">
        <v>36</v>
      </c>
      <c r="D751" s="23">
        <f t="shared" ref="D751:D756" si="307">IF(C751=C750,D750+1,1)</f>
        <v>2</v>
      </c>
      <c r="E751" s="23" t="s">
        <v>555</v>
      </c>
      <c r="F751" s="23" t="s">
        <v>3399</v>
      </c>
      <c r="G751" s="59" t="s">
        <v>3377</v>
      </c>
      <c r="H751" s="55">
        <v>2</v>
      </c>
      <c r="I751" s="59" t="s">
        <v>3103</v>
      </c>
      <c r="J751" s="23" t="str">
        <f t="shared" si="302"/>
        <v>城堡科技里程碑到达2级</v>
      </c>
      <c r="K751" s="23">
        <f t="shared" si="303"/>
        <v>10036020</v>
      </c>
      <c r="L751" s="23" t="s">
        <v>515</v>
      </c>
      <c r="M751" s="23">
        <v>10001170</v>
      </c>
      <c r="N751" s="23" t="s">
        <v>51</v>
      </c>
      <c r="O751" s="23" t="s">
        <v>52</v>
      </c>
      <c r="P751" s="62" t="s">
        <v>3378</v>
      </c>
      <c r="Q751" s="23" t="s">
        <v>52</v>
      </c>
      <c r="R751" s="61" t="s">
        <v>3379</v>
      </c>
      <c r="S751" s="24" t="str">
        <f t="shared" ref="S751:S756" si="308">SUBSTITUTE(R751,"@@@",H751)</f>
        <v>newCastleTechMilestone{mileStoneId: 2 }</v>
      </c>
      <c r="T751" s="24" t="s">
        <v>52</v>
      </c>
      <c r="V751" s="24"/>
      <c r="W751" s="23">
        <v>100380</v>
      </c>
      <c r="Y751" s="23" t="s">
        <v>56</v>
      </c>
      <c r="Z751" s="23" t="s">
        <v>57</v>
      </c>
      <c r="AA751" s="23">
        <f t="shared" si="305"/>
        <v>34002</v>
      </c>
      <c r="AB751" s="23">
        <v>6622402</v>
      </c>
      <c r="AD751" s="23">
        <v>34</v>
      </c>
      <c r="AE751" s="23">
        <f t="shared" ref="AE751:AE756" si="309">IF(AD751=AD750,AE750+1,1)</f>
        <v>2</v>
      </c>
    </row>
    <row r="752" spans="1:31" s="23" customFormat="1" x14ac:dyDescent="0.45">
      <c r="A752" s="23">
        <f t="shared" si="300"/>
        <v>10036030</v>
      </c>
      <c r="B752" s="23">
        <v>0</v>
      </c>
      <c r="C752" s="23">
        <v>36</v>
      </c>
      <c r="D752" s="23">
        <f t="shared" si="307"/>
        <v>3</v>
      </c>
      <c r="E752" s="23" t="s">
        <v>555</v>
      </c>
      <c r="F752" s="23" t="s">
        <v>3400</v>
      </c>
      <c r="G752" s="59" t="s">
        <v>3377</v>
      </c>
      <c r="H752" s="24">
        <v>3</v>
      </c>
      <c r="I752" s="59" t="s">
        <v>3103</v>
      </c>
      <c r="J752" s="23" t="str">
        <f t="shared" si="302"/>
        <v>城堡科技里程碑到达3级</v>
      </c>
      <c r="K752" s="23">
        <f t="shared" si="303"/>
        <v>10036030</v>
      </c>
      <c r="L752" s="23" t="s">
        <v>515</v>
      </c>
      <c r="M752" s="23">
        <v>10001170</v>
      </c>
      <c r="N752" s="23" t="s">
        <v>51</v>
      </c>
      <c r="O752" s="23" t="s">
        <v>52</v>
      </c>
      <c r="P752" s="62" t="s">
        <v>3378</v>
      </c>
      <c r="Q752" s="23" t="s">
        <v>52</v>
      </c>
      <c r="R752" s="61" t="s">
        <v>3379</v>
      </c>
      <c r="S752" s="24" t="str">
        <f t="shared" si="308"/>
        <v>newCastleTechMilestone{mileStoneId: 3 }</v>
      </c>
      <c r="T752" s="24" t="s">
        <v>52</v>
      </c>
      <c r="V752" s="24"/>
      <c r="W752" s="23">
        <v>100380</v>
      </c>
      <c r="Y752" s="23" t="s">
        <v>56</v>
      </c>
      <c r="Z752" s="23" t="s">
        <v>57</v>
      </c>
      <c r="AA752" s="23">
        <f t="shared" si="305"/>
        <v>34003</v>
      </c>
      <c r="AB752" s="23">
        <v>6622403</v>
      </c>
      <c r="AD752" s="23">
        <v>34</v>
      </c>
      <c r="AE752" s="23">
        <f t="shared" si="309"/>
        <v>3</v>
      </c>
    </row>
    <row r="753" spans="1:31" s="23" customFormat="1" x14ac:dyDescent="0.45">
      <c r="A753" s="23">
        <f t="shared" si="300"/>
        <v>10036040</v>
      </c>
      <c r="B753" s="23">
        <v>0</v>
      </c>
      <c r="C753" s="23">
        <v>36</v>
      </c>
      <c r="D753" s="23">
        <f t="shared" si="307"/>
        <v>4</v>
      </c>
      <c r="E753" s="23" t="s">
        <v>555</v>
      </c>
      <c r="F753" s="23" t="s">
        <v>3401</v>
      </c>
      <c r="G753" s="59" t="s">
        <v>3377</v>
      </c>
      <c r="H753" s="55">
        <v>4</v>
      </c>
      <c r="I753" s="59" t="s">
        <v>3103</v>
      </c>
      <c r="J753" s="23" t="str">
        <f t="shared" si="302"/>
        <v>城堡科技里程碑到达4级</v>
      </c>
      <c r="K753" s="23">
        <f t="shared" si="303"/>
        <v>10036040</v>
      </c>
      <c r="L753" s="23" t="s">
        <v>515</v>
      </c>
      <c r="M753" s="23">
        <v>10001170</v>
      </c>
      <c r="N753" s="23" t="s">
        <v>51</v>
      </c>
      <c r="O753" s="23" t="s">
        <v>52</v>
      </c>
      <c r="P753" s="62" t="s">
        <v>3378</v>
      </c>
      <c r="Q753" s="23" t="s">
        <v>52</v>
      </c>
      <c r="R753" s="61" t="s">
        <v>3379</v>
      </c>
      <c r="S753" s="24" t="str">
        <f t="shared" si="308"/>
        <v>newCastleTechMilestone{mileStoneId: 4 }</v>
      </c>
      <c r="T753" s="24" t="s">
        <v>52</v>
      </c>
      <c r="V753" s="24"/>
      <c r="W753" s="23">
        <v>100380</v>
      </c>
      <c r="Y753" s="23" t="s">
        <v>56</v>
      </c>
      <c r="Z753" s="23" t="s">
        <v>57</v>
      </c>
      <c r="AA753" s="23">
        <f t="shared" si="305"/>
        <v>34004</v>
      </c>
      <c r="AB753" s="23">
        <v>6622404</v>
      </c>
      <c r="AD753" s="23">
        <v>34</v>
      </c>
      <c r="AE753" s="23">
        <f t="shared" si="309"/>
        <v>4</v>
      </c>
    </row>
    <row r="754" spans="1:31" s="23" customFormat="1" x14ac:dyDescent="0.45">
      <c r="A754" s="23">
        <f t="shared" si="300"/>
        <v>10036050</v>
      </c>
      <c r="B754" s="23">
        <v>0</v>
      </c>
      <c r="C754" s="23">
        <v>36</v>
      </c>
      <c r="D754" s="23">
        <f t="shared" si="307"/>
        <v>5</v>
      </c>
      <c r="E754" s="23" t="s">
        <v>555</v>
      </c>
      <c r="F754" s="23" t="s">
        <v>3402</v>
      </c>
      <c r="G754" s="59" t="s">
        <v>3377</v>
      </c>
      <c r="H754" s="24">
        <v>5</v>
      </c>
      <c r="I754" s="59" t="s">
        <v>3103</v>
      </c>
      <c r="J754" s="23" t="str">
        <f t="shared" si="302"/>
        <v>城堡科技里程碑到达5级</v>
      </c>
      <c r="K754" s="23">
        <f t="shared" si="303"/>
        <v>10036050</v>
      </c>
      <c r="L754" s="23" t="s">
        <v>515</v>
      </c>
      <c r="M754" s="23">
        <v>10001170</v>
      </c>
      <c r="N754" s="23" t="s">
        <v>51</v>
      </c>
      <c r="O754" s="23" t="s">
        <v>52</v>
      </c>
      <c r="P754" s="62" t="s">
        <v>3378</v>
      </c>
      <c r="Q754" s="23" t="s">
        <v>52</v>
      </c>
      <c r="R754" s="61" t="s">
        <v>3379</v>
      </c>
      <c r="S754" s="24" t="str">
        <f t="shared" si="308"/>
        <v>newCastleTechMilestone{mileStoneId: 5 }</v>
      </c>
      <c r="T754" s="24" t="s">
        <v>52</v>
      </c>
      <c r="V754" s="24"/>
      <c r="W754" s="23">
        <v>100380</v>
      </c>
      <c r="Y754" s="23" t="s">
        <v>56</v>
      </c>
      <c r="Z754" s="23" t="s">
        <v>57</v>
      </c>
      <c r="AA754" s="23">
        <f t="shared" si="305"/>
        <v>34005</v>
      </c>
      <c r="AB754" s="23">
        <v>6622405</v>
      </c>
      <c r="AD754" s="23">
        <v>34</v>
      </c>
      <c r="AE754" s="23">
        <f t="shared" si="309"/>
        <v>5</v>
      </c>
    </row>
    <row r="755" spans="1:31" s="23" customFormat="1" x14ac:dyDescent="0.45">
      <c r="A755" s="23">
        <f t="shared" si="300"/>
        <v>10036060</v>
      </c>
      <c r="B755" s="23">
        <v>0</v>
      </c>
      <c r="C755" s="23">
        <v>36</v>
      </c>
      <c r="D755" s="23">
        <f t="shared" si="307"/>
        <v>6</v>
      </c>
      <c r="E755" s="23" t="s">
        <v>555</v>
      </c>
      <c r="F755" s="23" t="s">
        <v>3403</v>
      </c>
      <c r="G755" s="59" t="s">
        <v>3377</v>
      </c>
      <c r="H755" s="55">
        <v>6</v>
      </c>
      <c r="I755" s="59" t="s">
        <v>3103</v>
      </c>
      <c r="J755" s="23" t="str">
        <f t="shared" si="302"/>
        <v>城堡科技里程碑到达6级</v>
      </c>
      <c r="K755" s="23">
        <f t="shared" si="303"/>
        <v>10036060</v>
      </c>
      <c r="L755" s="23" t="s">
        <v>515</v>
      </c>
      <c r="M755" s="23">
        <v>10001170</v>
      </c>
      <c r="N755" s="23" t="s">
        <v>51</v>
      </c>
      <c r="O755" s="23" t="s">
        <v>52</v>
      </c>
      <c r="P755" s="62" t="s">
        <v>3378</v>
      </c>
      <c r="Q755" s="23" t="s">
        <v>52</v>
      </c>
      <c r="R755" s="61" t="s">
        <v>3379</v>
      </c>
      <c r="S755" s="24" t="str">
        <f t="shared" si="308"/>
        <v>newCastleTechMilestone{mileStoneId: 6 }</v>
      </c>
      <c r="T755" s="24" t="s">
        <v>52</v>
      </c>
      <c r="V755" s="24"/>
      <c r="W755" s="23">
        <v>100380</v>
      </c>
      <c r="Y755" s="23" t="s">
        <v>56</v>
      </c>
      <c r="Z755" s="23" t="s">
        <v>57</v>
      </c>
      <c r="AA755" s="23">
        <f t="shared" si="305"/>
        <v>34006</v>
      </c>
      <c r="AB755" s="23">
        <v>6622406</v>
      </c>
      <c r="AD755" s="23">
        <v>34</v>
      </c>
      <c r="AE755" s="23">
        <f t="shared" si="309"/>
        <v>6</v>
      </c>
    </row>
    <row r="756" spans="1:31" s="23" customFormat="1" x14ac:dyDescent="0.45">
      <c r="A756" s="23">
        <f t="shared" si="300"/>
        <v>10036070</v>
      </c>
      <c r="B756" s="23">
        <v>0</v>
      </c>
      <c r="C756" s="23">
        <v>36</v>
      </c>
      <c r="D756" s="23">
        <f t="shared" si="307"/>
        <v>7</v>
      </c>
      <c r="E756" s="23" t="s">
        <v>555</v>
      </c>
      <c r="F756" s="23" t="s">
        <v>3404</v>
      </c>
      <c r="G756" s="59" t="s">
        <v>3377</v>
      </c>
      <c r="H756" s="24">
        <v>7</v>
      </c>
      <c r="I756" s="59" t="s">
        <v>3103</v>
      </c>
      <c r="J756" s="23" t="str">
        <f t="shared" si="302"/>
        <v>城堡科技里程碑到达7级</v>
      </c>
      <c r="K756" s="23">
        <f t="shared" si="303"/>
        <v>10036070</v>
      </c>
      <c r="L756" s="23" t="s">
        <v>515</v>
      </c>
      <c r="M756" s="23">
        <v>10001170</v>
      </c>
      <c r="N756" s="23" t="s">
        <v>51</v>
      </c>
      <c r="O756" s="23" t="s">
        <v>52</v>
      </c>
      <c r="P756" s="62" t="s">
        <v>3378</v>
      </c>
      <c r="Q756" s="23" t="s">
        <v>52</v>
      </c>
      <c r="R756" s="61" t="s">
        <v>3379</v>
      </c>
      <c r="S756" s="24" t="str">
        <f t="shared" si="308"/>
        <v>newCastleTechMilestone{mileStoneId: 7 }</v>
      </c>
      <c r="T756" s="24" t="s">
        <v>52</v>
      </c>
      <c r="V756" s="24"/>
      <c r="W756" s="23">
        <v>100380</v>
      </c>
      <c r="Y756" s="23" t="s">
        <v>56</v>
      </c>
      <c r="Z756" s="23" t="s">
        <v>57</v>
      </c>
      <c r="AA756" s="23">
        <f t="shared" si="305"/>
        <v>34007</v>
      </c>
      <c r="AB756" s="23">
        <v>6622407</v>
      </c>
      <c r="AD756" s="23">
        <v>34</v>
      </c>
      <c r="AE756" s="23">
        <f t="shared" si="309"/>
        <v>7</v>
      </c>
    </row>
    <row r="757" spans="1:31" s="23" customFormat="1" x14ac:dyDescent="0.45">
      <c r="A757" s="23">
        <f t="shared" ref="A757:A763" si="310">10000000+B757*100000+C757*1000+D757*10</f>
        <v>10036080</v>
      </c>
      <c r="B757" s="23">
        <v>0</v>
      </c>
      <c r="C757" s="23">
        <v>36</v>
      </c>
      <c r="D757" s="23">
        <f t="shared" ref="D757:D763" si="311">IF(C757=C756,D756+1,1)</f>
        <v>8</v>
      </c>
      <c r="E757" s="23" t="s">
        <v>555</v>
      </c>
      <c r="F757" s="23" t="s">
        <v>3405</v>
      </c>
      <c r="G757" s="59" t="s">
        <v>3377</v>
      </c>
      <c r="H757" s="55">
        <v>8</v>
      </c>
      <c r="I757" s="59" t="s">
        <v>3103</v>
      </c>
      <c r="J757" s="23" t="str">
        <f t="shared" ref="J757:J763" si="312">G757&amp;H757&amp;I757</f>
        <v>城堡科技里程碑到达8级</v>
      </c>
      <c r="K757" s="23">
        <f t="shared" ref="K757:K763" si="313">A757</f>
        <v>10036080</v>
      </c>
      <c r="L757" s="23" t="s">
        <v>515</v>
      </c>
      <c r="M757" s="23">
        <v>10001170</v>
      </c>
      <c r="N757" s="23" t="s">
        <v>51</v>
      </c>
      <c r="O757" s="23" t="s">
        <v>52</v>
      </c>
      <c r="P757" s="62" t="s">
        <v>3378</v>
      </c>
      <c r="Q757" s="23" t="s">
        <v>52</v>
      </c>
      <c r="R757" s="61" t="s">
        <v>3379</v>
      </c>
      <c r="S757" s="24" t="str">
        <f t="shared" ref="S757:S763" si="314">SUBSTITUTE(R757,"@@@",H757)</f>
        <v>newCastleTechMilestone{mileStoneId: 8 }</v>
      </c>
      <c r="T757" s="24" t="s">
        <v>52</v>
      </c>
      <c r="V757" s="24"/>
      <c r="W757" s="23">
        <v>100380</v>
      </c>
      <c r="Y757" s="23" t="s">
        <v>56</v>
      </c>
      <c r="Z757" s="23" t="s">
        <v>57</v>
      </c>
      <c r="AA757" s="23">
        <f t="shared" ref="AA757:AA763" si="315">AD757*1000+AE757</f>
        <v>34008</v>
      </c>
      <c r="AB757" s="23">
        <v>6622408</v>
      </c>
      <c r="AD757" s="23">
        <v>34</v>
      </c>
      <c r="AE757" s="23">
        <f t="shared" ref="AE757:AE763" si="316">IF(AD757=AD756,AE756+1,1)</f>
        <v>8</v>
      </c>
    </row>
    <row r="758" spans="1:31" s="23" customFormat="1" x14ac:dyDescent="0.45">
      <c r="A758" s="23">
        <f t="shared" si="310"/>
        <v>10036090</v>
      </c>
      <c r="B758" s="23">
        <v>0</v>
      </c>
      <c r="C758" s="23">
        <v>36</v>
      </c>
      <c r="D758" s="23">
        <f t="shared" si="311"/>
        <v>9</v>
      </c>
      <c r="E758" s="23" t="s">
        <v>555</v>
      </c>
      <c r="F758" s="23" t="s">
        <v>3406</v>
      </c>
      <c r="G758" s="59" t="s">
        <v>3377</v>
      </c>
      <c r="H758" s="24">
        <v>9</v>
      </c>
      <c r="I758" s="59" t="s">
        <v>3103</v>
      </c>
      <c r="J758" s="23" t="str">
        <f t="shared" si="312"/>
        <v>城堡科技里程碑到达9级</v>
      </c>
      <c r="K758" s="23">
        <f t="shared" si="313"/>
        <v>10036090</v>
      </c>
      <c r="L758" s="23" t="s">
        <v>515</v>
      </c>
      <c r="M758" s="23">
        <v>10001170</v>
      </c>
      <c r="N758" s="23" t="s">
        <v>51</v>
      </c>
      <c r="O758" s="23" t="s">
        <v>52</v>
      </c>
      <c r="P758" s="62" t="s">
        <v>3378</v>
      </c>
      <c r="Q758" s="23" t="s">
        <v>52</v>
      </c>
      <c r="R758" s="61" t="s">
        <v>3379</v>
      </c>
      <c r="S758" s="24" t="str">
        <f t="shared" si="314"/>
        <v>newCastleTechMilestone{mileStoneId: 9 }</v>
      </c>
      <c r="T758" s="24" t="s">
        <v>52</v>
      </c>
      <c r="V758" s="24"/>
      <c r="W758" s="23">
        <v>100380</v>
      </c>
      <c r="Y758" s="23" t="s">
        <v>56</v>
      </c>
      <c r="Z758" s="23" t="s">
        <v>57</v>
      </c>
      <c r="AA758" s="23">
        <f t="shared" si="315"/>
        <v>34009</v>
      </c>
      <c r="AB758" s="23">
        <v>6622409</v>
      </c>
      <c r="AD758" s="23">
        <v>34</v>
      </c>
      <c r="AE758" s="23">
        <f t="shared" si="316"/>
        <v>9</v>
      </c>
    </row>
    <row r="759" spans="1:31" s="23" customFormat="1" x14ac:dyDescent="0.45">
      <c r="A759" s="23">
        <f t="shared" si="310"/>
        <v>10036100</v>
      </c>
      <c r="B759" s="23">
        <v>0</v>
      </c>
      <c r="C759" s="23">
        <v>36</v>
      </c>
      <c r="D759" s="23">
        <f t="shared" si="311"/>
        <v>10</v>
      </c>
      <c r="E759" s="23" t="s">
        <v>555</v>
      </c>
      <c r="F759" s="23" t="s">
        <v>3407</v>
      </c>
      <c r="G759" s="59" t="s">
        <v>3377</v>
      </c>
      <c r="H759" s="55">
        <v>10</v>
      </c>
      <c r="I759" s="59" t="s">
        <v>3103</v>
      </c>
      <c r="J759" s="23" t="str">
        <f t="shared" si="312"/>
        <v>城堡科技里程碑到达10级</v>
      </c>
      <c r="K759" s="23">
        <f t="shared" si="313"/>
        <v>10036100</v>
      </c>
      <c r="L759" s="23" t="s">
        <v>515</v>
      </c>
      <c r="M759" s="23">
        <v>10001170</v>
      </c>
      <c r="N759" s="23" t="s">
        <v>51</v>
      </c>
      <c r="O759" s="23" t="s">
        <v>52</v>
      </c>
      <c r="P759" s="62" t="s">
        <v>3378</v>
      </c>
      <c r="Q759" s="23" t="s">
        <v>52</v>
      </c>
      <c r="R759" s="61" t="s">
        <v>3379</v>
      </c>
      <c r="S759" s="24" t="str">
        <f t="shared" si="314"/>
        <v>newCastleTechMilestone{mileStoneId: 10 }</v>
      </c>
      <c r="T759" s="24" t="s">
        <v>52</v>
      </c>
      <c r="V759" s="24"/>
      <c r="W759" s="23">
        <v>100380</v>
      </c>
      <c r="Y759" s="23" t="s">
        <v>56</v>
      </c>
      <c r="Z759" s="23" t="s">
        <v>57</v>
      </c>
      <c r="AA759" s="23">
        <f t="shared" si="315"/>
        <v>34010</v>
      </c>
      <c r="AB759" s="23">
        <v>6622410</v>
      </c>
      <c r="AD759" s="23">
        <v>34</v>
      </c>
      <c r="AE759" s="23">
        <f t="shared" si="316"/>
        <v>10</v>
      </c>
    </row>
    <row r="760" spans="1:31" s="23" customFormat="1" x14ac:dyDescent="0.45">
      <c r="A760" s="23">
        <f t="shared" si="310"/>
        <v>10036110</v>
      </c>
      <c r="B760" s="23">
        <v>0</v>
      </c>
      <c r="C760" s="23">
        <v>36</v>
      </c>
      <c r="D760" s="23">
        <f t="shared" si="311"/>
        <v>11</v>
      </c>
      <c r="E760" s="23" t="s">
        <v>555</v>
      </c>
      <c r="F760" s="23" t="s">
        <v>3408</v>
      </c>
      <c r="G760" s="59" t="s">
        <v>3377</v>
      </c>
      <c r="H760" s="24">
        <v>11</v>
      </c>
      <c r="I760" s="59" t="s">
        <v>3103</v>
      </c>
      <c r="J760" s="23" t="str">
        <f t="shared" si="312"/>
        <v>城堡科技里程碑到达11级</v>
      </c>
      <c r="K760" s="23">
        <f t="shared" si="313"/>
        <v>10036110</v>
      </c>
      <c r="L760" s="23" t="s">
        <v>515</v>
      </c>
      <c r="M760" s="23">
        <v>10001170</v>
      </c>
      <c r="N760" s="23" t="s">
        <v>51</v>
      </c>
      <c r="O760" s="23" t="s">
        <v>52</v>
      </c>
      <c r="P760" s="62" t="s">
        <v>3378</v>
      </c>
      <c r="Q760" s="23" t="s">
        <v>52</v>
      </c>
      <c r="R760" s="61" t="s">
        <v>3379</v>
      </c>
      <c r="S760" s="24" t="str">
        <f t="shared" si="314"/>
        <v>newCastleTechMilestone{mileStoneId: 11 }</v>
      </c>
      <c r="T760" s="24" t="s">
        <v>52</v>
      </c>
      <c r="V760" s="24"/>
      <c r="W760" s="23">
        <v>100380</v>
      </c>
      <c r="Y760" s="23" t="s">
        <v>56</v>
      </c>
      <c r="Z760" s="23" t="s">
        <v>57</v>
      </c>
      <c r="AA760" s="23">
        <f t="shared" si="315"/>
        <v>34011</v>
      </c>
      <c r="AB760" s="23">
        <v>6622411</v>
      </c>
      <c r="AD760" s="23">
        <v>34</v>
      </c>
      <c r="AE760" s="23">
        <f t="shared" si="316"/>
        <v>11</v>
      </c>
    </row>
    <row r="761" spans="1:31" s="23" customFormat="1" x14ac:dyDescent="0.45">
      <c r="A761" s="23">
        <f t="shared" si="310"/>
        <v>10036120</v>
      </c>
      <c r="B761" s="23">
        <v>0</v>
      </c>
      <c r="C761" s="23">
        <v>36</v>
      </c>
      <c r="D761" s="23">
        <f t="shared" si="311"/>
        <v>12</v>
      </c>
      <c r="E761" s="23" t="s">
        <v>555</v>
      </c>
      <c r="F761" s="23" t="s">
        <v>3409</v>
      </c>
      <c r="G761" s="59" t="s">
        <v>3377</v>
      </c>
      <c r="H761" s="55">
        <v>12</v>
      </c>
      <c r="I761" s="59" t="s">
        <v>3103</v>
      </c>
      <c r="J761" s="23" t="str">
        <f t="shared" si="312"/>
        <v>城堡科技里程碑到达12级</v>
      </c>
      <c r="K761" s="23">
        <f t="shared" si="313"/>
        <v>10036120</v>
      </c>
      <c r="L761" s="23" t="s">
        <v>515</v>
      </c>
      <c r="M761" s="23">
        <v>10001170</v>
      </c>
      <c r="N761" s="23" t="s">
        <v>51</v>
      </c>
      <c r="O761" s="23" t="s">
        <v>52</v>
      </c>
      <c r="P761" s="62" t="s">
        <v>3378</v>
      </c>
      <c r="Q761" s="23" t="s">
        <v>52</v>
      </c>
      <c r="R761" s="61" t="s">
        <v>3379</v>
      </c>
      <c r="S761" s="24" t="str">
        <f t="shared" si="314"/>
        <v>newCastleTechMilestone{mileStoneId: 12 }</v>
      </c>
      <c r="T761" s="24" t="s">
        <v>52</v>
      </c>
      <c r="V761" s="24"/>
      <c r="W761" s="23">
        <v>100380</v>
      </c>
      <c r="Y761" s="23" t="s">
        <v>56</v>
      </c>
      <c r="Z761" s="23" t="s">
        <v>57</v>
      </c>
      <c r="AA761" s="23">
        <f t="shared" si="315"/>
        <v>34012</v>
      </c>
      <c r="AB761" s="23">
        <v>6622412</v>
      </c>
      <c r="AD761" s="23">
        <v>34</v>
      </c>
      <c r="AE761" s="23">
        <f t="shared" si="316"/>
        <v>12</v>
      </c>
    </row>
    <row r="762" spans="1:31" s="23" customFormat="1" x14ac:dyDescent="0.45">
      <c r="A762" s="23">
        <f t="shared" si="310"/>
        <v>10036130</v>
      </c>
      <c r="B762" s="23">
        <v>0</v>
      </c>
      <c r="C762" s="23">
        <v>36</v>
      </c>
      <c r="D762" s="23">
        <f t="shared" si="311"/>
        <v>13</v>
      </c>
      <c r="E762" s="23" t="s">
        <v>555</v>
      </c>
      <c r="F762" s="23" t="s">
        <v>3410</v>
      </c>
      <c r="G762" s="59" t="s">
        <v>3377</v>
      </c>
      <c r="H762" s="24">
        <v>13</v>
      </c>
      <c r="I762" s="59" t="s">
        <v>3103</v>
      </c>
      <c r="J762" s="23" t="str">
        <f t="shared" si="312"/>
        <v>城堡科技里程碑到达13级</v>
      </c>
      <c r="K762" s="23">
        <f t="shared" si="313"/>
        <v>10036130</v>
      </c>
      <c r="L762" s="23" t="s">
        <v>515</v>
      </c>
      <c r="M762" s="23">
        <v>10001170</v>
      </c>
      <c r="N762" s="23" t="s">
        <v>51</v>
      </c>
      <c r="O762" s="23" t="s">
        <v>52</v>
      </c>
      <c r="P762" s="62" t="s">
        <v>3378</v>
      </c>
      <c r="Q762" s="23" t="s">
        <v>52</v>
      </c>
      <c r="R762" s="61" t="s">
        <v>3379</v>
      </c>
      <c r="S762" s="24" t="str">
        <f t="shared" si="314"/>
        <v>newCastleTechMilestone{mileStoneId: 13 }</v>
      </c>
      <c r="T762" s="24" t="s">
        <v>52</v>
      </c>
      <c r="V762" s="24"/>
      <c r="W762" s="23">
        <v>100380</v>
      </c>
      <c r="Y762" s="23" t="s">
        <v>56</v>
      </c>
      <c r="Z762" s="23" t="s">
        <v>57</v>
      </c>
      <c r="AA762" s="23">
        <f t="shared" si="315"/>
        <v>34013</v>
      </c>
      <c r="AB762" s="23">
        <v>6622413</v>
      </c>
      <c r="AD762" s="23">
        <v>34</v>
      </c>
      <c r="AE762" s="23">
        <f t="shared" si="316"/>
        <v>13</v>
      </c>
    </row>
    <row r="763" spans="1:31" s="23" customFormat="1" x14ac:dyDescent="0.45">
      <c r="A763" s="23">
        <f t="shared" si="310"/>
        <v>10036140</v>
      </c>
      <c r="B763" s="23">
        <v>0</v>
      </c>
      <c r="C763" s="23">
        <v>36</v>
      </c>
      <c r="D763" s="23">
        <f t="shared" si="311"/>
        <v>14</v>
      </c>
      <c r="E763" s="23" t="s">
        <v>555</v>
      </c>
      <c r="F763" s="23" t="s">
        <v>3411</v>
      </c>
      <c r="G763" s="59" t="s">
        <v>3377</v>
      </c>
      <c r="H763" s="55">
        <v>14</v>
      </c>
      <c r="I763" s="59" t="s">
        <v>3103</v>
      </c>
      <c r="J763" s="23" t="str">
        <f t="shared" si="312"/>
        <v>城堡科技里程碑到达14级</v>
      </c>
      <c r="K763" s="23">
        <f t="shared" si="313"/>
        <v>10036140</v>
      </c>
      <c r="L763" s="23" t="s">
        <v>515</v>
      </c>
      <c r="M763" s="23">
        <v>10001170</v>
      </c>
      <c r="N763" s="23" t="s">
        <v>51</v>
      </c>
      <c r="O763" s="23" t="s">
        <v>52</v>
      </c>
      <c r="P763" s="62" t="s">
        <v>3378</v>
      </c>
      <c r="Q763" s="23" t="s">
        <v>52</v>
      </c>
      <c r="R763" s="61" t="s">
        <v>3379</v>
      </c>
      <c r="S763" s="24" t="str">
        <f t="shared" si="314"/>
        <v>newCastleTechMilestone{mileStoneId: 14 }</v>
      </c>
      <c r="T763" s="24" t="s">
        <v>52</v>
      </c>
      <c r="V763" s="24"/>
      <c r="W763" s="23">
        <v>100380</v>
      </c>
      <c r="Y763" s="23" t="s">
        <v>56</v>
      </c>
      <c r="Z763" s="23" t="s">
        <v>57</v>
      </c>
      <c r="AA763" s="23">
        <f t="shared" si="315"/>
        <v>34014</v>
      </c>
      <c r="AB763" s="23">
        <v>6622414</v>
      </c>
      <c r="AD763" s="23">
        <v>34</v>
      </c>
      <c r="AE763" s="23">
        <f t="shared" si="316"/>
        <v>14</v>
      </c>
    </row>
    <row r="764" spans="1:31" s="23" customFormat="1" x14ac:dyDescent="0.45">
      <c r="A764" s="23">
        <f t="shared" ref="A764" si="317">10000000+B764*100000+C764*1000+D764*10</f>
        <v>10036150</v>
      </c>
      <c r="B764" s="23">
        <v>0</v>
      </c>
      <c r="C764" s="23">
        <v>36</v>
      </c>
      <c r="D764" s="23">
        <f t="shared" ref="D764" si="318">IF(C764=C763,D763+1,1)</f>
        <v>15</v>
      </c>
      <c r="E764" s="23" t="s">
        <v>555</v>
      </c>
      <c r="F764" s="23" t="s">
        <v>3412</v>
      </c>
      <c r="G764" s="59" t="s">
        <v>3377</v>
      </c>
      <c r="H764" s="24">
        <v>15</v>
      </c>
      <c r="I764" s="59" t="s">
        <v>3103</v>
      </c>
      <c r="J764" s="23" t="str">
        <f t="shared" ref="J764" si="319">G764&amp;H764&amp;I764</f>
        <v>城堡科技里程碑到达15级</v>
      </c>
      <c r="K764" s="23">
        <f t="shared" ref="K764" si="320">A764</f>
        <v>10036150</v>
      </c>
      <c r="L764" s="23" t="s">
        <v>515</v>
      </c>
      <c r="M764" s="23">
        <v>10001170</v>
      </c>
      <c r="N764" s="23" t="s">
        <v>51</v>
      </c>
      <c r="O764" s="23" t="s">
        <v>52</v>
      </c>
      <c r="P764" s="62" t="s">
        <v>3378</v>
      </c>
      <c r="Q764" s="23" t="s">
        <v>52</v>
      </c>
      <c r="R764" s="61" t="s">
        <v>3379</v>
      </c>
      <c r="S764" s="24" t="str">
        <f t="shared" ref="S764" si="321">SUBSTITUTE(R764,"@@@",H764)</f>
        <v>newCastleTechMilestone{mileStoneId: 15 }</v>
      </c>
      <c r="T764" s="24" t="s">
        <v>52</v>
      </c>
      <c r="V764" s="24"/>
      <c r="W764" s="23">
        <v>100380</v>
      </c>
      <c r="Y764" s="23" t="s">
        <v>56</v>
      </c>
      <c r="Z764" s="23" t="s">
        <v>57</v>
      </c>
      <c r="AA764" s="23">
        <f t="shared" ref="AA764" si="322">AD764*1000+AE764</f>
        <v>34015</v>
      </c>
      <c r="AB764" s="23">
        <v>6622415</v>
      </c>
      <c r="AD764" s="23">
        <v>34</v>
      </c>
      <c r="AE764" s="23">
        <f t="shared" ref="AE764" si="323">IF(AD764=AD763,AE763+1,1)</f>
        <v>15</v>
      </c>
    </row>
  </sheetData>
  <autoFilter ref="A2:AG749" xr:uid="{00000000-0009-0000-0000-000000000000}"/>
  <phoneticPr fontId="16" type="noConversion"/>
  <conditionalFormatting sqref="A200:A207">
    <cfRule type="colorScale" priority="35883">
      <colorScale>
        <cfvo type="min"/>
        <cfvo type="percentile" val="50"/>
        <cfvo type="max"/>
        <color rgb="FF63BE7B"/>
        <color rgb="FFFFEB84"/>
        <color rgb="FFF8696B"/>
      </colorScale>
    </cfRule>
    <cfRule type="colorScale" priority="35884">
      <colorScale>
        <cfvo type="min"/>
        <cfvo type="percentile" val="50"/>
        <cfvo type="max"/>
        <color rgb="FF63BE7B"/>
        <color rgb="FFFCFCFF"/>
        <color rgb="FFF8696B"/>
      </colorScale>
    </cfRule>
    <cfRule type="duplicateValues" dxfId="49" priority="35882"/>
  </conditionalFormatting>
  <conditionalFormatting sqref="A208">
    <cfRule type="colorScale" priority="483">
      <colorScale>
        <cfvo type="min"/>
        <cfvo type="percentile" val="50"/>
        <cfvo type="max"/>
        <color rgb="FF63BE7B"/>
        <color rgb="FFFFEB84"/>
        <color rgb="FFF8696B"/>
      </colorScale>
    </cfRule>
    <cfRule type="colorScale" priority="490">
      <colorScale>
        <cfvo type="min"/>
        <cfvo type="percentile" val="50"/>
        <cfvo type="max"/>
        <color rgb="FF63BE7B"/>
        <color rgb="FFFCFCFF"/>
        <color rgb="FFF8696B"/>
      </colorScale>
    </cfRule>
    <cfRule type="duplicateValues" dxfId="48" priority="473"/>
  </conditionalFormatting>
  <conditionalFormatting sqref="A209:A271 A69:A199">
    <cfRule type="colorScale" priority="28896">
      <colorScale>
        <cfvo type="min"/>
        <cfvo type="percentile" val="50"/>
        <cfvo type="max"/>
        <color rgb="FF63BE7B"/>
        <color rgb="FFFCFCFF"/>
        <color rgb="FFF8696B"/>
      </colorScale>
    </cfRule>
    <cfRule type="colorScale" priority="28869">
      <colorScale>
        <cfvo type="min"/>
        <cfvo type="percentile" val="50"/>
        <cfvo type="max"/>
        <color rgb="FF63BE7B"/>
        <color rgb="FFFFEB84"/>
        <color rgb="FFF8696B"/>
      </colorScale>
    </cfRule>
  </conditionalFormatting>
  <conditionalFormatting sqref="A273">
    <cfRule type="duplicateValues" dxfId="47" priority="1211"/>
  </conditionalFormatting>
  <conditionalFormatting sqref="A274">
    <cfRule type="duplicateValues" dxfId="46" priority="1212"/>
  </conditionalFormatting>
  <conditionalFormatting sqref="A287">
    <cfRule type="duplicateValues" dxfId="45" priority="345"/>
  </conditionalFormatting>
  <conditionalFormatting sqref="A288">
    <cfRule type="duplicateValues" dxfId="44" priority="31423"/>
  </conditionalFormatting>
  <conditionalFormatting sqref="A292:A301 A303:A305">
    <cfRule type="duplicateValues" dxfId="43" priority="35994"/>
  </conditionalFormatting>
  <conditionalFormatting sqref="A302">
    <cfRule type="duplicateValues" dxfId="42" priority="2"/>
  </conditionalFormatting>
  <conditionalFormatting sqref="A306">
    <cfRule type="duplicateValues" dxfId="41" priority="1"/>
  </conditionalFormatting>
  <conditionalFormatting sqref="A427">
    <cfRule type="duplicateValues" dxfId="40" priority="1221"/>
  </conditionalFormatting>
  <conditionalFormatting sqref="A429:A434">
    <cfRule type="duplicateValues" dxfId="39" priority="20279"/>
  </conditionalFormatting>
  <conditionalFormatting sqref="A562">
    <cfRule type="duplicateValues" dxfId="38" priority="1179"/>
  </conditionalFormatting>
  <conditionalFormatting sqref="A567">
    <cfRule type="duplicateValues" dxfId="37" priority="1178"/>
  </conditionalFormatting>
  <conditionalFormatting sqref="A573">
    <cfRule type="duplicateValues" dxfId="36" priority="1177"/>
  </conditionalFormatting>
  <conditionalFormatting sqref="A579">
    <cfRule type="duplicateValues" dxfId="35" priority="1176"/>
  </conditionalFormatting>
  <conditionalFormatting sqref="A585">
    <cfRule type="duplicateValues" dxfId="34" priority="1175"/>
  </conditionalFormatting>
  <conditionalFormatting sqref="A591">
    <cfRule type="duplicateValues" dxfId="33" priority="1174"/>
  </conditionalFormatting>
  <conditionalFormatting sqref="A597">
    <cfRule type="duplicateValues" dxfId="32" priority="1173"/>
  </conditionalFormatting>
  <conditionalFormatting sqref="A603">
    <cfRule type="duplicateValues" dxfId="31" priority="1172"/>
  </conditionalFormatting>
  <conditionalFormatting sqref="A609">
    <cfRule type="duplicateValues" dxfId="30" priority="1171"/>
  </conditionalFormatting>
  <conditionalFormatting sqref="A615">
    <cfRule type="duplicateValues" dxfId="29" priority="1170"/>
  </conditionalFormatting>
  <conditionalFormatting sqref="A621">
    <cfRule type="duplicateValues" dxfId="28" priority="1169"/>
  </conditionalFormatting>
  <conditionalFormatting sqref="A627">
    <cfRule type="duplicateValues" dxfId="27" priority="1168"/>
  </conditionalFormatting>
  <conditionalFormatting sqref="A633">
    <cfRule type="duplicateValues" dxfId="26" priority="563"/>
  </conditionalFormatting>
  <conditionalFormatting sqref="A634:A638 A640:A644 A646:A650 A652:A656 A658:A662 A664:A668 A670:A674 A676:A680 A682:A686 A688:A692">
    <cfRule type="duplicateValues" dxfId="25" priority="35972"/>
  </conditionalFormatting>
  <conditionalFormatting sqref="A639">
    <cfRule type="duplicateValues" dxfId="24" priority="561"/>
  </conditionalFormatting>
  <conditionalFormatting sqref="A645">
    <cfRule type="duplicateValues" dxfId="23" priority="559"/>
  </conditionalFormatting>
  <conditionalFormatting sqref="A651">
    <cfRule type="duplicateValues" dxfId="22" priority="557"/>
  </conditionalFormatting>
  <conditionalFormatting sqref="A657">
    <cfRule type="duplicateValues" dxfId="21" priority="555"/>
  </conditionalFormatting>
  <conditionalFormatting sqref="A663">
    <cfRule type="duplicateValues" dxfId="20" priority="553"/>
  </conditionalFormatting>
  <conditionalFormatting sqref="A669">
    <cfRule type="duplicateValues" dxfId="19" priority="551"/>
  </conditionalFormatting>
  <conditionalFormatting sqref="A675">
    <cfRule type="duplicateValues" dxfId="18" priority="549"/>
  </conditionalFormatting>
  <conditionalFormatting sqref="A681">
    <cfRule type="duplicateValues" dxfId="17" priority="547"/>
  </conditionalFormatting>
  <conditionalFormatting sqref="A687">
    <cfRule type="duplicateValues" dxfId="16" priority="545"/>
  </conditionalFormatting>
  <conditionalFormatting sqref="A693:A710 A563:A566 A275:A286 A428 A568:A572 A574:A578 A580:A584 A586:A590 A592:A596 A598:A602 A604:A608 A610:A614 A616:A620 A622:A626 A628:A632 A435:A561 A209:A272 A307:A426 A289:A291 A1:A3 A69:A199 A741:A749 A765:A1048576">
    <cfRule type="duplicateValues" dxfId="15" priority="31422"/>
  </conditionalFormatting>
  <conditionalFormatting sqref="A711:A740">
    <cfRule type="duplicateValues" dxfId="14" priority="19"/>
  </conditionalFormatting>
  <conditionalFormatting sqref="A750:A764">
    <cfRule type="duplicateValues" dxfId="13" priority="3"/>
  </conditionalFormatting>
  <conditionalFormatting sqref="B69:B84">
    <cfRule type="colorScale" priority="35881">
      <colorScale>
        <cfvo type="min"/>
        <cfvo type="percentile" val="50"/>
        <cfvo type="max"/>
        <color rgb="FF63BE7B"/>
        <color rgb="FFFFEB84"/>
        <color rgb="FFF8696B"/>
      </colorScale>
    </cfRule>
  </conditionalFormatting>
  <conditionalFormatting sqref="B70">
    <cfRule type="colorScale" priority="336">
      <colorScale>
        <cfvo type="min"/>
        <cfvo type="percentile" val="50"/>
        <cfvo type="max"/>
        <color rgb="FF63BE7B"/>
        <color rgb="FFFFEB84"/>
        <color rgb="FFF8696B"/>
      </colorScale>
    </cfRule>
  </conditionalFormatting>
  <conditionalFormatting sqref="B78">
    <cfRule type="colorScale" priority="379">
      <colorScale>
        <cfvo type="min"/>
        <cfvo type="percentile" val="50"/>
        <cfvo type="max"/>
        <color rgb="FF63BE7B"/>
        <color rgb="FFFFEB84"/>
        <color rgb="FFF8696B"/>
      </colorScale>
    </cfRule>
  </conditionalFormatting>
  <conditionalFormatting sqref="B82">
    <cfRule type="colorScale" priority="990">
      <colorScale>
        <cfvo type="min"/>
        <cfvo type="percentile" val="50"/>
        <cfvo type="max"/>
        <color rgb="FF63BE7B"/>
        <color rgb="FFFFEB84"/>
        <color rgb="FFF8696B"/>
      </colorScale>
    </cfRule>
    <cfRule type="colorScale" priority="992">
      <colorScale>
        <cfvo type="min"/>
        <cfvo type="percentile" val="50"/>
        <cfvo type="max"/>
        <color rgb="FF63BE7B"/>
        <color rgb="FFFFEB84"/>
        <color rgb="FFF8696B"/>
      </colorScale>
    </cfRule>
    <cfRule type="colorScale" priority="989">
      <colorScale>
        <cfvo type="min"/>
        <cfvo type="percentile" val="50"/>
        <cfvo type="max"/>
        <color rgb="FF63BE7B"/>
        <color rgb="FFFFEB84"/>
        <color rgb="FFF8696B"/>
      </colorScale>
    </cfRule>
    <cfRule type="colorScale" priority="988">
      <colorScale>
        <cfvo type="min"/>
        <cfvo type="percentile" val="50"/>
        <cfvo type="max"/>
        <color rgb="FF63BE7B"/>
        <color rgb="FFFFEB84"/>
        <color rgb="FFF8696B"/>
      </colorScale>
    </cfRule>
    <cfRule type="colorScale" priority="994">
      <colorScale>
        <cfvo type="min"/>
        <cfvo type="percentile" val="50"/>
        <cfvo type="max"/>
        <color rgb="FF63BE7B"/>
        <color rgb="FFFFEB84"/>
        <color rgb="FFF8696B"/>
      </colorScale>
    </cfRule>
    <cfRule type="colorScale" priority="993">
      <colorScale>
        <cfvo type="min"/>
        <cfvo type="percentile" val="50"/>
        <cfvo type="max"/>
        <color rgb="FF63BE7B"/>
        <color rgb="FFFFEB84"/>
        <color rgb="FFF8696B"/>
      </colorScale>
    </cfRule>
    <cfRule type="colorScale" priority="991">
      <colorScale>
        <cfvo type="min"/>
        <cfvo type="percentile" val="50"/>
        <cfvo type="max"/>
        <color rgb="FF63BE7B"/>
        <color rgb="FFFFEB84"/>
        <color rgb="FFF8696B"/>
      </colorScale>
    </cfRule>
  </conditionalFormatting>
  <conditionalFormatting sqref="B85">
    <cfRule type="colorScale" priority="614">
      <colorScale>
        <cfvo type="min"/>
        <cfvo type="percentile" val="50"/>
        <cfvo type="max"/>
        <color rgb="FF63BE7B"/>
        <color rgb="FFFFEB84"/>
        <color rgb="FFF8696B"/>
      </colorScale>
    </cfRule>
    <cfRule type="colorScale" priority="615">
      <colorScale>
        <cfvo type="min"/>
        <cfvo type="percentile" val="50"/>
        <cfvo type="max"/>
        <color rgb="FF63BE7B"/>
        <color rgb="FFFFEB84"/>
        <color rgb="FFF8696B"/>
      </colorScale>
    </cfRule>
  </conditionalFormatting>
  <conditionalFormatting sqref="B87">
    <cfRule type="colorScale" priority="354">
      <colorScale>
        <cfvo type="min"/>
        <cfvo type="percentile" val="50"/>
        <cfvo type="max"/>
        <color rgb="FF63BE7B"/>
        <color rgb="FFFFEB84"/>
        <color rgb="FFF8696B"/>
      </colorScale>
    </cfRule>
    <cfRule type="colorScale" priority="355">
      <colorScale>
        <cfvo type="min"/>
        <cfvo type="percentile" val="50"/>
        <cfvo type="max"/>
        <color rgb="FF63BE7B"/>
        <color rgb="FFFFEB84"/>
        <color rgb="FFF8696B"/>
      </colorScale>
    </cfRule>
    <cfRule type="colorScale" priority="352">
      <colorScale>
        <cfvo type="min"/>
        <cfvo type="percentile" val="50"/>
        <cfvo type="max"/>
        <color rgb="FF63BE7B"/>
        <color rgb="FFFFEB84"/>
        <color rgb="FFF8696B"/>
      </colorScale>
    </cfRule>
    <cfRule type="colorScale" priority="351">
      <colorScale>
        <cfvo type="min"/>
        <cfvo type="percentile" val="50"/>
        <cfvo type="max"/>
        <color rgb="FF63BE7B"/>
        <color rgb="FFFFEB84"/>
        <color rgb="FFF8696B"/>
      </colorScale>
    </cfRule>
    <cfRule type="colorScale" priority="353">
      <colorScale>
        <cfvo type="min"/>
        <cfvo type="percentile" val="50"/>
        <cfvo type="max"/>
        <color rgb="FF63BE7B"/>
        <color rgb="FFFFEB84"/>
        <color rgb="FFF8696B"/>
      </colorScale>
    </cfRule>
  </conditionalFormatting>
  <conditionalFormatting sqref="B88:B94 B86">
    <cfRule type="colorScale" priority="25457">
      <colorScale>
        <cfvo type="min"/>
        <cfvo type="percentile" val="50"/>
        <cfvo type="max"/>
        <color rgb="FF63BE7B"/>
        <color rgb="FFFFEB84"/>
        <color rgb="FFF8696B"/>
      </colorScale>
    </cfRule>
  </conditionalFormatting>
  <conditionalFormatting sqref="B90:B91">
    <cfRule type="colorScale" priority="981">
      <colorScale>
        <cfvo type="min"/>
        <cfvo type="percentile" val="50"/>
        <cfvo type="max"/>
        <color rgb="FF63BE7B"/>
        <color rgb="FFFFEB84"/>
        <color rgb="FFF8696B"/>
      </colorScale>
    </cfRule>
    <cfRule type="colorScale" priority="986">
      <colorScale>
        <cfvo type="min"/>
        <cfvo type="percentile" val="50"/>
        <cfvo type="max"/>
        <color rgb="FF63BE7B"/>
        <color rgb="FFFFEB84"/>
        <color rgb="FFF8696B"/>
      </colorScale>
    </cfRule>
    <cfRule type="colorScale" priority="985">
      <colorScale>
        <cfvo type="min"/>
        <cfvo type="percentile" val="50"/>
        <cfvo type="max"/>
        <color rgb="FF63BE7B"/>
        <color rgb="FFFFEB84"/>
        <color rgb="FFF8696B"/>
      </colorScale>
    </cfRule>
    <cfRule type="colorScale" priority="984">
      <colorScale>
        <cfvo type="min"/>
        <cfvo type="percentile" val="50"/>
        <cfvo type="max"/>
        <color rgb="FF63BE7B"/>
        <color rgb="FFFFEB84"/>
        <color rgb="FFF8696B"/>
      </colorScale>
    </cfRule>
    <cfRule type="colorScale" priority="983">
      <colorScale>
        <cfvo type="min"/>
        <cfvo type="percentile" val="50"/>
        <cfvo type="max"/>
        <color rgb="FF63BE7B"/>
        <color rgb="FFFFEB84"/>
        <color rgb="FFF8696B"/>
      </colorScale>
    </cfRule>
    <cfRule type="colorScale" priority="982">
      <colorScale>
        <cfvo type="min"/>
        <cfvo type="percentile" val="50"/>
        <cfvo type="max"/>
        <color rgb="FF63BE7B"/>
        <color rgb="FFFFEB84"/>
        <color rgb="FFF8696B"/>
      </colorScale>
    </cfRule>
    <cfRule type="colorScale" priority="987">
      <colorScale>
        <cfvo type="min"/>
        <cfvo type="percentile" val="50"/>
        <cfvo type="max"/>
        <color rgb="FF63BE7B"/>
        <color rgb="FFFFEB84"/>
        <color rgb="FFF8696B"/>
      </colorScale>
    </cfRule>
  </conditionalFormatting>
  <conditionalFormatting sqref="B94">
    <cfRule type="colorScale" priority="979">
      <colorScale>
        <cfvo type="min"/>
        <cfvo type="percentile" val="50"/>
        <cfvo type="max"/>
        <color rgb="FF63BE7B"/>
        <color rgb="FFFFEB84"/>
        <color rgb="FFF8696B"/>
      </colorScale>
    </cfRule>
    <cfRule type="colorScale" priority="974">
      <colorScale>
        <cfvo type="min"/>
        <cfvo type="percentile" val="50"/>
        <cfvo type="max"/>
        <color rgb="FF63BE7B"/>
        <color rgb="FFFFEB84"/>
        <color rgb="FFF8696B"/>
      </colorScale>
    </cfRule>
    <cfRule type="colorScale" priority="975">
      <colorScale>
        <cfvo type="min"/>
        <cfvo type="percentile" val="50"/>
        <cfvo type="max"/>
        <color rgb="FF63BE7B"/>
        <color rgb="FFFFEB84"/>
        <color rgb="FFF8696B"/>
      </colorScale>
    </cfRule>
    <cfRule type="colorScale" priority="976">
      <colorScale>
        <cfvo type="min"/>
        <cfvo type="percentile" val="50"/>
        <cfvo type="max"/>
        <color rgb="FF63BE7B"/>
        <color rgb="FFFFEB84"/>
        <color rgb="FFF8696B"/>
      </colorScale>
    </cfRule>
    <cfRule type="colorScale" priority="980">
      <colorScale>
        <cfvo type="min"/>
        <cfvo type="percentile" val="50"/>
        <cfvo type="max"/>
        <color rgb="FF63BE7B"/>
        <color rgb="FFFFEB84"/>
        <color rgb="FFF8696B"/>
      </colorScale>
    </cfRule>
    <cfRule type="colorScale" priority="977">
      <colorScale>
        <cfvo type="min"/>
        <cfvo type="percentile" val="50"/>
        <cfvo type="max"/>
        <color rgb="FF63BE7B"/>
        <color rgb="FFFFEB84"/>
        <color rgb="FFF8696B"/>
      </colorScale>
    </cfRule>
    <cfRule type="colorScale" priority="978">
      <colorScale>
        <cfvo type="min"/>
        <cfvo type="percentile" val="50"/>
        <cfvo type="max"/>
        <color rgb="FF63BE7B"/>
        <color rgb="FFFFEB84"/>
        <color rgb="FFF8696B"/>
      </colorScale>
    </cfRule>
  </conditionalFormatting>
  <conditionalFormatting sqref="B95">
    <cfRule type="colorScale" priority="1253">
      <colorScale>
        <cfvo type="min"/>
        <cfvo type="percentile" val="50"/>
        <cfvo type="max"/>
        <color rgb="FF63BE7B"/>
        <color rgb="FFFFEB84"/>
        <color rgb="FFF8696B"/>
      </colorScale>
    </cfRule>
    <cfRule type="colorScale" priority="1246">
      <colorScale>
        <cfvo type="min"/>
        <cfvo type="percentile" val="50"/>
        <cfvo type="max"/>
        <color rgb="FF63BE7B"/>
        <color rgb="FFFFEB84"/>
        <color rgb="FFF8696B"/>
      </colorScale>
    </cfRule>
    <cfRule type="colorScale" priority="1247">
      <colorScale>
        <cfvo type="min"/>
        <cfvo type="percentile" val="50"/>
        <cfvo type="max"/>
        <color rgb="FF63BE7B"/>
        <color rgb="FFFFEB84"/>
        <color rgb="FFF8696B"/>
      </colorScale>
    </cfRule>
    <cfRule type="colorScale" priority="1251">
      <colorScale>
        <cfvo type="min"/>
        <cfvo type="percentile" val="50"/>
        <cfvo type="max"/>
        <color rgb="FF63BE7B"/>
        <color rgb="FFFFEB84"/>
        <color rgb="FFF8696B"/>
      </colorScale>
    </cfRule>
    <cfRule type="colorScale" priority="1250">
      <colorScale>
        <cfvo type="min"/>
        <cfvo type="percentile" val="50"/>
        <cfvo type="max"/>
        <color rgb="FF63BE7B"/>
        <color rgb="FFFFEB84"/>
        <color rgb="FFF8696B"/>
      </colorScale>
    </cfRule>
    <cfRule type="colorScale" priority="1252">
      <colorScale>
        <cfvo type="min"/>
        <cfvo type="percentile" val="50"/>
        <cfvo type="max"/>
        <color rgb="FF63BE7B"/>
        <color rgb="FFFFEB84"/>
        <color rgb="FFF8696B"/>
      </colorScale>
    </cfRule>
    <cfRule type="colorScale" priority="1248">
      <colorScale>
        <cfvo type="min"/>
        <cfvo type="percentile" val="50"/>
        <cfvo type="max"/>
        <color rgb="FF63BE7B"/>
        <color rgb="FFFFEB84"/>
        <color rgb="FFF8696B"/>
      </colorScale>
    </cfRule>
    <cfRule type="colorScale" priority="1249">
      <colorScale>
        <cfvo type="min"/>
        <cfvo type="percentile" val="50"/>
        <cfvo type="max"/>
        <color rgb="FF63BE7B"/>
        <color rgb="FFFFEB84"/>
        <color rgb="FFF8696B"/>
      </colorScale>
    </cfRule>
  </conditionalFormatting>
  <conditionalFormatting sqref="B96:B99 B86 B92:B93 B88:B89">
    <cfRule type="colorScale" priority="5155">
      <colorScale>
        <cfvo type="min"/>
        <cfvo type="percentile" val="50"/>
        <cfvo type="max"/>
        <color rgb="FF63BE7B"/>
        <color rgb="FFFFEB84"/>
        <color rgb="FFF8696B"/>
      </colorScale>
    </cfRule>
  </conditionalFormatting>
  <conditionalFormatting sqref="B100 B111 B103:B107">
    <cfRule type="colorScale" priority="1591">
      <colorScale>
        <cfvo type="min"/>
        <cfvo type="percentile" val="50"/>
        <cfvo type="max"/>
        <color rgb="FF63BE7B"/>
        <color rgb="FFFFEB84"/>
        <color rgb="FFF8696B"/>
      </colorScale>
    </cfRule>
  </conditionalFormatting>
  <conditionalFormatting sqref="B101">
    <cfRule type="colorScale" priority="962">
      <colorScale>
        <cfvo type="min"/>
        <cfvo type="percentile" val="50"/>
        <cfvo type="max"/>
        <color rgb="FF63BE7B"/>
        <color rgb="FFFFEB84"/>
        <color rgb="FFF8696B"/>
      </colorScale>
    </cfRule>
    <cfRule type="colorScale" priority="960">
      <colorScale>
        <cfvo type="min"/>
        <cfvo type="percentile" val="50"/>
        <cfvo type="max"/>
        <color rgb="FF63BE7B"/>
        <color rgb="FFFFEB84"/>
        <color rgb="FFF8696B"/>
      </colorScale>
    </cfRule>
    <cfRule type="colorScale" priority="961">
      <colorScale>
        <cfvo type="min"/>
        <cfvo type="percentile" val="50"/>
        <cfvo type="max"/>
        <color rgb="FF63BE7B"/>
        <color rgb="FFFFEB84"/>
        <color rgb="FFF8696B"/>
      </colorScale>
    </cfRule>
    <cfRule type="colorScale" priority="966">
      <colorScale>
        <cfvo type="min"/>
        <cfvo type="percentile" val="50"/>
        <cfvo type="max"/>
        <color rgb="FF63BE7B"/>
        <color rgb="FFFFEB84"/>
        <color rgb="FFF8696B"/>
      </colorScale>
    </cfRule>
    <cfRule type="colorScale" priority="965">
      <colorScale>
        <cfvo type="min"/>
        <cfvo type="percentile" val="50"/>
        <cfvo type="max"/>
        <color rgb="FF63BE7B"/>
        <color rgb="FFFFEB84"/>
        <color rgb="FFF8696B"/>
      </colorScale>
    </cfRule>
    <cfRule type="colorScale" priority="964">
      <colorScale>
        <cfvo type="min"/>
        <cfvo type="percentile" val="50"/>
        <cfvo type="max"/>
        <color rgb="FF63BE7B"/>
        <color rgb="FFFFEB84"/>
        <color rgb="FFF8696B"/>
      </colorScale>
    </cfRule>
    <cfRule type="colorScale" priority="963">
      <colorScale>
        <cfvo type="min"/>
        <cfvo type="percentile" val="50"/>
        <cfvo type="max"/>
        <color rgb="FF63BE7B"/>
        <color rgb="FFFFEB84"/>
        <color rgb="FFF8696B"/>
      </colorScale>
    </cfRule>
  </conditionalFormatting>
  <conditionalFormatting sqref="B102">
    <cfRule type="colorScale" priority="377">
      <colorScale>
        <cfvo type="min"/>
        <cfvo type="percentile" val="50"/>
        <cfvo type="max"/>
        <color rgb="FF63BE7B"/>
        <color rgb="FFFFEB84"/>
        <color rgb="FFF8696B"/>
      </colorScale>
    </cfRule>
    <cfRule type="colorScale" priority="375">
      <colorScale>
        <cfvo type="min"/>
        <cfvo type="percentile" val="50"/>
        <cfvo type="max"/>
        <color rgb="FF63BE7B"/>
        <color rgb="FFFFEB84"/>
        <color rgb="FFF8696B"/>
      </colorScale>
    </cfRule>
    <cfRule type="colorScale" priority="376">
      <colorScale>
        <cfvo type="min"/>
        <cfvo type="percentile" val="50"/>
        <cfvo type="max"/>
        <color rgb="FF63BE7B"/>
        <color rgb="FFFFEB84"/>
        <color rgb="FFF8696B"/>
      </colorScale>
    </cfRule>
    <cfRule type="colorScale" priority="378">
      <colorScale>
        <cfvo type="min"/>
        <cfvo type="percentile" val="50"/>
        <cfvo type="max"/>
        <color rgb="FF63BE7B"/>
        <color rgb="FFFFEB84"/>
        <color rgb="FFF8696B"/>
      </colorScale>
    </cfRule>
    <cfRule type="colorScale" priority="374">
      <colorScale>
        <cfvo type="min"/>
        <cfvo type="percentile" val="50"/>
        <cfvo type="max"/>
        <color rgb="FF63BE7B"/>
        <color rgb="FFFFEB84"/>
        <color rgb="FFF8696B"/>
      </colorScale>
    </cfRule>
    <cfRule type="colorScale" priority="373">
      <colorScale>
        <cfvo type="min"/>
        <cfvo type="percentile" val="50"/>
        <cfvo type="max"/>
        <color rgb="FF63BE7B"/>
        <color rgb="FFFFEB84"/>
        <color rgb="FFF8696B"/>
      </colorScale>
    </cfRule>
  </conditionalFormatting>
  <conditionalFormatting sqref="B108">
    <cfRule type="colorScale" priority="953">
      <colorScale>
        <cfvo type="min"/>
        <cfvo type="percentile" val="50"/>
        <cfvo type="max"/>
        <color rgb="FF63BE7B"/>
        <color rgb="FFFFEB84"/>
        <color rgb="FFF8696B"/>
      </colorScale>
    </cfRule>
    <cfRule type="colorScale" priority="954">
      <colorScale>
        <cfvo type="min"/>
        <cfvo type="percentile" val="50"/>
        <cfvo type="max"/>
        <color rgb="FF63BE7B"/>
        <color rgb="FFFFEB84"/>
        <color rgb="FFF8696B"/>
      </colorScale>
    </cfRule>
    <cfRule type="colorScale" priority="959">
      <colorScale>
        <cfvo type="min"/>
        <cfvo type="percentile" val="50"/>
        <cfvo type="max"/>
        <color rgb="FF63BE7B"/>
        <color rgb="FFFFEB84"/>
        <color rgb="FFF8696B"/>
      </colorScale>
    </cfRule>
    <cfRule type="colorScale" priority="958">
      <colorScale>
        <cfvo type="min"/>
        <cfvo type="percentile" val="50"/>
        <cfvo type="max"/>
        <color rgb="FF63BE7B"/>
        <color rgb="FFFFEB84"/>
        <color rgb="FFF8696B"/>
      </colorScale>
    </cfRule>
    <cfRule type="colorScale" priority="957">
      <colorScale>
        <cfvo type="min"/>
        <cfvo type="percentile" val="50"/>
        <cfvo type="max"/>
        <color rgb="FF63BE7B"/>
        <color rgb="FFFFEB84"/>
        <color rgb="FFF8696B"/>
      </colorScale>
    </cfRule>
    <cfRule type="colorScale" priority="956">
      <colorScale>
        <cfvo type="min"/>
        <cfvo type="percentile" val="50"/>
        <cfvo type="max"/>
        <color rgb="FF63BE7B"/>
        <color rgb="FFFFEB84"/>
        <color rgb="FFF8696B"/>
      </colorScale>
    </cfRule>
    <cfRule type="colorScale" priority="955">
      <colorScale>
        <cfvo type="min"/>
        <cfvo type="percentile" val="50"/>
        <cfvo type="max"/>
        <color rgb="FF63BE7B"/>
        <color rgb="FFFFEB84"/>
        <color rgb="FFF8696B"/>
      </colorScale>
    </cfRule>
  </conditionalFormatting>
  <conditionalFormatting sqref="B109:B110">
    <cfRule type="colorScale" priority="538">
      <colorScale>
        <cfvo type="min"/>
        <cfvo type="percentile" val="50"/>
        <cfvo type="max"/>
        <color rgb="FF63BE7B"/>
        <color rgb="FFFFEB84"/>
        <color rgb="FFF8696B"/>
      </colorScale>
    </cfRule>
    <cfRule type="colorScale" priority="544">
      <colorScale>
        <cfvo type="min"/>
        <cfvo type="percentile" val="50"/>
        <cfvo type="max"/>
        <color rgb="FF63BE7B"/>
        <color rgb="FFFFEB84"/>
        <color rgb="FFF8696B"/>
      </colorScale>
    </cfRule>
    <cfRule type="colorScale" priority="542">
      <colorScale>
        <cfvo type="min"/>
        <cfvo type="percentile" val="50"/>
        <cfvo type="max"/>
        <color rgb="FF63BE7B"/>
        <color rgb="FFFFEB84"/>
        <color rgb="FFF8696B"/>
      </colorScale>
    </cfRule>
    <cfRule type="colorScale" priority="541">
      <colorScale>
        <cfvo type="min"/>
        <cfvo type="percentile" val="50"/>
        <cfvo type="max"/>
        <color rgb="FF63BE7B"/>
        <color rgb="FFFFEB84"/>
        <color rgb="FFF8696B"/>
      </colorScale>
    </cfRule>
    <cfRule type="colorScale" priority="540">
      <colorScale>
        <cfvo type="min"/>
        <cfvo type="percentile" val="50"/>
        <cfvo type="max"/>
        <color rgb="FF63BE7B"/>
        <color rgb="FFFFEB84"/>
        <color rgb="FFF8696B"/>
      </colorScale>
    </cfRule>
    <cfRule type="colorScale" priority="539">
      <colorScale>
        <cfvo type="min"/>
        <cfvo type="percentile" val="50"/>
        <cfvo type="max"/>
        <color rgb="FF63BE7B"/>
        <color rgb="FFFFEB84"/>
        <color rgb="FFF8696B"/>
      </colorScale>
    </cfRule>
    <cfRule type="colorScale" priority="543">
      <colorScale>
        <cfvo type="min"/>
        <cfvo type="percentile" val="50"/>
        <cfvo type="max"/>
        <color rgb="FF63BE7B"/>
        <color rgb="FFFFEB84"/>
        <color rgb="FFF8696B"/>
      </colorScale>
    </cfRule>
  </conditionalFormatting>
  <conditionalFormatting sqref="B115">
    <cfRule type="colorScale" priority="367">
      <colorScale>
        <cfvo type="min"/>
        <cfvo type="percentile" val="50"/>
        <cfvo type="max"/>
        <color rgb="FF63BE7B"/>
        <color rgb="FFFFEB84"/>
        <color rgb="FFF8696B"/>
      </colorScale>
    </cfRule>
    <cfRule type="colorScale" priority="366">
      <colorScale>
        <cfvo type="min"/>
        <cfvo type="percentile" val="50"/>
        <cfvo type="max"/>
        <color rgb="FF63BE7B"/>
        <color rgb="FFFFEB84"/>
        <color rgb="FFF8696B"/>
      </colorScale>
    </cfRule>
  </conditionalFormatting>
  <conditionalFormatting sqref="B119">
    <cfRule type="colorScale" priority="947">
      <colorScale>
        <cfvo type="min"/>
        <cfvo type="percentile" val="50"/>
        <cfvo type="max"/>
        <color rgb="FF63BE7B"/>
        <color rgb="FFFFEB84"/>
        <color rgb="FFF8696B"/>
      </colorScale>
    </cfRule>
    <cfRule type="colorScale" priority="946">
      <colorScale>
        <cfvo type="min"/>
        <cfvo type="percentile" val="50"/>
        <cfvo type="max"/>
        <color rgb="FF63BE7B"/>
        <color rgb="FFFFEB84"/>
        <color rgb="FFF8696B"/>
      </colorScale>
    </cfRule>
    <cfRule type="colorScale" priority="952">
      <colorScale>
        <cfvo type="min"/>
        <cfvo type="percentile" val="50"/>
        <cfvo type="max"/>
        <color rgb="FF63BE7B"/>
        <color rgb="FFFFEB84"/>
        <color rgb="FFF8696B"/>
      </colorScale>
    </cfRule>
    <cfRule type="colorScale" priority="951">
      <colorScale>
        <cfvo type="min"/>
        <cfvo type="percentile" val="50"/>
        <cfvo type="max"/>
        <color rgb="FF63BE7B"/>
        <color rgb="FFFFEB84"/>
        <color rgb="FFF8696B"/>
      </colorScale>
    </cfRule>
    <cfRule type="colorScale" priority="950">
      <colorScale>
        <cfvo type="min"/>
        <cfvo type="percentile" val="50"/>
        <cfvo type="max"/>
        <color rgb="FF63BE7B"/>
        <color rgb="FFFFEB84"/>
        <color rgb="FFF8696B"/>
      </colorScale>
    </cfRule>
    <cfRule type="colorScale" priority="949">
      <colorScale>
        <cfvo type="min"/>
        <cfvo type="percentile" val="50"/>
        <cfvo type="max"/>
        <color rgb="FF63BE7B"/>
        <color rgb="FFFFEB84"/>
        <color rgb="FFF8696B"/>
      </colorScale>
    </cfRule>
    <cfRule type="colorScale" priority="948">
      <colorScale>
        <cfvo type="min"/>
        <cfvo type="percentile" val="50"/>
        <cfvo type="max"/>
        <color rgb="FF63BE7B"/>
        <color rgb="FFFFEB84"/>
        <color rgb="FFF8696B"/>
      </colorScale>
    </cfRule>
  </conditionalFormatting>
  <conditionalFormatting sqref="B120">
    <cfRule type="colorScale" priority="939">
      <colorScale>
        <cfvo type="min"/>
        <cfvo type="percentile" val="50"/>
        <cfvo type="max"/>
        <color rgb="FF63BE7B"/>
        <color rgb="FFFFEB84"/>
        <color rgb="FFF8696B"/>
      </colorScale>
    </cfRule>
    <cfRule type="colorScale" priority="945">
      <colorScale>
        <cfvo type="min"/>
        <cfvo type="percentile" val="50"/>
        <cfvo type="max"/>
        <color rgb="FF63BE7B"/>
        <color rgb="FFFFEB84"/>
        <color rgb="FFF8696B"/>
      </colorScale>
    </cfRule>
    <cfRule type="colorScale" priority="944">
      <colorScale>
        <cfvo type="min"/>
        <cfvo type="percentile" val="50"/>
        <cfvo type="max"/>
        <color rgb="FF63BE7B"/>
        <color rgb="FFFFEB84"/>
        <color rgb="FFF8696B"/>
      </colorScale>
    </cfRule>
    <cfRule type="colorScale" priority="943">
      <colorScale>
        <cfvo type="min"/>
        <cfvo type="percentile" val="50"/>
        <cfvo type="max"/>
        <color rgb="FF63BE7B"/>
        <color rgb="FFFFEB84"/>
        <color rgb="FFF8696B"/>
      </colorScale>
    </cfRule>
    <cfRule type="colorScale" priority="942">
      <colorScale>
        <cfvo type="min"/>
        <cfvo type="percentile" val="50"/>
        <cfvo type="max"/>
        <color rgb="FF63BE7B"/>
        <color rgb="FFFFEB84"/>
        <color rgb="FFF8696B"/>
      </colorScale>
    </cfRule>
    <cfRule type="colorScale" priority="941">
      <colorScale>
        <cfvo type="min"/>
        <cfvo type="percentile" val="50"/>
        <cfvo type="max"/>
        <color rgb="FF63BE7B"/>
        <color rgb="FFFFEB84"/>
        <color rgb="FFF8696B"/>
      </colorScale>
    </cfRule>
    <cfRule type="colorScale" priority="940">
      <colorScale>
        <cfvo type="min"/>
        <cfvo type="percentile" val="50"/>
        <cfvo type="max"/>
        <color rgb="FF63BE7B"/>
        <color rgb="FFFFEB84"/>
        <color rgb="FFF8696B"/>
      </colorScale>
    </cfRule>
  </conditionalFormatting>
  <conditionalFormatting sqref="B121">
    <cfRule type="colorScale" priority="363">
      <colorScale>
        <cfvo type="min"/>
        <cfvo type="percentile" val="50"/>
        <cfvo type="max"/>
        <color rgb="FF63BE7B"/>
        <color rgb="FFFFEB84"/>
        <color rgb="FFF8696B"/>
      </colorScale>
    </cfRule>
    <cfRule type="colorScale" priority="364">
      <colorScale>
        <cfvo type="min"/>
        <cfvo type="percentile" val="50"/>
        <cfvo type="max"/>
        <color rgb="FF63BE7B"/>
        <color rgb="FFFFEB84"/>
        <color rgb="FFF8696B"/>
      </colorScale>
    </cfRule>
    <cfRule type="colorScale" priority="365">
      <colorScale>
        <cfvo type="min"/>
        <cfvo type="percentile" val="50"/>
        <cfvo type="max"/>
        <color rgb="FF63BE7B"/>
        <color rgb="FFFFEB84"/>
        <color rgb="FFF8696B"/>
      </colorScale>
    </cfRule>
    <cfRule type="colorScale" priority="360">
      <colorScale>
        <cfvo type="min"/>
        <cfvo type="percentile" val="50"/>
        <cfvo type="max"/>
        <color rgb="FF63BE7B"/>
        <color rgb="FFFFEB84"/>
        <color rgb="FFF8696B"/>
      </colorScale>
    </cfRule>
    <cfRule type="colorScale" priority="361">
      <colorScale>
        <cfvo type="min"/>
        <cfvo type="percentile" val="50"/>
        <cfvo type="max"/>
        <color rgb="FF63BE7B"/>
        <color rgb="FFFFEB84"/>
        <color rgb="FFF8696B"/>
      </colorScale>
    </cfRule>
    <cfRule type="colorScale" priority="362">
      <colorScale>
        <cfvo type="min"/>
        <cfvo type="percentile" val="50"/>
        <cfvo type="max"/>
        <color rgb="FF63BE7B"/>
        <color rgb="FFFFEB84"/>
        <color rgb="FFF8696B"/>
      </colorScale>
    </cfRule>
  </conditionalFormatting>
  <conditionalFormatting sqref="B129">
    <cfRule type="colorScale" priority="347">
      <colorScale>
        <cfvo type="min"/>
        <cfvo type="percentile" val="50"/>
        <cfvo type="max"/>
        <color rgb="FF63BE7B"/>
        <color rgb="FFFFEB84"/>
        <color rgb="FFF8696B"/>
      </colorScale>
    </cfRule>
    <cfRule type="colorScale" priority="346">
      <colorScale>
        <cfvo type="min"/>
        <cfvo type="percentile" val="50"/>
        <cfvo type="max"/>
        <color rgb="FF63BE7B"/>
        <color rgb="FFFFEB84"/>
        <color rgb="FFF8696B"/>
      </colorScale>
    </cfRule>
    <cfRule type="colorScale" priority="349">
      <colorScale>
        <cfvo type="min"/>
        <cfvo type="percentile" val="50"/>
        <cfvo type="max"/>
        <color rgb="FF63BE7B"/>
        <color rgb="FFFFEB84"/>
        <color rgb="FFF8696B"/>
      </colorScale>
    </cfRule>
    <cfRule type="colorScale" priority="348">
      <colorScale>
        <cfvo type="min"/>
        <cfvo type="percentile" val="50"/>
        <cfvo type="max"/>
        <color rgb="FF63BE7B"/>
        <color rgb="FFFFEB84"/>
        <color rgb="FFF8696B"/>
      </colorScale>
    </cfRule>
    <cfRule type="colorScale" priority="350">
      <colorScale>
        <cfvo type="min"/>
        <cfvo type="percentile" val="50"/>
        <cfvo type="max"/>
        <color rgb="FF63BE7B"/>
        <color rgb="FFFFEB84"/>
        <color rgb="FFF8696B"/>
      </colorScale>
    </cfRule>
  </conditionalFormatting>
  <conditionalFormatting sqref="B130">
    <cfRule type="colorScale" priority="938">
      <colorScale>
        <cfvo type="min"/>
        <cfvo type="percentile" val="50"/>
        <cfvo type="max"/>
        <color rgb="FF63BE7B"/>
        <color rgb="FFFFEB84"/>
        <color rgb="FFF8696B"/>
      </colorScale>
    </cfRule>
    <cfRule type="colorScale" priority="937">
      <colorScale>
        <cfvo type="min"/>
        <cfvo type="percentile" val="50"/>
        <cfvo type="max"/>
        <color rgb="FF63BE7B"/>
        <color rgb="FFFFEB84"/>
        <color rgb="FFF8696B"/>
      </colorScale>
    </cfRule>
    <cfRule type="colorScale" priority="936">
      <colorScale>
        <cfvo type="min"/>
        <cfvo type="percentile" val="50"/>
        <cfvo type="max"/>
        <color rgb="FF63BE7B"/>
        <color rgb="FFFFEB84"/>
        <color rgb="FFF8696B"/>
      </colorScale>
    </cfRule>
    <cfRule type="colorScale" priority="935">
      <colorScale>
        <cfvo type="min"/>
        <cfvo type="percentile" val="50"/>
        <cfvo type="max"/>
        <color rgb="FF63BE7B"/>
        <color rgb="FFFFEB84"/>
        <color rgb="FFF8696B"/>
      </colorScale>
    </cfRule>
    <cfRule type="colorScale" priority="934">
      <colorScale>
        <cfvo type="min"/>
        <cfvo type="percentile" val="50"/>
        <cfvo type="max"/>
        <color rgb="FF63BE7B"/>
        <color rgb="FFFFEB84"/>
        <color rgb="FFF8696B"/>
      </colorScale>
    </cfRule>
    <cfRule type="colorScale" priority="933">
      <colorScale>
        <cfvo type="min"/>
        <cfvo type="percentile" val="50"/>
        <cfvo type="max"/>
        <color rgb="FF63BE7B"/>
        <color rgb="FFFFEB84"/>
        <color rgb="FFF8696B"/>
      </colorScale>
    </cfRule>
    <cfRule type="colorScale" priority="932">
      <colorScale>
        <cfvo type="min"/>
        <cfvo type="percentile" val="50"/>
        <cfvo type="max"/>
        <color rgb="FF63BE7B"/>
        <color rgb="FFFFEB84"/>
        <color rgb="FFF8696B"/>
      </colorScale>
    </cfRule>
  </conditionalFormatting>
  <conditionalFormatting sqref="B131">
    <cfRule type="colorScale" priority="931">
      <colorScale>
        <cfvo type="min"/>
        <cfvo type="percentile" val="50"/>
        <cfvo type="max"/>
        <color rgb="FF63BE7B"/>
        <color rgb="FFFFEB84"/>
        <color rgb="FFF8696B"/>
      </colorScale>
    </cfRule>
    <cfRule type="colorScale" priority="930">
      <colorScale>
        <cfvo type="min"/>
        <cfvo type="percentile" val="50"/>
        <cfvo type="max"/>
        <color rgb="FF63BE7B"/>
        <color rgb="FFFFEB84"/>
        <color rgb="FFF8696B"/>
      </colorScale>
    </cfRule>
    <cfRule type="colorScale" priority="929">
      <colorScale>
        <cfvo type="min"/>
        <cfvo type="percentile" val="50"/>
        <cfvo type="max"/>
        <color rgb="FF63BE7B"/>
        <color rgb="FFFFEB84"/>
        <color rgb="FFF8696B"/>
      </colorScale>
    </cfRule>
    <cfRule type="colorScale" priority="928">
      <colorScale>
        <cfvo type="min"/>
        <cfvo type="percentile" val="50"/>
        <cfvo type="max"/>
        <color rgb="FF63BE7B"/>
        <color rgb="FFFFEB84"/>
        <color rgb="FFF8696B"/>
      </colorScale>
    </cfRule>
    <cfRule type="colorScale" priority="927">
      <colorScale>
        <cfvo type="min"/>
        <cfvo type="percentile" val="50"/>
        <cfvo type="max"/>
        <color rgb="FF63BE7B"/>
        <color rgb="FFFFEB84"/>
        <color rgb="FFF8696B"/>
      </colorScale>
    </cfRule>
    <cfRule type="colorScale" priority="926">
      <colorScale>
        <cfvo type="min"/>
        <cfvo type="percentile" val="50"/>
        <cfvo type="max"/>
        <color rgb="FF63BE7B"/>
        <color rgb="FFFFEB84"/>
        <color rgb="FFF8696B"/>
      </colorScale>
    </cfRule>
    <cfRule type="colorScale" priority="925">
      <colorScale>
        <cfvo type="min"/>
        <cfvo type="percentile" val="50"/>
        <cfvo type="max"/>
        <color rgb="FF63BE7B"/>
        <color rgb="FFFFEB84"/>
        <color rgb="FFF8696B"/>
      </colorScale>
    </cfRule>
  </conditionalFormatting>
  <conditionalFormatting sqref="B133">
    <cfRule type="colorScale" priority="1343">
      <colorScale>
        <cfvo type="min"/>
        <cfvo type="percentile" val="50"/>
        <cfvo type="max"/>
        <color rgb="FF63BE7B"/>
        <color rgb="FFFFEB84"/>
        <color rgb="FFF8696B"/>
      </colorScale>
    </cfRule>
    <cfRule type="colorScale" priority="1345">
      <colorScale>
        <cfvo type="min"/>
        <cfvo type="percentile" val="50"/>
        <cfvo type="max"/>
        <color rgb="FF63BE7B"/>
        <color rgb="FFFFEB84"/>
        <color rgb="FFF8696B"/>
      </colorScale>
    </cfRule>
    <cfRule type="colorScale" priority="1346">
      <colorScale>
        <cfvo type="min"/>
        <cfvo type="percentile" val="50"/>
        <cfvo type="max"/>
        <color rgb="FF63BE7B"/>
        <color rgb="FFFFEB84"/>
        <color rgb="FFF8696B"/>
      </colorScale>
    </cfRule>
    <cfRule type="colorScale" priority="1342">
      <colorScale>
        <cfvo type="min"/>
        <cfvo type="percentile" val="50"/>
        <cfvo type="max"/>
        <color rgb="FF63BE7B"/>
        <color rgb="FFFFEB84"/>
        <color rgb="FFF8696B"/>
      </colorScale>
    </cfRule>
    <cfRule type="colorScale" priority="1344">
      <colorScale>
        <cfvo type="min"/>
        <cfvo type="percentile" val="50"/>
        <cfvo type="max"/>
        <color rgb="FF63BE7B"/>
        <color rgb="FFFFEB84"/>
        <color rgb="FFF8696B"/>
      </colorScale>
    </cfRule>
  </conditionalFormatting>
  <conditionalFormatting sqref="B140">
    <cfRule type="colorScale" priority="924">
      <colorScale>
        <cfvo type="min"/>
        <cfvo type="percentile" val="50"/>
        <cfvo type="max"/>
        <color rgb="FF63BE7B"/>
        <color rgb="FFFFEB84"/>
        <color rgb="FFF8696B"/>
      </colorScale>
    </cfRule>
    <cfRule type="colorScale" priority="923">
      <colorScale>
        <cfvo type="min"/>
        <cfvo type="percentile" val="50"/>
        <cfvo type="max"/>
        <color rgb="FF63BE7B"/>
        <color rgb="FFFFEB84"/>
        <color rgb="FFF8696B"/>
      </colorScale>
    </cfRule>
    <cfRule type="colorScale" priority="922">
      <colorScale>
        <cfvo type="min"/>
        <cfvo type="percentile" val="50"/>
        <cfvo type="max"/>
        <color rgb="FF63BE7B"/>
        <color rgb="FFFFEB84"/>
        <color rgb="FFF8696B"/>
      </colorScale>
    </cfRule>
    <cfRule type="colorScale" priority="921">
      <colorScale>
        <cfvo type="min"/>
        <cfvo type="percentile" val="50"/>
        <cfvo type="max"/>
        <color rgb="FF63BE7B"/>
        <color rgb="FFFFEB84"/>
        <color rgb="FFF8696B"/>
      </colorScale>
    </cfRule>
    <cfRule type="colorScale" priority="920">
      <colorScale>
        <cfvo type="min"/>
        <cfvo type="percentile" val="50"/>
        <cfvo type="max"/>
        <color rgb="FF63BE7B"/>
        <color rgb="FFFFEB84"/>
        <color rgb="FFF8696B"/>
      </colorScale>
    </cfRule>
    <cfRule type="colorScale" priority="918">
      <colorScale>
        <cfvo type="min"/>
        <cfvo type="percentile" val="50"/>
        <cfvo type="max"/>
        <color rgb="FF63BE7B"/>
        <color rgb="FFFFEB84"/>
        <color rgb="FFF8696B"/>
      </colorScale>
    </cfRule>
    <cfRule type="colorScale" priority="919">
      <colorScale>
        <cfvo type="min"/>
        <cfvo type="percentile" val="50"/>
        <cfvo type="max"/>
        <color rgb="FF63BE7B"/>
        <color rgb="FFFFEB84"/>
        <color rgb="FFF8696B"/>
      </colorScale>
    </cfRule>
  </conditionalFormatting>
  <conditionalFormatting sqref="B141:B145 B153 B134:B139 B122:B128 B132 B148:B149 B112:B118 B69:B81 B83:B84">
    <cfRule type="colorScale" priority="21461">
      <colorScale>
        <cfvo type="min"/>
        <cfvo type="percentile" val="50"/>
        <cfvo type="max"/>
        <color rgb="FF63BE7B"/>
        <color rgb="FFFFEB84"/>
        <color rgb="FFF8696B"/>
      </colorScale>
    </cfRule>
  </conditionalFormatting>
  <conditionalFormatting sqref="B141:B145">
    <cfRule type="colorScale" priority="21489">
      <colorScale>
        <cfvo type="min"/>
        <cfvo type="percentile" val="50"/>
        <cfvo type="max"/>
        <color rgb="FF63BE7B"/>
        <color rgb="FFFFEB84"/>
        <color rgb="FFF8696B"/>
      </colorScale>
    </cfRule>
    <cfRule type="colorScale" priority="21526">
      <colorScale>
        <cfvo type="min"/>
        <cfvo type="percentile" val="50"/>
        <cfvo type="max"/>
        <color rgb="FF63BE7B"/>
        <color rgb="FFFFEB84"/>
        <color rgb="FFF8696B"/>
      </colorScale>
    </cfRule>
  </conditionalFormatting>
  <conditionalFormatting sqref="B146:B147">
    <cfRule type="colorScale" priority="914">
      <colorScale>
        <cfvo type="min"/>
        <cfvo type="percentile" val="50"/>
        <cfvo type="max"/>
        <color rgb="FF63BE7B"/>
        <color rgb="FFFFEB84"/>
        <color rgb="FFF8696B"/>
      </colorScale>
    </cfRule>
    <cfRule type="colorScale" priority="912">
      <colorScale>
        <cfvo type="min"/>
        <cfvo type="percentile" val="50"/>
        <cfvo type="max"/>
        <color rgb="FF63BE7B"/>
        <color rgb="FFFFEB84"/>
        <color rgb="FFF8696B"/>
      </colorScale>
    </cfRule>
    <cfRule type="colorScale" priority="915">
      <colorScale>
        <cfvo type="min"/>
        <cfvo type="percentile" val="50"/>
        <cfvo type="max"/>
        <color rgb="FF63BE7B"/>
        <color rgb="FFFFEB84"/>
        <color rgb="FFF8696B"/>
      </colorScale>
    </cfRule>
    <cfRule type="colorScale" priority="917">
      <colorScale>
        <cfvo type="min"/>
        <cfvo type="percentile" val="50"/>
        <cfvo type="max"/>
        <color rgb="FF63BE7B"/>
        <color rgb="FFFFEB84"/>
        <color rgb="FFF8696B"/>
      </colorScale>
    </cfRule>
    <cfRule type="colorScale" priority="913">
      <colorScale>
        <cfvo type="min"/>
        <cfvo type="percentile" val="50"/>
        <cfvo type="max"/>
        <color rgb="FF63BE7B"/>
        <color rgb="FFFFEB84"/>
        <color rgb="FFF8696B"/>
      </colorScale>
    </cfRule>
    <cfRule type="colorScale" priority="916">
      <colorScale>
        <cfvo type="min"/>
        <cfvo type="percentile" val="50"/>
        <cfvo type="max"/>
        <color rgb="FF63BE7B"/>
        <color rgb="FFFFEB84"/>
        <color rgb="FFF8696B"/>
      </colorScale>
    </cfRule>
    <cfRule type="colorScale" priority="911">
      <colorScale>
        <cfvo type="min"/>
        <cfvo type="percentile" val="50"/>
        <cfvo type="max"/>
        <color rgb="FF63BE7B"/>
        <color rgb="FFFFEB84"/>
        <color rgb="FFF8696B"/>
      </colorScale>
    </cfRule>
  </conditionalFormatting>
  <conditionalFormatting sqref="B150">
    <cfRule type="colorScale" priority="905">
      <colorScale>
        <cfvo type="min"/>
        <cfvo type="percentile" val="50"/>
        <cfvo type="max"/>
        <color rgb="FF63BE7B"/>
        <color rgb="FFFFEB84"/>
        <color rgb="FFF8696B"/>
      </colorScale>
    </cfRule>
    <cfRule type="colorScale" priority="906">
      <colorScale>
        <cfvo type="min"/>
        <cfvo type="percentile" val="50"/>
        <cfvo type="max"/>
        <color rgb="FF63BE7B"/>
        <color rgb="FFFFEB84"/>
        <color rgb="FFF8696B"/>
      </colorScale>
    </cfRule>
    <cfRule type="colorScale" priority="904">
      <colorScale>
        <cfvo type="min"/>
        <cfvo type="percentile" val="50"/>
        <cfvo type="max"/>
        <color rgb="FF63BE7B"/>
        <color rgb="FFFFEB84"/>
        <color rgb="FFF8696B"/>
      </colorScale>
    </cfRule>
    <cfRule type="colorScale" priority="907">
      <colorScale>
        <cfvo type="min"/>
        <cfvo type="percentile" val="50"/>
        <cfvo type="max"/>
        <color rgb="FF63BE7B"/>
        <color rgb="FFFFEB84"/>
        <color rgb="FFF8696B"/>
      </colorScale>
    </cfRule>
    <cfRule type="colorScale" priority="908">
      <colorScale>
        <cfvo type="min"/>
        <cfvo type="percentile" val="50"/>
        <cfvo type="max"/>
        <color rgb="FF63BE7B"/>
        <color rgb="FFFFEB84"/>
        <color rgb="FFF8696B"/>
      </colorScale>
    </cfRule>
    <cfRule type="colorScale" priority="909">
      <colorScale>
        <cfvo type="min"/>
        <cfvo type="percentile" val="50"/>
        <cfvo type="max"/>
        <color rgb="FF63BE7B"/>
        <color rgb="FFFFEB84"/>
        <color rgb="FFF8696B"/>
      </colorScale>
    </cfRule>
    <cfRule type="colorScale" priority="910">
      <colorScale>
        <cfvo type="min"/>
        <cfvo type="percentile" val="50"/>
        <cfvo type="max"/>
        <color rgb="FF63BE7B"/>
        <color rgb="FFFFEB84"/>
        <color rgb="FFF8696B"/>
      </colorScale>
    </cfRule>
  </conditionalFormatting>
  <conditionalFormatting sqref="B151:B152">
    <cfRule type="colorScale" priority="534">
      <colorScale>
        <cfvo type="min"/>
        <cfvo type="percentile" val="50"/>
        <cfvo type="max"/>
        <color rgb="FF63BE7B"/>
        <color rgb="FFFFEB84"/>
        <color rgb="FFF8696B"/>
      </colorScale>
    </cfRule>
    <cfRule type="colorScale" priority="536">
      <colorScale>
        <cfvo type="min"/>
        <cfvo type="percentile" val="50"/>
        <cfvo type="max"/>
        <color rgb="FF63BE7B"/>
        <color rgb="FFFFEB84"/>
        <color rgb="FFF8696B"/>
      </colorScale>
    </cfRule>
    <cfRule type="colorScale" priority="537">
      <colorScale>
        <cfvo type="min"/>
        <cfvo type="percentile" val="50"/>
        <cfvo type="max"/>
        <color rgb="FF63BE7B"/>
        <color rgb="FFFFEB84"/>
        <color rgb="FFF8696B"/>
      </colorScale>
    </cfRule>
    <cfRule type="colorScale" priority="531">
      <colorScale>
        <cfvo type="min"/>
        <cfvo type="percentile" val="50"/>
        <cfvo type="max"/>
        <color rgb="FF63BE7B"/>
        <color rgb="FFFFEB84"/>
        <color rgb="FFF8696B"/>
      </colorScale>
    </cfRule>
    <cfRule type="colorScale" priority="532">
      <colorScale>
        <cfvo type="min"/>
        <cfvo type="percentile" val="50"/>
        <cfvo type="max"/>
        <color rgb="FF63BE7B"/>
        <color rgb="FFFFEB84"/>
        <color rgb="FFF8696B"/>
      </colorScale>
    </cfRule>
    <cfRule type="colorScale" priority="533">
      <colorScale>
        <cfvo type="min"/>
        <cfvo type="percentile" val="50"/>
        <cfvo type="max"/>
        <color rgb="FF63BE7B"/>
        <color rgb="FFFFEB84"/>
        <color rgb="FFF8696B"/>
      </colorScale>
    </cfRule>
    <cfRule type="colorScale" priority="535">
      <colorScale>
        <cfvo type="min"/>
        <cfvo type="percentile" val="50"/>
        <cfvo type="max"/>
        <color rgb="FF63BE7B"/>
        <color rgb="FFFFEB84"/>
        <color rgb="FFF8696B"/>
      </colorScale>
    </cfRule>
  </conditionalFormatting>
  <conditionalFormatting sqref="B153:B154 B141:B145 B134:B139 B92:B93 B132 B148:B149 B96:B99 B112:B118 B86:B89 B122:B129 B69:B81 B83:B84">
    <cfRule type="colorScale" priority="21506">
      <colorScale>
        <cfvo type="min"/>
        <cfvo type="percentile" val="50"/>
        <cfvo type="max"/>
        <color rgb="FF63BE7B"/>
        <color rgb="FFFFEB84"/>
        <color rgb="FFF8696B"/>
      </colorScale>
    </cfRule>
  </conditionalFormatting>
  <conditionalFormatting sqref="B154">
    <cfRule type="colorScale" priority="497">
      <colorScale>
        <cfvo type="min"/>
        <cfvo type="percentile" val="50"/>
        <cfvo type="max"/>
        <color rgb="FF63BE7B"/>
        <color rgb="FFFFEB84"/>
        <color rgb="FFF8696B"/>
      </colorScale>
    </cfRule>
  </conditionalFormatting>
  <conditionalFormatting sqref="B155:B160 B163">
    <cfRule type="colorScale" priority="1715">
      <colorScale>
        <cfvo type="min"/>
        <cfvo type="percentile" val="50"/>
        <cfvo type="max"/>
        <color rgb="FF63BE7B"/>
        <color rgb="FFFFEB84"/>
        <color rgb="FFF8696B"/>
      </colorScale>
    </cfRule>
  </conditionalFormatting>
  <conditionalFormatting sqref="B161">
    <cfRule type="colorScale" priority="897">
      <colorScale>
        <cfvo type="min"/>
        <cfvo type="percentile" val="50"/>
        <cfvo type="max"/>
        <color rgb="FF63BE7B"/>
        <color rgb="FFFFEB84"/>
        <color rgb="FFF8696B"/>
      </colorScale>
    </cfRule>
    <cfRule type="colorScale" priority="901">
      <colorScale>
        <cfvo type="min"/>
        <cfvo type="percentile" val="50"/>
        <cfvo type="max"/>
        <color rgb="FF63BE7B"/>
        <color rgb="FFFFEB84"/>
        <color rgb="FFF8696B"/>
      </colorScale>
    </cfRule>
    <cfRule type="colorScale" priority="902">
      <colorScale>
        <cfvo type="min"/>
        <cfvo type="percentile" val="50"/>
        <cfvo type="max"/>
        <color rgb="FF63BE7B"/>
        <color rgb="FFFFEB84"/>
        <color rgb="FFF8696B"/>
      </colorScale>
    </cfRule>
    <cfRule type="colorScale" priority="900">
      <colorScale>
        <cfvo type="min"/>
        <cfvo type="percentile" val="50"/>
        <cfvo type="max"/>
        <color rgb="FF63BE7B"/>
        <color rgb="FFFFEB84"/>
        <color rgb="FFF8696B"/>
      </colorScale>
    </cfRule>
    <cfRule type="colorScale" priority="899">
      <colorScale>
        <cfvo type="min"/>
        <cfvo type="percentile" val="50"/>
        <cfvo type="max"/>
        <color rgb="FF63BE7B"/>
        <color rgb="FFFFEB84"/>
        <color rgb="FFF8696B"/>
      </colorScale>
    </cfRule>
    <cfRule type="colorScale" priority="898">
      <colorScale>
        <cfvo type="min"/>
        <cfvo type="percentile" val="50"/>
        <cfvo type="max"/>
        <color rgb="FF63BE7B"/>
        <color rgb="FFFFEB84"/>
        <color rgb="FFF8696B"/>
      </colorScale>
    </cfRule>
    <cfRule type="colorScale" priority="903">
      <colorScale>
        <cfvo type="min"/>
        <cfvo type="percentile" val="50"/>
        <cfvo type="max"/>
        <color rgb="FF63BE7B"/>
        <color rgb="FFFFEB84"/>
        <color rgb="FFF8696B"/>
      </colorScale>
    </cfRule>
  </conditionalFormatting>
  <conditionalFormatting sqref="B162">
    <cfRule type="colorScale" priority="892">
      <colorScale>
        <cfvo type="min"/>
        <cfvo type="percentile" val="50"/>
        <cfvo type="max"/>
        <color rgb="FF63BE7B"/>
        <color rgb="FFFFEB84"/>
        <color rgb="FFF8696B"/>
      </colorScale>
    </cfRule>
    <cfRule type="colorScale" priority="893">
      <colorScale>
        <cfvo type="min"/>
        <cfvo type="percentile" val="50"/>
        <cfvo type="max"/>
        <color rgb="FF63BE7B"/>
        <color rgb="FFFFEB84"/>
        <color rgb="FFF8696B"/>
      </colorScale>
    </cfRule>
    <cfRule type="colorScale" priority="894">
      <colorScale>
        <cfvo type="min"/>
        <cfvo type="percentile" val="50"/>
        <cfvo type="max"/>
        <color rgb="FF63BE7B"/>
        <color rgb="FFFFEB84"/>
        <color rgb="FFF8696B"/>
      </colorScale>
    </cfRule>
    <cfRule type="colorScale" priority="895">
      <colorScale>
        <cfvo type="min"/>
        <cfvo type="percentile" val="50"/>
        <cfvo type="max"/>
        <color rgb="FF63BE7B"/>
        <color rgb="FFFFEB84"/>
        <color rgb="FFF8696B"/>
      </colorScale>
    </cfRule>
    <cfRule type="colorScale" priority="896">
      <colorScale>
        <cfvo type="min"/>
        <cfvo type="percentile" val="50"/>
        <cfvo type="max"/>
        <color rgb="FF63BE7B"/>
        <color rgb="FFFFEB84"/>
        <color rgb="FFF8696B"/>
      </colorScale>
    </cfRule>
    <cfRule type="colorScale" priority="890">
      <colorScale>
        <cfvo type="min"/>
        <cfvo type="percentile" val="50"/>
        <cfvo type="max"/>
        <color rgb="FF63BE7B"/>
        <color rgb="FFFFEB84"/>
        <color rgb="FFF8696B"/>
      </colorScale>
    </cfRule>
    <cfRule type="colorScale" priority="891">
      <colorScale>
        <cfvo type="min"/>
        <cfvo type="percentile" val="50"/>
        <cfvo type="max"/>
        <color rgb="FF63BE7B"/>
        <color rgb="FFFFEB84"/>
        <color rgb="FFF8696B"/>
      </colorScale>
    </cfRule>
  </conditionalFormatting>
  <conditionalFormatting sqref="B164:B169 B172">
    <cfRule type="colorScale" priority="1716">
      <colorScale>
        <cfvo type="min"/>
        <cfvo type="percentile" val="50"/>
        <cfvo type="max"/>
        <color rgb="FF63BE7B"/>
        <color rgb="FFFFEB84"/>
        <color rgb="FFF8696B"/>
      </colorScale>
    </cfRule>
  </conditionalFormatting>
  <conditionalFormatting sqref="B170">
    <cfRule type="colorScale" priority="887">
      <colorScale>
        <cfvo type="min"/>
        <cfvo type="percentile" val="50"/>
        <cfvo type="max"/>
        <color rgb="FF63BE7B"/>
        <color rgb="FFFFEB84"/>
        <color rgb="FFF8696B"/>
      </colorScale>
    </cfRule>
    <cfRule type="colorScale" priority="888">
      <colorScale>
        <cfvo type="min"/>
        <cfvo type="percentile" val="50"/>
        <cfvo type="max"/>
        <color rgb="FF63BE7B"/>
        <color rgb="FFFFEB84"/>
        <color rgb="FFF8696B"/>
      </colorScale>
    </cfRule>
    <cfRule type="colorScale" priority="889">
      <colorScale>
        <cfvo type="min"/>
        <cfvo type="percentile" val="50"/>
        <cfvo type="max"/>
        <color rgb="FF63BE7B"/>
        <color rgb="FFFFEB84"/>
        <color rgb="FFF8696B"/>
      </colorScale>
    </cfRule>
    <cfRule type="colorScale" priority="886">
      <colorScale>
        <cfvo type="min"/>
        <cfvo type="percentile" val="50"/>
        <cfvo type="max"/>
        <color rgb="FF63BE7B"/>
        <color rgb="FFFFEB84"/>
        <color rgb="FFF8696B"/>
      </colorScale>
    </cfRule>
    <cfRule type="colorScale" priority="885">
      <colorScale>
        <cfvo type="min"/>
        <cfvo type="percentile" val="50"/>
        <cfvo type="max"/>
        <color rgb="FF63BE7B"/>
        <color rgb="FFFFEB84"/>
        <color rgb="FFF8696B"/>
      </colorScale>
    </cfRule>
    <cfRule type="colorScale" priority="884">
      <colorScale>
        <cfvo type="min"/>
        <cfvo type="percentile" val="50"/>
        <cfvo type="max"/>
        <color rgb="FF63BE7B"/>
        <color rgb="FFFFEB84"/>
        <color rgb="FFF8696B"/>
      </colorScale>
    </cfRule>
    <cfRule type="colorScale" priority="883">
      <colorScale>
        <cfvo type="min"/>
        <cfvo type="percentile" val="50"/>
        <cfvo type="max"/>
        <color rgb="FF63BE7B"/>
        <color rgb="FFFFEB84"/>
        <color rgb="FFF8696B"/>
      </colorScale>
    </cfRule>
  </conditionalFormatting>
  <conditionalFormatting sqref="B171">
    <cfRule type="colorScale" priority="877">
      <colorScale>
        <cfvo type="min"/>
        <cfvo type="percentile" val="50"/>
        <cfvo type="max"/>
        <color rgb="FF63BE7B"/>
        <color rgb="FFFFEB84"/>
        <color rgb="FFF8696B"/>
      </colorScale>
    </cfRule>
    <cfRule type="colorScale" priority="876">
      <colorScale>
        <cfvo type="min"/>
        <cfvo type="percentile" val="50"/>
        <cfvo type="max"/>
        <color rgb="FF63BE7B"/>
        <color rgb="FFFFEB84"/>
        <color rgb="FFF8696B"/>
      </colorScale>
    </cfRule>
    <cfRule type="colorScale" priority="882">
      <colorScale>
        <cfvo type="min"/>
        <cfvo type="percentile" val="50"/>
        <cfvo type="max"/>
        <color rgb="FF63BE7B"/>
        <color rgb="FFFFEB84"/>
        <color rgb="FFF8696B"/>
      </colorScale>
    </cfRule>
    <cfRule type="colorScale" priority="881">
      <colorScale>
        <cfvo type="min"/>
        <cfvo type="percentile" val="50"/>
        <cfvo type="max"/>
        <color rgb="FF63BE7B"/>
        <color rgb="FFFFEB84"/>
        <color rgb="FFF8696B"/>
      </colorScale>
    </cfRule>
    <cfRule type="colorScale" priority="880">
      <colorScale>
        <cfvo type="min"/>
        <cfvo type="percentile" val="50"/>
        <cfvo type="max"/>
        <color rgb="FF63BE7B"/>
        <color rgb="FFFFEB84"/>
        <color rgb="FFF8696B"/>
      </colorScale>
    </cfRule>
    <cfRule type="colorScale" priority="879">
      <colorScale>
        <cfvo type="min"/>
        <cfvo type="percentile" val="50"/>
        <cfvo type="max"/>
        <color rgb="FF63BE7B"/>
        <color rgb="FFFFEB84"/>
        <color rgb="FFF8696B"/>
      </colorScale>
    </cfRule>
    <cfRule type="colorScale" priority="878">
      <colorScale>
        <cfvo type="min"/>
        <cfvo type="percentile" val="50"/>
        <cfvo type="max"/>
        <color rgb="FF63BE7B"/>
        <color rgb="FFFFEB84"/>
        <color rgb="FFF8696B"/>
      </colorScale>
    </cfRule>
  </conditionalFormatting>
  <conditionalFormatting sqref="B173:B177 B181 B179">
    <cfRule type="colorScale" priority="1717">
      <colorScale>
        <cfvo type="min"/>
        <cfvo type="percentile" val="50"/>
        <cfvo type="max"/>
        <color rgb="FF63BE7B"/>
        <color rgb="FFFFEB84"/>
        <color rgb="FFF8696B"/>
      </colorScale>
    </cfRule>
  </conditionalFormatting>
  <conditionalFormatting sqref="B178">
    <cfRule type="colorScale" priority="871">
      <colorScale>
        <cfvo type="min"/>
        <cfvo type="percentile" val="50"/>
        <cfvo type="max"/>
        <color rgb="FF63BE7B"/>
        <color rgb="FFFFEB84"/>
        <color rgb="FFF8696B"/>
      </colorScale>
    </cfRule>
    <cfRule type="colorScale" priority="875">
      <colorScale>
        <cfvo type="min"/>
        <cfvo type="percentile" val="50"/>
        <cfvo type="max"/>
        <color rgb="FF63BE7B"/>
        <color rgb="FFFFEB84"/>
        <color rgb="FFF8696B"/>
      </colorScale>
    </cfRule>
    <cfRule type="colorScale" priority="874">
      <colorScale>
        <cfvo type="min"/>
        <cfvo type="percentile" val="50"/>
        <cfvo type="max"/>
        <color rgb="FF63BE7B"/>
        <color rgb="FFFFEB84"/>
        <color rgb="FFF8696B"/>
      </colorScale>
    </cfRule>
    <cfRule type="colorScale" priority="873">
      <colorScale>
        <cfvo type="min"/>
        <cfvo type="percentile" val="50"/>
        <cfvo type="max"/>
        <color rgb="FF63BE7B"/>
        <color rgb="FFFFEB84"/>
        <color rgb="FFF8696B"/>
      </colorScale>
    </cfRule>
    <cfRule type="colorScale" priority="872">
      <colorScale>
        <cfvo type="min"/>
        <cfvo type="percentile" val="50"/>
        <cfvo type="max"/>
        <color rgb="FF63BE7B"/>
        <color rgb="FFFFEB84"/>
        <color rgb="FFF8696B"/>
      </colorScale>
    </cfRule>
    <cfRule type="colorScale" priority="870">
      <colorScale>
        <cfvo type="min"/>
        <cfvo type="percentile" val="50"/>
        <cfvo type="max"/>
        <color rgb="FF63BE7B"/>
        <color rgb="FFFFEB84"/>
        <color rgb="FFF8696B"/>
      </colorScale>
    </cfRule>
    <cfRule type="colorScale" priority="869">
      <colorScale>
        <cfvo type="min"/>
        <cfvo type="percentile" val="50"/>
        <cfvo type="max"/>
        <color rgb="FF63BE7B"/>
        <color rgb="FFFFEB84"/>
        <color rgb="FFF8696B"/>
      </colorScale>
    </cfRule>
  </conditionalFormatting>
  <conditionalFormatting sqref="B180">
    <cfRule type="colorScale" priority="867">
      <colorScale>
        <cfvo type="min"/>
        <cfvo type="percentile" val="50"/>
        <cfvo type="max"/>
        <color rgb="FF63BE7B"/>
        <color rgb="FFFFEB84"/>
        <color rgb="FFF8696B"/>
      </colorScale>
    </cfRule>
    <cfRule type="colorScale" priority="868">
      <colorScale>
        <cfvo type="min"/>
        <cfvo type="percentile" val="50"/>
        <cfvo type="max"/>
        <color rgb="FF63BE7B"/>
        <color rgb="FFFFEB84"/>
        <color rgb="FFF8696B"/>
      </colorScale>
    </cfRule>
    <cfRule type="colorScale" priority="862">
      <colorScale>
        <cfvo type="min"/>
        <cfvo type="percentile" val="50"/>
        <cfvo type="max"/>
        <color rgb="FF63BE7B"/>
        <color rgb="FFFFEB84"/>
        <color rgb="FFF8696B"/>
      </colorScale>
    </cfRule>
    <cfRule type="colorScale" priority="863">
      <colorScale>
        <cfvo type="min"/>
        <cfvo type="percentile" val="50"/>
        <cfvo type="max"/>
        <color rgb="FF63BE7B"/>
        <color rgb="FFFFEB84"/>
        <color rgb="FFF8696B"/>
      </colorScale>
    </cfRule>
    <cfRule type="colorScale" priority="864">
      <colorScale>
        <cfvo type="min"/>
        <cfvo type="percentile" val="50"/>
        <cfvo type="max"/>
        <color rgb="FF63BE7B"/>
        <color rgb="FFFFEB84"/>
        <color rgb="FFF8696B"/>
      </colorScale>
    </cfRule>
    <cfRule type="colorScale" priority="865">
      <colorScale>
        <cfvo type="min"/>
        <cfvo type="percentile" val="50"/>
        <cfvo type="max"/>
        <color rgb="FF63BE7B"/>
        <color rgb="FFFFEB84"/>
        <color rgb="FFF8696B"/>
      </colorScale>
    </cfRule>
    <cfRule type="colorScale" priority="866">
      <colorScale>
        <cfvo type="min"/>
        <cfvo type="percentile" val="50"/>
        <cfvo type="max"/>
        <color rgb="FF63BE7B"/>
        <color rgb="FFFFEB84"/>
        <color rgb="FFF8696B"/>
      </colorScale>
    </cfRule>
  </conditionalFormatting>
  <conditionalFormatting sqref="B181:B187 B172:B177 B141:B145 B132:B139 B92:B93 B148:B149 B179 B153:B160 B189:B199 B102:B107 B96:B100 B111:B118 B86:B89 B121:B129 B69:B81 B83:B84 B163:B169">
    <cfRule type="colorScale" priority="31516">
      <colorScale>
        <cfvo type="min"/>
        <cfvo type="percentile" val="50"/>
        <cfvo type="max"/>
        <color rgb="FF63BE7B"/>
        <color rgb="FFFFEB84"/>
        <color rgb="FFF8696B"/>
      </colorScale>
    </cfRule>
  </conditionalFormatting>
  <conditionalFormatting sqref="B181:B187 B172:B177 B141:B145 B132:B139 B122:B128 B111:B114 B148:B149 B179 B96:B100 B153:B160 B189:B199 B103:B107 B116:B118 B163:B169">
    <cfRule type="colorScale" priority="28403">
      <colorScale>
        <cfvo type="min"/>
        <cfvo type="percentile" val="50"/>
        <cfvo type="max"/>
        <color rgb="FF63BE7B"/>
        <color rgb="FFFFEB84"/>
        <color rgb="FFF8696B"/>
      </colorScale>
    </cfRule>
  </conditionalFormatting>
  <conditionalFormatting sqref="B181:B187 B172:B177 B141:B145 B134:B139 B92:B93 B132 B148:B149 B179 B153:B160 B189:B199 B102:B107 B96:B100 B111:B118 B86:B89 B121:B129 B69:B81 B83:B84 B163:B169">
    <cfRule type="colorScale" priority="31540">
      <colorScale>
        <cfvo type="min"/>
        <cfvo type="percentile" val="50"/>
        <cfvo type="max"/>
        <color rgb="FF63BE7B"/>
        <color rgb="FFFFEB84"/>
        <color rgb="FFF8696B"/>
      </colorScale>
    </cfRule>
  </conditionalFormatting>
  <conditionalFormatting sqref="B182:B187">
    <cfRule type="colorScale" priority="28520">
      <colorScale>
        <cfvo type="min"/>
        <cfvo type="percentile" val="50"/>
        <cfvo type="max"/>
        <color rgb="FF63BE7B"/>
        <color rgb="FFFFEB84"/>
        <color rgb="FFF8696B"/>
      </colorScale>
    </cfRule>
  </conditionalFormatting>
  <conditionalFormatting sqref="B188">
    <cfRule type="colorScale" priority="860">
      <colorScale>
        <cfvo type="min"/>
        <cfvo type="percentile" val="50"/>
        <cfvo type="max"/>
        <color rgb="FF63BE7B"/>
        <color rgb="FFFFEB84"/>
        <color rgb="FFF8696B"/>
      </colorScale>
    </cfRule>
    <cfRule type="colorScale" priority="861">
      <colorScale>
        <cfvo type="min"/>
        <cfvo type="percentile" val="50"/>
        <cfvo type="max"/>
        <color rgb="FF63BE7B"/>
        <color rgb="FFFFEB84"/>
        <color rgb="FFF8696B"/>
      </colorScale>
    </cfRule>
    <cfRule type="colorScale" priority="855">
      <colorScale>
        <cfvo type="min"/>
        <cfvo type="percentile" val="50"/>
        <cfvo type="max"/>
        <color rgb="FF63BE7B"/>
        <color rgb="FFFFEB84"/>
        <color rgb="FFF8696B"/>
      </colorScale>
    </cfRule>
    <cfRule type="colorScale" priority="856">
      <colorScale>
        <cfvo type="min"/>
        <cfvo type="percentile" val="50"/>
        <cfvo type="max"/>
        <color rgb="FF63BE7B"/>
        <color rgb="FFFFEB84"/>
        <color rgb="FFF8696B"/>
      </colorScale>
    </cfRule>
    <cfRule type="colorScale" priority="857">
      <colorScale>
        <cfvo type="min"/>
        <cfvo type="percentile" val="50"/>
        <cfvo type="max"/>
        <color rgb="FF63BE7B"/>
        <color rgb="FFFFEB84"/>
        <color rgb="FFF8696B"/>
      </colorScale>
    </cfRule>
    <cfRule type="colorScale" priority="858">
      <colorScale>
        <cfvo type="min"/>
        <cfvo type="percentile" val="50"/>
        <cfvo type="max"/>
        <color rgb="FF63BE7B"/>
        <color rgb="FFFFEB84"/>
        <color rgb="FFF8696B"/>
      </colorScale>
    </cfRule>
    <cfRule type="colorScale" priority="859">
      <colorScale>
        <cfvo type="min"/>
        <cfvo type="percentile" val="50"/>
        <cfvo type="max"/>
        <color rgb="FF63BE7B"/>
        <color rgb="FFFFEB84"/>
        <color rgb="FFF8696B"/>
      </colorScale>
    </cfRule>
  </conditionalFormatting>
  <conditionalFormatting sqref="B189">
    <cfRule type="colorScale" priority="853">
      <colorScale>
        <cfvo type="min"/>
        <cfvo type="percentile" val="50"/>
        <cfvo type="max"/>
        <color rgb="FF63BE7B"/>
        <color rgb="FFFFEB84"/>
        <color rgb="FFF8696B"/>
      </colorScale>
    </cfRule>
  </conditionalFormatting>
  <conditionalFormatting sqref="B189:B199">
    <cfRule type="colorScale" priority="28417">
      <colorScale>
        <cfvo type="min"/>
        <cfvo type="percentile" val="50"/>
        <cfvo type="max"/>
        <color rgb="FF63BE7B"/>
        <color rgb="FFFFEB84"/>
        <color rgb="FFF8696B"/>
      </colorScale>
    </cfRule>
  </conditionalFormatting>
  <conditionalFormatting sqref="B190:B198">
    <cfRule type="colorScale" priority="28383">
      <colorScale>
        <cfvo type="min"/>
        <cfvo type="percentile" val="50"/>
        <cfvo type="max"/>
        <color rgb="FF63BE7B"/>
        <color rgb="FFFFEB84"/>
        <color rgb="FFF8696B"/>
      </colorScale>
    </cfRule>
  </conditionalFormatting>
  <conditionalFormatting sqref="B194:B195">
    <cfRule type="colorScale" priority="827">
      <colorScale>
        <cfvo type="min"/>
        <cfvo type="percentile" val="50"/>
        <cfvo type="max"/>
        <color rgb="FF63BE7B"/>
        <color rgb="FFFFEB84"/>
        <color rgb="FFF8696B"/>
      </colorScale>
    </cfRule>
    <cfRule type="colorScale" priority="822">
      <colorScale>
        <cfvo type="min"/>
        <cfvo type="percentile" val="50"/>
        <cfvo type="max"/>
        <color rgb="FF63BE7B"/>
        <color rgb="FFFFEB84"/>
        <color rgb="FFF8696B"/>
      </colorScale>
    </cfRule>
    <cfRule type="colorScale" priority="826">
      <colorScale>
        <cfvo type="min"/>
        <cfvo type="percentile" val="50"/>
        <cfvo type="max"/>
        <color rgb="FF63BE7B"/>
        <color rgb="FFFFEB84"/>
        <color rgb="FFF8696B"/>
      </colorScale>
    </cfRule>
    <cfRule type="colorScale" priority="825">
      <colorScale>
        <cfvo type="min"/>
        <cfvo type="percentile" val="50"/>
        <cfvo type="max"/>
        <color rgb="FF63BE7B"/>
        <color rgb="FFFFEB84"/>
        <color rgb="FFF8696B"/>
      </colorScale>
    </cfRule>
    <cfRule type="colorScale" priority="824">
      <colorScale>
        <cfvo type="min"/>
        <cfvo type="percentile" val="50"/>
        <cfvo type="max"/>
        <color rgb="FF63BE7B"/>
        <color rgb="FFFFEB84"/>
        <color rgb="FFF8696B"/>
      </colorScale>
    </cfRule>
    <cfRule type="colorScale" priority="821">
      <colorScale>
        <cfvo type="min"/>
        <cfvo type="percentile" val="50"/>
        <cfvo type="max"/>
        <color rgb="FF63BE7B"/>
        <color rgb="FFFFEB84"/>
        <color rgb="FFF8696B"/>
      </colorScale>
    </cfRule>
    <cfRule type="colorScale" priority="823">
      <colorScale>
        <cfvo type="min"/>
        <cfvo type="percentile" val="50"/>
        <cfvo type="max"/>
        <color rgb="FF63BE7B"/>
        <color rgb="FFFFEB84"/>
        <color rgb="FFF8696B"/>
      </colorScale>
    </cfRule>
  </conditionalFormatting>
  <conditionalFormatting sqref="B198">
    <cfRule type="colorScale" priority="817">
      <colorScale>
        <cfvo type="min"/>
        <cfvo type="percentile" val="50"/>
        <cfvo type="max"/>
        <color rgb="FF63BE7B"/>
        <color rgb="FFFFEB84"/>
        <color rgb="FFF8696B"/>
      </colorScale>
    </cfRule>
    <cfRule type="colorScale" priority="819">
      <colorScale>
        <cfvo type="min"/>
        <cfvo type="percentile" val="50"/>
        <cfvo type="max"/>
        <color rgb="FF63BE7B"/>
        <color rgb="FFFFEB84"/>
        <color rgb="FFF8696B"/>
      </colorScale>
    </cfRule>
    <cfRule type="colorScale" priority="816">
      <colorScale>
        <cfvo type="min"/>
        <cfvo type="percentile" val="50"/>
        <cfvo type="max"/>
        <color rgb="FF63BE7B"/>
        <color rgb="FFFFEB84"/>
        <color rgb="FFF8696B"/>
      </colorScale>
    </cfRule>
    <cfRule type="colorScale" priority="814">
      <colorScale>
        <cfvo type="min"/>
        <cfvo type="percentile" val="50"/>
        <cfvo type="max"/>
        <color rgb="FF63BE7B"/>
        <color rgb="FFFFEB84"/>
        <color rgb="FFF8696B"/>
      </colorScale>
    </cfRule>
    <cfRule type="colorScale" priority="815">
      <colorScale>
        <cfvo type="min"/>
        <cfvo type="percentile" val="50"/>
        <cfvo type="max"/>
        <color rgb="FF63BE7B"/>
        <color rgb="FFFFEB84"/>
        <color rgb="FFF8696B"/>
      </colorScale>
    </cfRule>
    <cfRule type="colorScale" priority="820">
      <colorScale>
        <cfvo type="min"/>
        <cfvo type="percentile" val="50"/>
        <cfvo type="max"/>
        <color rgb="FF63BE7B"/>
        <color rgb="FFFFEB84"/>
        <color rgb="FFF8696B"/>
      </colorScale>
    </cfRule>
    <cfRule type="colorScale" priority="818">
      <colorScale>
        <cfvo type="min"/>
        <cfvo type="percentile" val="50"/>
        <cfvo type="max"/>
        <color rgb="FF63BE7B"/>
        <color rgb="FFFFEB84"/>
        <color rgb="FFF8696B"/>
      </colorScale>
    </cfRule>
  </conditionalFormatting>
  <conditionalFormatting sqref="B199">
    <cfRule type="colorScale" priority="809">
      <colorScale>
        <cfvo type="min"/>
        <cfvo type="percentile" val="50"/>
        <cfvo type="max"/>
        <color rgb="FF63BE7B"/>
        <color rgb="FFFFEB84"/>
        <color rgb="FFF8696B"/>
      </colorScale>
    </cfRule>
    <cfRule type="colorScale" priority="812">
      <colorScale>
        <cfvo type="min"/>
        <cfvo type="percentile" val="50"/>
        <cfvo type="max"/>
        <color rgb="FF63BE7B"/>
        <color rgb="FFFFEB84"/>
        <color rgb="FFF8696B"/>
      </colorScale>
    </cfRule>
    <cfRule type="colorScale" priority="810">
      <colorScale>
        <cfvo type="min"/>
        <cfvo type="percentile" val="50"/>
        <cfvo type="max"/>
        <color rgb="FF63BE7B"/>
        <color rgb="FFFFEB84"/>
        <color rgb="FFF8696B"/>
      </colorScale>
    </cfRule>
    <cfRule type="colorScale" priority="811">
      <colorScale>
        <cfvo type="min"/>
        <cfvo type="percentile" val="50"/>
        <cfvo type="max"/>
        <color rgb="FF63BE7B"/>
        <color rgb="FFFFEB84"/>
        <color rgb="FFF8696B"/>
      </colorScale>
    </cfRule>
  </conditionalFormatting>
  <conditionalFormatting sqref="B200:B207">
    <cfRule type="colorScale" priority="35891">
      <colorScale>
        <cfvo type="min"/>
        <cfvo type="percentile" val="50"/>
        <cfvo type="max"/>
        <color rgb="FF63BE7B"/>
        <color rgb="FFFFEB84"/>
        <color rgb="FFF8696B"/>
      </colorScale>
    </cfRule>
    <cfRule type="colorScale" priority="35886">
      <colorScale>
        <cfvo type="min"/>
        <cfvo type="percentile" val="50"/>
        <cfvo type="max"/>
        <color rgb="FF63BE7B"/>
        <color rgb="FFFFEB84"/>
        <color rgb="FFF8696B"/>
      </colorScale>
    </cfRule>
    <cfRule type="colorScale" priority="35892">
      <colorScale>
        <cfvo type="min"/>
        <cfvo type="percentile" val="50"/>
        <cfvo type="max"/>
        <color rgb="FF63BE7B"/>
        <color rgb="FFFCFCFF"/>
        <color rgb="FFF8696B"/>
      </colorScale>
    </cfRule>
    <cfRule type="colorScale" priority="35885">
      <colorScale>
        <cfvo type="min"/>
        <cfvo type="percentile" val="50"/>
        <cfvo type="max"/>
        <color rgb="FF63BE7B"/>
        <color rgb="FFFFEB84"/>
        <color rgb="FFF8696B"/>
      </colorScale>
    </cfRule>
    <cfRule type="colorScale" priority="35887">
      <colorScale>
        <cfvo type="min"/>
        <cfvo type="percentile" val="50"/>
        <cfvo type="max"/>
        <color rgb="FF63BE7B"/>
        <color rgb="FFFFEB84"/>
        <color rgb="FFF8696B"/>
      </colorScale>
    </cfRule>
    <cfRule type="colorScale" priority="35888">
      <colorScale>
        <cfvo type="min"/>
        <cfvo type="percentile" val="50"/>
        <cfvo type="max"/>
        <color rgb="FF63BE7B"/>
        <color rgb="FFFFEB84"/>
        <color rgb="FFF8696B"/>
      </colorScale>
    </cfRule>
    <cfRule type="colorScale" priority="35889">
      <colorScale>
        <cfvo type="min"/>
        <cfvo type="percentile" val="50"/>
        <cfvo type="max"/>
        <color rgb="FF63BE7B"/>
        <color rgb="FFFFEB84"/>
        <color rgb="FFF8696B"/>
      </colorScale>
    </cfRule>
    <cfRule type="colorScale" priority="35890">
      <colorScale>
        <cfvo type="min"/>
        <cfvo type="percentile" val="50"/>
        <cfvo type="max"/>
        <color rgb="FF63BE7B"/>
        <color rgb="FFFFEB84"/>
        <color rgb="FFF8696B"/>
      </colorScale>
    </cfRule>
  </conditionalFormatting>
  <conditionalFormatting sqref="B206">
    <cfRule type="colorScale" priority="451">
      <colorScale>
        <cfvo type="min"/>
        <cfvo type="percentile" val="50"/>
        <cfvo type="max"/>
        <color rgb="FF63BE7B"/>
        <color rgb="FFFFEB84"/>
        <color rgb="FFF8696B"/>
      </colorScale>
    </cfRule>
    <cfRule type="colorScale" priority="452">
      <colorScale>
        <cfvo type="min"/>
        <cfvo type="percentile" val="50"/>
        <cfvo type="max"/>
        <color rgb="FF63BE7B"/>
        <color rgb="FFFFEB84"/>
        <color rgb="FFF8696B"/>
      </colorScale>
    </cfRule>
    <cfRule type="colorScale" priority="453">
      <colorScale>
        <cfvo type="min"/>
        <cfvo type="percentile" val="50"/>
        <cfvo type="max"/>
        <color rgb="FF63BE7B"/>
        <color rgb="FFFFEB84"/>
        <color rgb="FFF8696B"/>
      </colorScale>
    </cfRule>
    <cfRule type="colorScale" priority="455">
      <colorScale>
        <cfvo type="min"/>
        <cfvo type="percentile" val="50"/>
        <cfvo type="max"/>
        <color rgb="FF63BE7B"/>
        <color rgb="FFFFEB84"/>
        <color rgb="FFF8696B"/>
      </colorScale>
    </cfRule>
    <cfRule type="colorScale" priority="456">
      <colorScale>
        <cfvo type="min"/>
        <cfvo type="percentile" val="50"/>
        <cfvo type="max"/>
        <color rgb="FF63BE7B"/>
        <color rgb="FFFFEB84"/>
        <color rgb="FFF8696B"/>
      </colorScale>
    </cfRule>
    <cfRule type="colorScale" priority="457">
      <colorScale>
        <cfvo type="min"/>
        <cfvo type="percentile" val="50"/>
        <cfvo type="max"/>
        <color rgb="FF63BE7B"/>
        <color rgb="FFFFEB84"/>
        <color rgb="FFF8696B"/>
      </colorScale>
    </cfRule>
    <cfRule type="colorScale" priority="454">
      <colorScale>
        <cfvo type="min"/>
        <cfvo type="percentile" val="50"/>
        <cfvo type="max"/>
        <color rgb="FF63BE7B"/>
        <color rgb="FFFFEB84"/>
        <color rgb="FFF8696B"/>
      </colorScale>
    </cfRule>
  </conditionalFormatting>
  <conditionalFormatting sqref="B207">
    <cfRule type="colorScale" priority="445">
      <colorScale>
        <cfvo type="min"/>
        <cfvo type="percentile" val="50"/>
        <cfvo type="max"/>
        <color rgb="FF63BE7B"/>
        <color rgb="FFFFEB84"/>
        <color rgb="FFF8696B"/>
      </colorScale>
    </cfRule>
    <cfRule type="colorScale" priority="448">
      <colorScale>
        <cfvo type="min"/>
        <cfvo type="percentile" val="50"/>
        <cfvo type="max"/>
        <color rgb="FF63BE7B"/>
        <color rgb="FFFFEB84"/>
        <color rgb="FFF8696B"/>
      </colorScale>
    </cfRule>
    <cfRule type="colorScale" priority="444">
      <colorScale>
        <cfvo type="min"/>
        <cfvo type="percentile" val="50"/>
        <cfvo type="max"/>
        <color rgb="FF63BE7B"/>
        <color rgb="FFFFEB84"/>
        <color rgb="FFF8696B"/>
      </colorScale>
    </cfRule>
    <cfRule type="colorScale" priority="446">
      <colorScale>
        <cfvo type="min"/>
        <cfvo type="percentile" val="50"/>
        <cfvo type="max"/>
        <color rgb="FF63BE7B"/>
        <color rgb="FFFFEB84"/>
        <color rgb="FFF8696B"/>
      </colorScale>
    </cfRule>
    <cfRule type="colorScale" priority="447">
      <colorScale>
        <cfvo type="min"/>
        <cfvo type="percentile" val="50"/>
        <cfvo type="max"/>
        <color rgb="FF63BE7B"/>
        <color rgb="FFFFEB84"/>
        <color rgb="FFF8696B"/>
      </colorScale>
    </cfRule>
    <cfRule type="colorScale" priority="449">
      <colorScale>
        <cfvo type="min"/>
        <cfvo type="percentile" val="50"/>
        <cfvo type="max"/>
        <color rgb="FF63BE7B"/>
        <color rgb="FFFFEB84"/>
        <color rgb="FFF8696B"/>
      </colorScale>
    </cfRule>
    <cfRule type="colorScale" priority="450">
      <colorScale>
        <cfvo type="min"/>
        <cfvo type="percentile" val="50"/>
        <cfvo type="max"/>
        <color rgb="FF63BE7B"/>
        <color rgb="FFFFEB84"/>
        <color rgb="FFF8696B"/>
      </colorScale>
    </cfRule>
  </conditionalFormatting>
  <conditionalFormatting sqref="B208">
    <cfRule type="colorScale" priority="484">
      <colorScale>
        <cfvo type="min"/>
        <cfvo type="percentile" val="50"/>
        <cfvo type="max"/>
        <color rgb="FF63BE7B"/>
        <color rgb="FFFFEB84"/>
        <color rgb="FFF8696B"/>
      </colorScale>
    </cfRule>
    <cfRule type="colorScale" priority="471">
      <colorScale>
        <cfvo type="min"/>
        <cfvo type="percentile" val="50"/>
        <cfvo type="max"/>
        <color rgb="FF63BE7B"/>
        <color rgb="FFFFEB84"/>
        <color rgb="FFF8696B"/>
      </colorScale>
    </cfRule>
    <cfRule type="colorScale" priority="472">
      <colorScale>
        <cfvo type="min"/>
        <cfvo type="percentile" val="50"/>
        <cfvo type="max"/>
        <color rgb="FF63BE7B"/>
        <color rgb="FFFFEB84"/>
        <color rgb="FFF8696B"/>
      </colorScale>
    </cfRule>
    <cfRule type="colorScale" priority="474">
      <colorScale>
        <cfvo type="min"/>
        <cfvo type="percentile" val="50"/>
        <cfvo type="max"/>
        <color rgb="FF63BE7B"/>
        <color rgb="FFFFEB84"/>
        <color rgb="FFF8696B"/>
      </colorScale>
    </cfRule>
    <cfRule type="colorScale" priority="475">
      <colorScale>
        <cfvo type="min"/>
        <cfvo type="percentile" val="50"/>
        <cfvo type="max"/>
        <color rgb="FF63BE7B"/>
        <color rgb="FFFFEB84"/>
        <color rgb="FFF8696B"/>
      </colorScale>
    </cfRule>
    <cfRule type="colorScale" priority="489">
      <colorScale>
        <cfvo type="min"/>
        <cfvo type="percentile" val="50"/>
        <cfvo type="max"/>
        <color rgb="FF63BE7B"/>
        <color rgb="FFFCFCFF"/>
        <color rgb="FFF8696B"/>
      </colorScale>
    </cfRule>
    <cfRule type="colorScale" priority="488">
      <colorScale>
        <cfvo type="min"/>
        <cfvo type="percentile" val="50"/>
        <cfvo type="max"/>
        <color rgb="FF63BE7B"/>
        <color rgb="FFFFEB84"/>
        <color rgb="FFF8696B"/>
      </colorScale>
    </cfRule>
    <cfRule type="colorScale" priority="487">
      <colorScale>
        <cfvo type="min"/>
        <cfvo type="percentile" val="50"/>
        <cfvo type="max"/>
        <color rgb="FF63BE7B"/>
        <color rgb="FFFFEB84"/>
        <color rgb="FFF8696B"/>
      </colorScale>
    </cfRule>
    <cfRule type="colorScale" priority="478">
      <colorScale>
        <cfvo type="min"/>
        <cfvo type="percentile" val="50"/>
        <cfvo type="max"/>
        <color rgb="FF63BE7B"/>
        <color rgb="FFFFEB84"/>
        <color rgb="FFF8696B"/>
      </colorScale>
    </cfRule>
    <cfRule type="colorScale" priority="476">
      <colorScale>
        <cfvo type="min"/>
        <cfvo type="percentile" val="50"/>
        <cfvo type="max"/>
        <color rgb="FF63BE7B"/>
        <color rgb="FFFFEB84"/>
        <color rgb="FFF8696B"/>
      </colorScale>
    </cfRule>
    <cfRule type="colorScale" priority="485">
      <colorScale>
        <cfvo type="min"/>
        <cfvo type="percentile" val="50"/>
        <cfvo type="max"/>
        <color rgb="FF63BE7B"/>
        <color rgb="FFFFEB84"/>
        <color rgb="FFF8696B"/>
      </colorScale>
    </cfRule>
    <cfRule type="colorScale" priority="482">
      <colorScale>
        <cfvo type="min"/>
        <cfvo type="percentile" val="50"/>
        <cfvo type="max"/>
        <color rgb="FF63BE7B"/>
        <color rgb="FFFFEB84"/>
        <color rgb="FFF8696B"/>
      </colorScale>
    </cfRule>
    <cfRule type="colorScale" priority="481">
      <colorScale>
        <cfvo type="min"/>
        <cfvo type="percentile" val="50"/>
        <cfvo type="max"/>
        <color rgb="FF63BE7B"/>
        <color rgb="FFFFEB84"/>
        <color rgb="FFF8696B"/>
      </colorScale>
    </cfRule>
    <cfRule type="colorScale" priority="480">
      <colorScale>
        <cfvo type="min"/>
        <cfvo type="percentile" val="50"/>
        <cfvo type="max"/>
        <color rgb="FF63BE7B"/>
        <color rgb="FFFFEB84"/>
        <color rgb="FFF8696B"/>
      </colorScale>
    </cfRule>
    <cfRule type="colorScale" priority="479">
      <colorScale>
        <cfvo type="min"/>
        <cfvo type="percentile" val="50"/>
        <cfvo type="max"/>
        <color rgb="FF63BE7B"/>
        <color rgb="FFFFEB84"/>
        <color rgb="FFF8696B"/>
      </colorScale>
    </cfRule>
    <cfRule type="colorScale" priority="477">
      <colorScale>
        <cfvo type="min"/>
        <cfvo type="percentile" val="50"/>
        <cfvo type="max"/>
        <color rgb="FF63BE7B"/>
        <color rgb="FFFFEB84"/>
        <color rgb="FFF8696B"/>
      </colorScale>
    </cfRule>
  </conditionalFormatting>
  <conditionalFormatting sqref="B209:B217">
    <cfRule type="colorScale" priority="28173">
      <colorScale>
        <cfvo type="min"/>
        <cfvo type="percentile" val="50"/>
        <cfvo type="max"/>
        <color rgb="FF63BE7B"/>
        <color rgb="FFFFEB84"/>
        <color rgb="FFF8696B"/>
      </colorScale>
    </cfRule>
    <cfRule type="colorScale" priority="28175">
      <colorScale>
        <cfvo type="min"/>
        <cfvo type="percentile" val="50"/>
        <cfvo type="max"/>
        <color rgb="FF63BE7B"/>
        <color rgb="FFFFEB84"/>
        <color rgb="FFF8696B"/>
      </colorScale>
    </cfRule>
  </conditionalFormatting>
  <conditionalFormatting sqref="B209:B271 B69:B84 B86:B199">
    <cfRule type="colorScale" priority="28871">
      <colorScale>
        <cfvo type="min"/>
        <cfvo type="percentile" val="50"/>
        <cfvo type="max"/>
        <color rgb="FF63BE7B"/>
        <color rgb="FFFFEB84"/>
        <color rgb="FFF8696B"/>
      </colorScale>
    </cfRule>
  </conditionalFormatting>
  <conditionalFormatting sqref="B209:B271 B69:B199">
    <cfRule type="colorScale" priority="28893">
      <colorScale>
        <cfvo type="min"/>
        <cfvo type="percentile" val="50"/>
        <cfvo type="max"/>
        <color rgb="FF63BE7B"/>
        <color rgb="FFFCFCFF"/>
        <color rgb="FFF8696B"/>
      </colorScale>
    </cfRule>
  </conditionalFormatting>
  <conditionalFormatting sqref="B209:B271 B86:B94 B69:B84 B96:B199">
    <cfRule type="colorScale" priority="28856">
      <colorScale>
        <cfvo type="min"/>
        <cfvo type="percentile" val="50"/>
        <cfvo type="max"/>
        <color rgb="FF63BE7B"/>
        <color rgb="FFFFEB84"/>
        <color rgb="FFF8696B"/>
      </colorScale>
    </cfRule>
  </conditionalFormatting>
  <conditionalFormatting sqref="B215">
    <cfRule type="colorScale" priority="785">
      <colorScale>
        <cfvo type="min"/>
        <cfvo type="percentile" val="50"/>
        <cfvo type="max"/>
        <color rgb="FF63BE7B"/>
        <color rgb="FFFFEB84"/>
        <color rgb="FFF8696B"/>
      </colorScale>
    </cfRule>
    <cfRule type="colorScale" priority="784">
      <colorScale>
        <cfvo type="min"/>
        <cfvo type="percentile" val="50"/>
        <cfvo type="max"/>
        <color rgb="FF63BE7B"/>
        <color rgb="FFFFEB84"/>
        <color rgb="FFF8696B"/>
      </colorScale>
    </cfRule>
    <cfRule type="colorScale" priority="783">
      <colorScale>
        <cfvo type="min"/>
        <cfvo type="percentile" val="50"/>
        <cfvo type="max"/>
        <color rgb="FF63BE7B"/>
        <color rgb="FFFFEB84"/>
        <color rgb="FFF8696B"/>
      </colorScale>
    </cfRule>
    <cfRule type="colorScale" priority="782">
      <colorScale>
        <cfvo type="min"/>
        <cfvo type="percentile" val="50"/>
        <cfvo type="max"/>
        <color rgb="FF63BE7B"/>
        <color rgb="FFFFEB84"/>
        <color rgb="FFF8696B"/>
      </colorScale>
    </cfRule>
    <cfRule type="colorScale" priority="781">
      <colorScale>
        <cfvo type="min"/>
        <cfvo type="percentile" val="50"/>
        <cfvo type="max"/>
        <color rgb="FF63BE7B"/>
        <color rgb="FFFFEB84"/>
        <color rgb="FFF8696B"/>
      </colorScale>
    </cfRule>
    <cfRule type="colorScale" priority="779">
      <colorScale>
        <cfvo type="min"/>
        <cfvo type="percentile" val="50"/>
        <cfvo type="max"/>
        <color rgb="FF63BE7B"/>
        <color rgb="FFFFEB84"/>
        <color rgb="FFF8696B"/>
      </colorScale>
    </cfRule>
    <cfRule type="colorScale" priority="780">
      <colorScale>
        <cfvo type="min"/>
        <cfvo type="percentile" val="50"/>
        <cfvo type="max"/>
        <color rgb="FF63BE7B"/>
        <color rgb="FFFFEB84"/>
        <color rgb="FFF8696B"/>
      </colorScale>
    </cfRule>
  </conditionalFormatting>
  <conditionalFormatting sqref="B216">
    <cfRule type="colorScale" priority="775">
      <colorScale>
        <cfvo type="min"/>
        <cfvo type="percentile" val="50"/>
        <cfvo type="max"/>
        <color rgb="FF63BE7B"/>
        <color rgb="FFFFEB84"/>
        <color rgb="FFF8696B"/>
      </colorScale>
    </cfRule>
    <cfRule type="colorScale" priority="774">
      <colorScale>
        <cfvo type="min"/>
        <cfvo type="percentile" val="50"/>
        <cfvo type="max"/>
        <color rgb="FF63BE7B"/>
        <color rgb="FFFFEB84"/>
        <color rgb="FFF8696B"/>
      </colorScale>
    </cfRule>
    <cfRule type="colorScale" priority="776">
      <colorScale>
        <cfvo type="min"/>
        <cfvo type="percentile" val="50"/>
        <cfvo type="max"/>
        <color rgb="FF63BE7B"/>
        <color rgb="FFFFEB84"/>
        <color rgb="FFF8696B"/>
      </colorScale>
    </cfRule>
    <cfRule type="colorScale" priority="778">
      <colorScale>
        <cfvo type="min"/>
        <cfvo type="percentile" val="50"/>
        <cfvo type="max"/>
        <color rgb="FF63BE7B"/>
        <color rgb="FFFFEB84"/>
        <color rgb="FFF8696B"/>
      </colorScale>
    </cfRule>
    <cfRule type="colorScale" priority="777">
      <colorScale>
        <cfvo type="min"/>
        <cfvo type="percentile" val="50"/>
        <cfvo type="max"/>
        <color rgb="FF63BE7B"/>
        <color rgb="FFFFEB84"/>
        <color rgb="FFF8696B"/>
      </colorScale>
    </cfRule>
    <cfRule type="colorScale" priority="773">
      <colorScale>
        <cfvo type="min"/>
        <cfvo type="percentile" val="50"/>
        <cfvo type="max"/>
        <color rgb="FF63BE7B"/>
        <color rgb="FFFFEB84"/>
        <color rgb="FFF8696B"/>
      </colorScale>
    </cfRule>
    <cfRule type="colorScale" priority="772">
      <colorScale>
        <cfvo type="min"/>
        <cfvo type="percentile" val="50"/>
        <cfvo type="max"/>
        <color rgb="FF63BE7B"/>
        <color rgb="FFFFEB84"/>
        <color rgb="FFF8696B"/>
      </colorScale>
    </cfRule>
  </conditionalFormatting>
  <conditionalFormatting sqref="B217">
    <cfRule type="colorScale" priority="766">
      <colorScale>
        <cfvo type="min"/>
        <cfvo type="percentile" val="50"/>
        <cfvo type="max"/>
        <color rgb="FF63BE7B"/>
        <color rgb="FFFFEB84"/>
        <color rgb="FFF8696B"/>
      </colorScale>
    </cfRule>
  </conditionalFormatting>
  <conditionalFormatting sqref="B217:B226">
    <cfRule type="colorScale" priority="28100">
      <colorScale>
        <cfvo type="min"/>
        <cfvo type="percentile" val="50"/>
        <cfvo type="max"/>
        <color rgb="FF63BE7B"/>
        <color rgb="FFFFEB84"/>
        <color rgb="FFF8696B"/>
      </colorScale>
    </cfRule>
  </conditionalFormatting>
  <conditionalFormatting sqref="B218:B226">
    <cfRule type="colorScale" priority="28102">
      <colorScale>
        <cfvo type="min"/>
        <cfvo type="percentile" val="50"/>
        <cfvo type="max"/>
        <color rgb="FF63BE7B"/>
        <color rgb="FFFFEB84"/>
        <color rgb="FFF8696B"/>
      </colorScale>
    </cfRule>
  </conditionalFormatting>
  <conditionalFormatting sqref="B223">
    <cfRule type="colorScale" priority="759">
      <colorScale>
        <cfvo type="min"/>
        <cfvo type="percentile" val="50"/>
        <cfvo type="max"/>
        <color rgb="FF63BE7B"/>
        <color rgb="FFFFEB84"/>
        <color rgb="FFF8696B"/>
      </colorScale>
    </cfRule>
    <cfRule type="colorScale" priority="760">
      <colorScale>
        <cfvo type="min"/>
        <cfvo type="percentile" val="50"/>
        <cfvo type="max"/>
        <color rgb="FF63BE7B"/>
        <color rgb="FFFFEB84"/>
        <color rgb="FFF8696B"/>
      </colorScale>
    </cfRule>
    <cfRule type="colorScale" priority="761">
      <colorScale>
        <cfvo type="min"/>
        <cfvo type="percentile" val="50"/>
        <cfvo type="max"/>
        <color rgb="FF63BE7B"/>
        <color rgb="FFFFEB84"/>
        <color rgb="FFF8696B"/>
      </colorScale>
    </cfRule>
    <cfRule type="colorScale" priority="762">
      <colorScale>
        <cfvo type="min"/>
        <cfvo type="percentile" val="50"/>
        <cfvo type="max"/>
        <color rgb="FF63BE7B"/>
        <color rgb="FFFFEB84"/>
        <color rgb="FFF8696B"/>
      </colorScale>
    </cfRule>
    <cfRule type="colorScale" priority="763">
      <colorScale>
        <cfvo type="min"/>
        <cfvo type="percentile" val="50"/>
        <cfvo type="max"/>
        <color rgb="FF63BE7B"/>
        <color rgb="FFFFEB84"/>
        <color rgb="FFF8696B"/>
      </colorScale>
    </cfRule>
    <cfRule type="colorScale" priority="764">
      <colorScale>
        <cfvo type="min"/>
        <cfvo type="percentile" val="50"/>
        <cfvo type="max"/>
        <color rgb="FF63BE7B"/>
        <color rgb="FFFFEB84"/>
        <color rgb="FFF8696B"/>
      </colorScale>
    </cfRule>
    <cfRule type="colorScale" priority="765">
      <colorScale>
        <cfvo type="min"/>
        <cfvo type="percentile" val="50"/>
        <cfvo type="max"/>
        <color rgb="FF63BE7B"/>
        <color rgb="FFFFEB84"/>
        <color rgb="FFF8696B"/>
      </colorScale>
    </cfRule>
  </conditionalFormatting>
  <conditionalFormatting sqref="B225">
    <cfRule type="colorScale" priority="757">
      <colorScale>
        <cfvo type="min"/>
        <cfvo type="percentile" val="50"/>
        <cfvo type="max"/>
        <color rgb="FF63BE7B"/>
        <color rgb="FFFFEB84"/>
        <color rgb="FFF8696B"/>
      </colorScale>
    </cfRule>
    <cfRule type="colorScale" priority="758">
      <colorScale>
        <cfvo type="min"/>
        <cfvo type="percentile" val="50"/>
        <cfvo type="max"/>
        <color rgb="FF63BE7B"/>
        <color rgb="FFFFEB84"/>
        <color rgb="FFF8696B"/>
      </colorScale>
    </cfRule>
    <cfRule type="colorScale" priority="754">
      <colorScale>
        <cfvo type="min"/>
        <cfvo type="percentile" val="50"/>
        <cfvo type="max"/>
        <color rgb="FF63BE7B"/>
        <color rgb="FFFFEB84"/>
        <color rgb="FFF8696B"/>
      </colorScale>
    </cfRule>
    <cfRule type="colorScale" priority="752">
      <colorScale>
        <cfvo type="min"/>
        <cfvo type="percentile" val="50"/>
        <cfvo type="max"/>
        <color rgb="FF63BE7B"/>
        <color rgb="FFFFEB84"/>
        <color rgb="FFF8696B"/>
      </colorScale>
    </cfRule>
    <cfRule type="colorScale" priority="753">
      <colorScale>
        <cfvo type="min"/>
        <cfvo type="percentile" val="50"/>
        <cfvo type="max"/>
        <color rgb="FF63BE7B"/>
        <color rgb="FFFFEB84"/>
        <color rgb="FFF8696B"/>
      </colorScale>
    </cfRule>
    <cfRule type="colorScale" priority="755">
      <colorScale>
        <cfvo type="min"/>
        <cfvo type="percentile" val="50"/>
        <cfvo type="max"/>
        <color rgb="FF63BE7B"/>
        <color rgb="FFFFEB84"/>
        <color rgb="FFF8696B"/>
      </colorScale>
    </cfRule>
    <cfRule type="colorScale" priority="756">
      <colorScale>
        <cfvo type="min"/>
        <cfvo type="percentile" val="50"/>
        <cfvo type="max"/>
        <color rgb="FF63BE7B"/>
        <color rgb="FFFFEB84"/>
        <color rgb="FFF8696B"/>
      </colorScale>
    </cfRule>
  </conditionalFormatting>
  <conditionalFormatting sqref="B226">
    <cfRule type="colorScale" priority="743">
      <colorScale>
        <cfvo type="min"/>
        <cfvo type="percentile" val="50"/>
        <cfvo type="max"/>
        <color rgb="FF63BE7B"/>
        <color rgb="FFFFEB84"/>
        <color rgb="FFF8696B"/>
      </colorScale>
    </cfRule>
  </conditionalFormatting>
  <conditionalFormatting sqref="B226:B235">
    <cfRule type="colorScale" priority="28020">
      <colorScale>
        <cfvo type="min"/>
        <cfvo type="percentile" val="50"/>
        <cfvo type="max"/>
        <color rgb="FF63BE7B"/>
        <color rgb="FFFFEB84"/>
        <color rgb="FFF8696B"/>
      </colorScale>
    </cfRule>
  </conditionalFormatting>
  <conditionalFormatting sqref="B227:B235">
    <cfRule type="colorScale" priority="28018">
      <colorScale>
        <cfvo type="min"/>
        <cfvo type="percentile" val="50"/>
        <cfvo type="max"/>
        <color rgb="FF63BE7B"/>
        <color rgb="FFFFEB84"/>
        <color rgb="FFF8696B"/>
      </colorScale>
    </cfRule>
  </conditionalFormatting>
  <conditionalFormatting sqref="B234:B235">
    <cfRule type="colorScale" priority="734">
      <colorScale>
        <cfvo type="min"/>
        <cfvo type="percentile" val="50"/>
        <cfvo type="max"/>
        <color rgb="FF63BE7B"/>
        <color rgb="FFFFEB84"/>
        <color rgb="FFF8696B"/>
      </colorScale>
    </cfRule>
    <cfRule type="colorScale" priority="733">
      <colorScale>
        <cfvo type="min"/>
        <cfvo type="percentile" val="50"/>
        <cfvo type="max"/>
        <color rgb="FF63BE7B"/>
        <color rgb="FFFFEB84"/>
        <color rgb="FFF8696B"/>
      </colorScale>
    </cfRule>
    <cfRule type="colorScale" priority="732">
      <colorScale>
        <cfvo type="min"/>
        <cfvo type="percentile" val="50"/>
        <cfvo type="max"/>
        <color rgb="FF63BE7B"/>
        <color rgb="FFFFEB84"/>
        <color rgb="FFF8696B"/>
      </colorScale>
    </cfRule>
    <cfRule type="colorScale" priority="731">
      <colorScale>
        <cfvo type="min"/>
        <cfvo type="percentile" val="50"/>
        <cfvo type="max"/>
        <color rgb="FF63BE7B"/>
        <color rgb="FFFFEB84"/>
        <color rgb="FFF8696B"/>
      </colorScale>
    </cfRule>
    <cfRule type="colorScale" priority="730">
      <colorScale>
        <cfvo type="min"/>
        <cfvo type="percentile" val="50"/>
        <cfvo type="max"/>
        <color rgb="FF63BE7B"/>
        <color rgb="FFFFEB84"/>
        <color rgb="FFF8696B"/>
      </colorScale>
    </cfRule>
    <cfRule type="colorScale" priority="729">
      <colorScale>
        <cfvo type="min"/>
        <cfvo type="percentile" val="50"/>
        <cfvo type="max"/>
        <color rgb="FF63BE7B"/>
        <color rgb="FFFFEB84"/>
        <color rgb="FFF8696B"/>
      </colorScale>
    </cfRule>
    <cfRule type="colorScale" priority="735">
      <colorScale>
        <cfvo type="min"/>
        <cfvo type="percentile" val="50"/>
        <cfvo type="max"/>
        <color rgb="FF63BE7B"/>
        <color rgb="FFFFEB84"/>
        <color rgb="FFF8696B"/>
      </colorScale>
    </cfRule>
  </conditionalFormatting>
  <conditionalFormatting sqref="B235">
    <cfRule type="colorScale" priority="724">
      <colorScale>
        <cfvo type="min"/>
        <cfvo type="percentile" val="50"/>
        <cfvo type="max"/>
        <color rgb="FF63BE7B"/>
        <color rgb="FFFFEB84"/>
        <color rgb="FFF8696B"/>
      </colorScale>
    </cfRule>
  </conditionalFormatting>
  <conditionalFormatting sqref="B235:B245">
    <cfRule type="colorScale" priority="27956">
      <colorScale>
        <cfvo type="min"/>
        <cfvo type="percentile" val="50"/>
        <cfvo type="max"/>
        <color rgb="FF63BE7B"/>
        <color rgb="FFFFEB84"/>
        <color rgb="FFF8696B"/>
      </colorScale>
    </cfRule>
  </conditionalFormatting>
  <conditionalFormatting sqref="B236:B245">
    <cfRule type="colorScale" priority="27954">
      <colorScale>
        <cfvo type="min"/>
        <cfvo type="percentile" val="50"/>
        <cfvo type="max"/>
        <color rgb="FF63BE7B"/>
        <color rgb="FFFFEB84"/>
        <color rgb="FFF8696B"/>
      </colorScale>
    </cfRule>
  </conditionalFormatting>
  <conditionalFormatting sqref="B240:B241">
    <cfRule type="colorScale" priority="717">
      <colorScale>
        <cfvo type="min"/>
        <cfvo type="percentile" val="50"/>
        <cfvo type="max"/>
        <color rgb="FF63BE7B"/>
        <color rgb="FFFFEB84"/>
        <color rgb="FFF8696B"/>
      </colorScale>
    </cfRule>
    <cfRule type="colorScale" priority="716">
      <colorScale>
        <cfvo type="min"/>
        <cfvo type="percentile" val="50"/>
        <cfvo type="max"/>
        <color rgb="FF63BE7B"/>
        <color rgb="FFFFEB84"/>
        <color rgb="FFF8696B"/>
      </colorScale>
    </cfRule>
    <cfRule type="colorScale" priority="715">
      <colorScale>
        <cfvo type="min"/>
        <cfvo type="percentile" val="50"/>
        <cfvo type="max"/>
        <color rgb="FF63BE7B"/>
        <color rgb="FFFFEB84"/>
        <color rgb="FFF8696B"/>
      </colorScale>
    </cfRule>
    <cfRule type="colorScale" priority="714">
      <colorScale>
        <cfvo type="min"/>
        <cfvo type="percentile" val="50"/>
        <cfvo type="max"/>
        <color rgb="FF63BE7B"/>
        <color rgb="FFFFEB84"/>
        <color rgb="FFF8696B"/>
      </colorScale>
    </cfRule>
    <cfRule type="colorScale" priority="713">
      <colorScale>
        <cfvo type="min"/>
        <cfvo type="percentile" val="50"/>
        <cfvo type="max"/>
        <color rgb="FF63BE7B"/>
        <color rgb="FFFFEB84"/>
        <color rgb="FFF8696B"/>
      </colorScale>
    </cfRule>
    <cfRule type="colorScale" priority="719">
      <colorScale>
        <cfvo type="min"/>
        <cfvo type="percentile" val="50"/>
        <cfvo type="max"/>
        <color rgb="FF63BE7B"/>
        <color rgb="FFFFEB84"/>
        <color rgb="FFF8696B"/>
      </colorScale>
    </cfRule>
    <cfRule type="colorScale" priority="718">
      <colorScale>
        <cfvo type="min"/>
        <cfvo type="percentile" val="50"/>
        <cfvo type="max"/>
        <color rgb="FF63BE7B"/>
        <color rgb="FFFFEB84"/>
        <color rgb="FFF8696B"/>
      </colorScale>
    </cfRule>
  </conditionalFormatting>
  <conditionalFormatting sqref="B244:B245">
    <cfRule type="colorScale" priority="708">
      <colorScale>
        <cfvo type="min"/>
        <cfvo type="percentile" val="50"/>
        <cfvo type="max"/>
        <color rgb="FF63BE7B"/>
        <color rgb="FFFFEB84"/>
        <color rgb="FFF8696B"/>
      </colorScale>
    </cfRule>
    <cfRule type="colorScale" priority="712">
      <colorScale>
        <cfvo type="min"/>
        <cfvo type="percentile" val="50"/>
        <cfvo type="max"/>
        <color rgb="FF63BE7B"/>
        <color rgb="FFFFEB84"/>
        <color rgb="FFF8696B"/>
      </colorScale>
    </cfRule>
    <cfRule type="colorScale" priority="711">
      <colorScale>
        <cfvo type="min"/>
        <cfvo type="percentile" val="50"/>
        <cfvo type="max"/>
        <color rgb="FF63BE7B"/>
        <color rgb="FFFFEB84"/>
        <color rgb="FFF8696B"/>
      </colorScale>
    </cfRule>
    <cfRule type="colorScale" priority="707">
      <colorScale>
        <cfvo type="min"/>
        <cfvo type="percentile" val="50"/>
        <cfvo type="max"/>
        <color rgb="FF63BE7B"/>
        <color rgb="FFFFEB84"/>
        <color rgb="FFF8696B"/>
      </colorScale>
    </cfRule>
    <cfRule type="colorScale" priority="710">
      <colorScale>
        <cfvo type="min"/>
        <cfvo type="percentile" val="50"/>
        <cfvo type="max"/>
        <color rgb="FF63BE7B"/>
        <color rgb="FFFFEB84"/>
        <color rgb="FFF8696B"/>
      </colorScale>
    </cfRule>
    <cfRule type="colorScale" priority="709">
      <colorScale>
        <cfvo type="min"/>
        <cfvo type="percentile" val="50"/>
        <cfvo type="max"/>
        <color rgb="FF63BE7B"/>
        <color rgb="FFFFEB84"/>
        <color rgb="FFF8696B"/>
      </colorScale>
    </cfRule>
    <cfRule type="colorScale" priority="706">
      <colorScale>
        <cfvo type="min"/>
        <cfvo type="percentile" val="50"/>
        <cfvo type="max"/>
        <color rgb="FF63BE7B"/>
        <color rgb="FFFFEB84"/>
        <color rgb="FFF8696B"/>
      </colorScale>
    </cfRule>
  </conditionalFormatting>
  <conditionalFormatting sqref="B245">
    <cfRule type="colorScale" priority="697">
      <colorScale>
        <cfvo type="min"/>
        <cfvo type="percentile" val="50"/>
        <cfvo type="max"/>
        <color rgb="FF63BE7B"/>
        <color rgb="FFFFEB84"/>
        <color rgb="FFF8696B"/>
      </colorScale>
    </cfRule>
  </conditionalFormatting>
  <conditionalFormatting sqref="B245:B253">
    <cfRule type="colorScale" priority="27883">
      <colorScale>
        <cfvo type="min"/>
        <cfvo type="percentile" val="50"/>
        <cfvo type="max"/>
        <color rgb="FF63BE7B"/>
        <color rgb="FFFFEB84"/>
        <color rgb="FFF8696B"/>
      </colorScale>
    </cfRule>
  </conditionalFormatting>
  <conditionalFormatting sqref="B246:B253">
    <cfRule type="colorScale" priority="27881">
      <colorScale>
        <cfvo type="min"/>
        <cfvo type="percentile" val="50"/>
        <cfvo type="max"/>
        <color rgb="FF63BE7B"/>
        <color rgb="FFFFEB84"/>
        <color rgb="FFF8696B"/>
      </colorScale>
    </cfRule>
  </conditionalFormatting>
  <conditionalFormatting sqref="B252">
    <cfRule type="colorScale" priority="696">
      <colorScale>
        <cfvo type="min"/>
        <cfvo type="percentile" val="50"/>
        <cfvo type="max"/>
        <color rgb="FF63BE7B"/>
        <color rgb="FFFFEB84"/>
        <color rgb="FFF8696B"/>
      </colorScale>
    </cfRule>
    <cfRule type="colorScale" priority="690">
      <colorScale>
        <cfvo type="min"/>
        <cfvo type="percentile" val="50"/>
        <cfvo type="max"/>
        <color rgb="FF63BE7B"/>
        <color rgb="FFFFEB84"/>
        <color rgb="FFF8696B"/>
      </colorScale>
    </cfRule>
    <cfRule type="colorScale" priority="691">
      <colorScale>
        <cfvo type="min"/>
        <cfvo type="percentile" val="50"/>
        <cfvo type="max"/>
        <color rgb="FF63BE7B"/>
        <color rgb="FFFFEB84"/>
        <color rgb="FFF8696B"/>
      </colorScale>
    </cfRule>
    <cfRule type="colorScale" priority="692">
      <colorScale>
        <cfvo type="min"/>
        <cfvo type="percentile" val="50"/>
        <cfvo type="max"/>
        <color rgb="FF63BE7B"/>
        <color rgb="FFFFEB84"/>
        <color rgb="FFF8696B"/>
      </colorScale>
    </cfRule>
    <cfRule type="colorScale" priority="693">
      <colorScale>
        <cfvo type="min"/>
        <cfvo type="percentile" val="50"/>
        <cfvo type="max"/>
        <color rgb="FF63BE7B"/>
        <color rgb="FFFFEB84"/>
        <color rgb="FFF8696B"/>
      </colorScale>
    </cfRule>
    <cfRule type="colorScale" priority="695">
      <colorScale>
        <cfvo type="min"/>
        <cfvo type="percentile" val="50"/>
        <cfvo type="max"/>
        <color rgb="FF63BE7B"/>
        <color rgb="FFFFEB84"/>
        <color rgb="FFF8696B"/>
      </colorScale>
    </cfRule>
    <cfRule type="colorScale" priority="694">
      <colorScale>
        <cfvo type="min"/>
        <cfvo type="percentile" val="50"/>
        <cfvo type="max"/>
        <color rgb="FF63BE7B"/>
        <color rgb="FFFFEB84"/>
        <color rgb="FFF8696B"/>
      </colorScale>
    </cfRule>
  </conditionalFormatting>
  <conditionalFormatting sqref="B253">
    <cfRule type="colorScale" priority="681">
      <colorScale>
        <cfvo type="min"/>
        <cfvo type="percentile" val="50"/>
        <cfvo type="max"/>
        <color rgb="FF63BE7B"/>
        <color rgb="FFFFEB84"/>
        <color rgb="FFF8696B"/>
      </colorScale>
    </cfRule>
  </conditionalFormatting>
  <conditionalFormatting sqref="B253:B262">
    <cfRule type="colorScale" priority="27810">
      <colorScale>
        <cfvo type="min"/>
        <cfvo type="percentile" val="50"/>
        <cfvo type="max"/>
        <color rgb="FF63BE7B"/>
        <color rgb="FFFFEB84"/>
        <color rgb="FFF8696B"/>
      </colorScale>
    </cfRule>
  </conditionalFormatting>
  <conditionalFormatting sqref="B254:B262">
    <cfRule type="colorScale" priority="27808">
      <colorScale>
        <cfvo type="min"/>
        <cfvo type="percentile" val="50"/>
        <cfvo type="max"/>
        <color rgb="FF63BE7B"/>
        <color rgb="FFFFEB84"/>
        <color rgb="FFF8696B"/>
      </colorScale>
    </cfRule>
  </conditionalFormatting>
  <conditionalFormatting sqref="B260">
    <cfRule type="colorScale" priority="680">
      <colorScale>
        <cfvo type="min"/>
        <cfvo type="percentile" val="50"/>
        <cfvo type="max"/>
        <color rgb="FF63BE7B"/>
        <color rgb="FFFFEB84"/>
        <color rgb="FFF8696B"/>
      </colorScale>
    </cfRule>
    <cfRule type="colorScale" priority="679">
      <colorScale>
        <cfvo type="min"/>
        <cfvo type="percentile" val="50"/>
        <cfvo type="max"/>
        <color rgb="FF63BE7B"/>
        <color rgb="FFFFEB84"/>
        <color rgb="FFF8696B"/>
      </colorScale>
    </cfRule>
    <cfRule type="colorScale" priority="677">
      <colorScale>
        <cfvo type="min"/>
        <cfvo type="percentile" val="50"/>
        <cfvo type="max"/>
        <color rgb="FF63BE7B"/>
        <color rgb="FFFFEB84"/>
        <color rgb="FFF8696B"/>
      </colorScale>
    </cfRule>
    <cfRule type="colorScale" priority="676">
      <colorScale>
        <cfvo type="min"/>
        <cfvo type="percentile" val="50"/>
        <cfvo type="max"/>
        <color rgb="FF63BE7B"/>
        <color rgb="FFFFEB84"/>
        <color rgb="FFF8696B"/>
      </colorScale>
    </cfRule>
    <cfRule type="colorScale" priority="675">
      <colorScale>
        <cfvo type="min"/>
        <cfvo type="percentile" val="50"/>
        <cfvo type="max"/>
        <color rgb="FF63BE7B"/>
        <color rgb="FFFFEB84"/>
        <color rgb="FFF8696B"/>
      </colorScale>
    </cfRule>
    <cfRule type="colorScale" priority="674">
      <colorScale>
        <cfvo type="min"/>
        <cfvo type="percentile" val="50"/>
        <cfvo type="max"/>
        <color rgb="FF63BE7B"/>
        <color rgb="FFFFEB84"/>
        <color rgb="FFF8696B"/>
      </colorScale>
    </cfRule>
    <cfRule type="colorScale" priority="678">
      <colorScale>
        <cfvo type="min"/>
        <cfvo type="percentile" val="50"/>
        <cfvo type="max"/>
        <color rgb="FF63BE7B"/>
        <color rgb="FFFFEB84"/>
        <color rgb="FFF8696B"/>
      </colorScale>
    </cfRule>
  </conditionalFormatting>
  <conditionalFormatting sqref="B261:B262">
    <cfRule type="colorScale" priority="667">
      <colorScale>
        <cfvo type="min"/>
        <cfvo type="percentile" val="50"/>
        <cfvo type="max"/>
        <color rgb="FF63BE7B"/>
        <color rgb="FFFFEB84"/>
        <color rgb="FFF8696B"/>
      </colorScale>
    </cfRule>
    <cfRule type="colorScale" priority="668">
      <colorScale>
        <cfvo type="min"/>
        <cfvo type="percentile" val="50"/>
        <cfvo type="max"/>
        <color rgb="FF63BE7B"/>
        <color rgb="FFFFEB84"/>
        <color rgb="FFF8696B"/>
      </colorScale>
    </cfRule>
    <cfRule type="colorScale" priority="669">
      <colorScale>
        <cfvo type="min"/>
        <cfvo type="percentile" val="50"/>
        <cfvo type="max"/>
        <color rgb="FF63BE7B"/>
        <color rgb="FFFFEB84"/>
        <color rgb="FFF8696B"/>
      </colorScale>
    </cfRule>
    <cfRule type="colorScale" priority="671">
      <colorScale>
        <cfvo type="min"/>
        <cfvo type="percentile" val="50"/>
        <cfvo type="max"/>
        <color rgb="FF63BE7B"/>
        <color rgb="FFFFEB84"/>
        <color rgb="FFF8696B"/>
      </colorScale>
    </cfRule>
    <cfRule type="colorScale" priority="672">
      <colorScale>
        <cfvo type="min"/>
        <cfvo type="percentile" val="50"/>
        <cfvo type="max"/>
        <color rgb="FF63BE7B"/>
        <color rgb="FFFFEB84"/>
        <color rgb="FFF8696B"/>
      </colorScale>
    </cfRule>
    <cfRule type="colorScale" priority="673">
      <colorScale>
        <cfvo type="min"/>
        <cfvo type="percentile" val="50"/>
        <cfvo type="max"/>
        <color rgb="FF63BE7B"/>
        <color rgb="FFFFEB84"/>
        <color rgb="FFF8696B"/>
      </colorScale>
    </cfRule>
    <cfRule type="colorScale" priority="670">
      <colorScale>
        <cfvo type="min"/>
        <cfvo type="percentile" val="50"/>
        <cfvo type="max"/>
        <color rgb="FF63BE7B"/>
        <color rgb="FFFFEB84"/>
        <color rgb="FFF8696B"/>
      </colorScale>
    </cfRule>
  </conditionalFormatting>
  <conditionalFormatting sqref="B262 B271">
    <cfRule type="colorScale" priority="3133">
      <colorScale>
        <cfvo type="min"/>
        <cfvo type="percentile" val="50"/>
        <cfvo type="max"/>
        <color rgb="FF63BE7B"/>
        <color rgb="FFFFEB84"/>
        <color rgb="FFF8696B"/>
      </colorScale>
    </cfRule>
  </conditionalFormatting>
  <conditionalFormatting sqref="B262">
    <cfRule type="colorScale" priority="662">
      <colorScale>
        <cfvo type="min"/>
        <cfvo type="percentile" val="50"/>
        <cfvo type="max"/>
        <color rgb="FF63BE7B"/>
        <color rgb="FFFFEB84"/>
        <color rgb="FFF8696B"/>
      </colorScale>
    </cfRule>
  </conditionalFormatting>
  <conditionalFormatting sqref="B263:B271">
    <cfRule type="colorScale" priority="27737">
      <colorScale>
        <cfvo type="min"/>
        <cfvo type="percentile" val="50"/>
        <cfvo type="max"/>
        <color rgb="FF63BE7B"/>
        <color rgb="FFFFEB84"/>
        <color rgb="FFF8696B"/>
      </colorScale>
    </cfRule>
  </conditionalFormatting>
  <conditionalFormatting sqref="B268">
    <cfRule type="colorScale" priority="637">
      <colorScale>
        <cfvo type="min"/>
        <cfvo type="percentile" val="50"/>
        <cfvo type="max"/>
        <color rgb="FF63BE7B"/>
        <color rgb="FFFFEB84"/>
        <color rgb="FFF8696B"/>
      </colorScale>
    </cfRule>
    <cfRule type="colorScale" priority="636">
      <colorScale>
        <cfvo type="min"/>
        <cfvo type="percentile" val="50"/>
        <cfvo type="max"/>
        <color rgb="FF63BE7B"/>
        <color rgb="FFFFEB84"/>
        <color rgb="FFF8696B"/>
      </colorScale>
    </cfRule>
    <cfRule type="colorScale" priority="633">
      <colorScale>
        <cfvo type="min"/>
        <cfvo type="percentile" val="50"/>
        <cfvo type="max"/>
        <color rgb="FF63BE7B"/>
        <color rgb="FFFFEB84"/>
        <color rgb="FFF8696B"/>
      </colorScale>
    </cfRule>
    <cfRule type="colorScale" priority="635">
      <colorScale>
        <cfvo type="min"/>
        <cfvo type="percentile" val="50"/>
        <cfvo type="max"/>
        <color rgb="FF63BE7B"/>
        <color rgb="FFFFEB84"/>
        <color rgb="FFF8696B"/>
      </colorScale>
    </cfRule>
    <cfRule type="colorScale" priority="631">
      <colorScale>
        <cfvo type="min"/>
        <cfvo type="percentile" val="50"/>
        <cfvo type="max"/>
        <color rgb="FF63BE7B"/>
        <color rgb="FFFFEB84"/>
        <color rgb="FFF8696B"/>
      </colorScale>
    </cfRule>
    <cfRule type="colorScale" priority="632">
      <colorScale>
        <cfvo type="min"/>
        <cfvo type="percentile" val="50"/>
        <cfvo type="max"/>
        <color rgb="FF63BE7B"/>
        <color rgb="FFFFEB84"/>
        <color rgb="FFF8696B"/>
      </colorScale>
    </cfRule>
    <cfRule type="colorScale" priority="634">
      <colorScale>
        <cfvo type="min"/>
        <cfvo type="percentile" val="50"/>
        <cfvo type="max"/>
        <color rgb="FF63BE7B"/>
        <color rgb="FFFFEB84"/>
        <color rgb="FFF8696B"/>
      </colorScale>
    </cfRule>
  </conditionalFormatting>
  <conditionalFormatting sqref="B270">
    <cfRule type="colorScale" priority="624">
      <colorScale>
        <cfvo type="min"/>
        <cfvo type="percentile" val="50"/>
        <cfvo type="max"/>
        <color rgb="FF63BE7B"/>
        <color rgb="FFFFEB84"/>
        <color rgb="FFF8696B"/>
      </colorScale>
    </cfRule>
    <cfRule type="colorScale" priority="625">
      <colorScale>
        <cfvo type="min"/>
        <cfvo type="percentile" val="50"/>
        <cfvo type="max"/>
        <color rgb="FF63BE7B"/>
        <color rgb="FFFFEB84"/>
        <color rgb="FFF8696B"/>
      </colorScale>
    </cfRule>
    <cfRule type="colorScale" priority="627">
      <colorScale>
        <cfvo type="min"/>
        <cfvo type="percentile" val="50"/>
        <cfvo type="max"/>
        <color rgb="FF63BE7B"/>
        <color rgb="FFFFEB84"/>
        <color rgb="FFF8696B"/>
      </colorScale>
    </cfRule>
    <cfRule type="colorScale" priority="628">
      <colorScale>
        <cfvo type="min"/>
        <cfvo type="percentile" val="50"/>
        <cfvo type="max"/>
        <color rgb="FF63BE7B"/>
        <color rgb="FFFFEB84"/>
        <color rgb="FFF8696B"/>
      </colorScale>
    </cfRule>
    <cfRule type="colorScale" priority="629">
      <colorScale>
        <cfvo type="min"/>
        <cfvo type="percentile" val="50"/>
        <cfvo type="max"/>
        <color rgb="FF63BE7B"/>
        <color rgb="FFFFEB84"/>
        <color rgb="FFF8696B"/>
      </colorScale>
    </cfRule>
    <cfRule type="colorScale" priority="630">
      <colorScale>
        <cfvo type="min"/>
        <cfvo type="percentile" val="50"/>
        <cfvo type="max"/>
        <color rgb="FF63BE7B"/>
        <color rgb="FFFFEB84"/>
        <color rgb="FFF8696B"/>
      </colorScale>
    </cfRule>
    <cfRule type="colorScale" priority="626">
      <colorScale>
        <cfvo type="min"/>
        <cfvo type="percentile" val="50"/>
        <cfvo type="max"/>
        <color rgb="FF63BE7B"/>
        <color rgb="FFFFEB84"/>
        <color rgb="FFF8696B"/>
      </colorScale>
    </cfRule>
  </conditionalFormatting>
  <conditionalFormatting sqref="B271">
    <cfRule type="colorScale" priority="643">
      <colorScale>
        <cfvo type="min"/>
        <cfvo type="percentile" val="50"/>
        <cfvo type="max"/>
        <color rgb="FF63BE7B"/>
        <color rgb="FFFFEB84"/>
        <color rgb="FFF8696B"/>
      </colorScale>
    </cfRule>
  </conditionalFormatting>
  <conditionalFormatting sqref="D2">
    <cfRule type="colorScale" priority="1374">
      <colorScale>
        <cfvo type="min"/>
        <cfvo type="percentile" val="50"/>
        <cfvo type="max"/>
        <color rgb="FF63BE7B"/>
        <color rgb="FFFFEB84"/>
        <color rgb="FFF8696B"/>
      </colorScale>
    </cfRule>
  </conditionalFormatting>
  <conditionalFormatting sqref="D69:D84">
    <cfRule type="colorScale" priority="35800">
      <colorScale>
        <cfvo type="min"/>
        <cfvo type="percentile" val="50"/>
        <cfvo type="max"/>
        <color rgb="FF63BE7B"/>
        <color rgb="FFFFEB84"/>
        <color rgb="FFF8696B"/>
      </colorScale>
    </cfRule>
  </conditionalFormatting>
  <conditionalFormatting sqref="D71 D74 D77 D80 D83:D84">
    <cfRule type="colorScale" priority="608">
      <colorScale>
        <cfvo type="min"/>
        <cfvo type="percentile" val="50"/>
        <cfvo type="max"/>
        <color rgb="FF63BE7B"/>
        <color rgb="FFFFEB84"/>
        <color rgb="FFF8696B"/>
      </colorScale>
    </cfRule>
    <cfRule type="colorScale" priority="610">
      <colorScale>
        <cfvo type="min"/>
        <cfvo type="percentile" val="50"/>
        <cfvo type="max"/>
        <color rgb="FF63BE7B"/>
        <color rgb="FFFFEB84"/>
        <color rgb="FFF8696B"/>
      </colorScale>
    </cfRule>
  </conditionalFormatting>
  <conditionalFormatting sqref="D84">
    <cfRule type="colorScale" priority="21">
      <colorScale>
        <cfvo type="min"/>
        <cfvo type="percentile" val="50"/>
        <cfvo type="max"/>
        <color rgb="FF63BE7B"/>
        <color rgb="FFFFEB84"/>
        <color rgb="FFF8696B"/>
      </colorScale>
    </cfRule>
  </conditionalFormatting>
  <conditionalFormatting sqref="D200:D207">
    <cfRule type="colorScale" priority="20">
      <colorScale>
        <cfvo type="min"/>
        <cfvo type="percentile" val="50"/>
        <cfvo type="max"/>
        <color rgb="FF63BE7B"/>
        <color rgb="FFFFEB84"/>
        <color rgb="FFF8696B"/>
      </colorScale>
    </cfRule>
  </conditionalFormatting>
  <conditionalFormatting sqref="D208">
    <cfRule type="colorScale" priority="35893">
      <colorScale>
        <cfvo type="min"/>
        <cfvo type="percentile" val="50"/>
        <cfvo type="max"/>
        <color rgb="FF63BE7B"/>
        <color rgb="FFFFEB84"/>
        <color rgb="FFF8696B"/>
      </colorScale>
    </cfRule>
  </conditionalFormatting>
  <conditionalFormatting sqref="D209:D271 D69:D207">
    <cfRule type="colorScale" priority="28861">
      <colorScale>
        <cfvo type="min"/>
        <cfvo type="percentile" val="50"/>
        <cfvo type="max"/>
        <color rgb="FF63BE7B"/>
        <color rgb="FFFFEB84"/>
        <color rgb="FFF8696B"/>
      </colorScale>
    </cfRule>
  </conditionalFormatting>
  <conditionalFormatting sqref="E200:E207 D208 L200:L208">
    <cfRule type="colorScale" priority="468">
      <colorScale>
        <cfvo type="min"/>
        <cfvo type="percentile" val="50"/>
        <cfvo type="max"/>
        <color rgb="FF63BE7B"/>
        <color rgb="FFFFEB84"/>
        <color rgb="FFF8696B"/>
      </colorScale>
    </cfRule>
  </conditionalFormatting>
  <conditionalFormatting sqref="E208">
    <cfRule type="colorScale" priority="486">
      <colorScale>
        <cfvo type="min"/>
        <cfvo type="percentile" val="50"/>
        <cfvo type="max"/>
        <color rgb="FF63BE7B"/>
        <color rgb="FFFFEB84"/>
        <color rgb="FFF8696B"/>
      </colorScale>
    </cfRule>
  </conditionalFormatting>
  <conditionalFormatting sqref="L209:L275 D209:E271 D69:E83 L69:L83 L85:L199 D85:E199">
    <cfRule type="colorScale" priority="35799">
      <colorScale>
        <cfvo type="min"/>
        <cfvo type="percentile" val="50"/>
        <cfvo type="max"/>
        <color rgb="FF63BE7B"/>
        <color rgb="FFFFEB84"/>
        <color rgb="FFF8696B"/>
      </colorScale>
    </cfRule>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6"/>
  <sheetViews>
    <sheetView topLeftCell="A55" workbookViewId="0">
      <selection activeCell="E70" sqref="E70"/>
    </sheetView>
  </sheetViews>
  <sheetFormatPr defaultColWidth="9" defaultRowHeight="16.5" x14ac:dyDescent="0.45"/>
  <cols>
    <col min="1" max="3" width="11.07421875" customWidth="1"/>
    <col min="4" max="4" width="9.53515625" customWidth="1"/>
    <col min="5" max="5" width="23.4609375" customWidth="1"/>
    <col min="6" max="6" width="24" customWidth="1"/>
    <col min="7" max="7" width="18.765625" customWidth="1"/>
    <col min="8" max="8" width="18.765625" style="29" customWidth="1"/>
    <col min="9" max="9" width="20.4609375" customWidth="1"/>
    <col min="10" max="10" width="40.23046875" customWidth="1"/>
    <col min="11" max="11" width="13.69140625" style="30" customWidth="1"/>
    <col min="12" max="12" width="35" style="30" customWidth="1"/>
    <col min="13" max="13" width="19.765625" style="30" customWidth="1"/>
  </cols>
  <sheetData>
    <row r="1" spans="1:19" s="1" customFormat="1" ht="16.149999999999999" customHeight="1" x14ac:dyDescent="0.45">
      <c r="A1" s="1" t="s">
        <v>1000</v>
      </c>
      <c r="H1" s="31"/>
      <c r="P1" s="17"/>
      <c r="S1" s="17"/>
    </row>
    <row r="2" spans="1:19" s="27" customFormat="1" x14ac:dyDescent="0.45">
      <c r="A2" s="27" t="s">
        <v>1001</v>
      </c>
      <c r="B2" s="27" t="s">
        <v>1002</v>
      </c>
      <c r="C2" s="27" t="s">
        <v>1003</v>
      </c>
      <c r="D2" s="27" t="s">
        <v>1004</v>
      </c>
      <c r="E2" s="27" t="s">
        <v>1005</v>
      </c>
      <c r="F2" s="27" t="s">
        <v>1006</v>
      </c>
      <c r="G2" s="27" t="s">
        <v>1007</v>
      </c>
      <c r="H2" s="32" t="s">
        <v>1008</v>
      </c>
      <c r="I2" s="27" t="s">
        <v>1009</v>
      </c>
      <c r="J2" s="27" t="s">
        <v>1010</v>
      </c>
      <c r="K2" s="35" t="s">
        <v>1011</v>
      </c>
      <c r="L2" s="35" t="s">
        <v>1012</v>
      </c>
      <c r="M2" s="35" t="s">
        <v>1013</v>
      </c>
    </row>
    <row r="3" spans="1:19" s="28" customFormat="1" x14ac:dyDescent="0.45">
      <c r="A3" s="28" t="s">
        <v>1014</v>
      </c>
      <c r="B3" s="28" t="s">
        <v>1015</v>
      </c>
      <c r="C3" s="28" t="s">
        <v>1016</v>
      </c>
      <c r="D3" s="28" t="s">
        <v>1017</v>
      </c>
      <c r="E3" s="28" t="s">
        <v>34</v>
      </c>
      <c r="F3" s="28" t="s">
        <v>1018</v>
      </c>
      <c r="G3" s="28" t="s">
        <v>1019</v>
      </c>
      <c r="H3" s="33" t="s">
        <v>1020</v>
      </c>
      <c r="I3" s="28" t="s">
        <v>1021</v>
      </c>
      <c r="J3" s="28" t="s">
        <v>1022</v>
      </c>
      <c r="K3" s="36" t="s">
        <v>1023</v>
      </c>
      <c r="L3" s="36" t="s">
        <v>1024</v>
      </c>
      <c r="M3" s="36" t="s">
        <v>1025</v>
      </c>
    </row>
    <row r="4" spans="1:19" x14ac:dyDescent="0.45">
      <c r="A4">
        <v>1</v>
      </c>
      <c r="B4">
        <v>100001</v>
      </c>
      <c r="C4">
        <v>1933391</v>
      </c>
      <c r="D4">
        <v>10401010</v>
      </c>
      <c r="E4" t="s">
        <v>1026</v>
      </c>
      <c r="F4" t="s">
        <v>1027</v>
      </c>
      <c r="G4" s="34" t="s">
        <v>1028</v>
      </c>
      <c r="H4" s="29">
        <v>5</v>
      </c>
      <c r="I4" t="s">
        <v>1029</v>
      </c>
      <c r="J4" t="s">
        <v>1030</v>
      </c>
      <c r="K4" s="37">
        <v>2100180</v>
      </c>
      <c r="L4" s="37" t="s">
        <v>1031</v>
      </c>
      <c r="M4" s="37" t="s">
        <v>1032</v>
      </c>
    </row>
    <row r="5" spans="1:19" x14ac:dyDescent="0.45">
      <c r="D5">
        <v>10401020</v>
      </c>
    </row>
    <row r="6" spans="1:19" x14ac:dyDescent="0.45">
      <c r="D6">
        <v>10401030</v>
      </c>
    </row>
    <row r="7" spans="1:19" x14ac:dyDescent="0.45">
      <c r="D7">
        <v>10401040</v>
      </c>
    </row>
    <row r="8" spans="1:19" x14ac:dyDescent="0.45">
      <c r="A8">
        <v>2</v>
      </c>
      <c r="B8">
        <v>100002</v>
      </c>
      <c r="C8">
        <v>1933392</v>
      </c>
      <c r="D8">
        <v>10401050</v>
      </c>
      <c r="E8" s="34" t="s">
        <v>1033</v>
      </c>
      <c r="F8" s="34" t="s">
        <v>1034</v>
      </c>
      <c r="G8" t="s">
        <v>1028</v>
      </c>
      <c r="H8" s="29">
        <v>5</v>
      </c>
      <c r="I8" t="s">
        <v>1029</v>
      </c>
      <c r="J8" t="s">
        <v>1030</v>
      </c>
      <c r="K8" s="30">
        <v>2100180</v>
      </c>
      <c r="M8" s="30" t="s">
        <v>1035</v>
      </c>
    </row>
    <row r="9" spans="1:19" x14ac:dyDescent="0.45">
      <c r="D9">
        <v>10401060</v>
      </c>
    </row>
    <row r="10" spans="1:19" x14ac:dyDescent="0.45">
      <c r="D10">
        <v>10401070</v>
      </c>
    </row>
    <row r="11" spans="1:19" x14ac:dyDescent="0.45">
      <c r="D11">
        <v>10401080</v>
      </c>
    </row>
    <row r="12" spans="1:19" x14ac:dyDescent="0.45">
      <c r="A12">
        <v>3</v>
      </c>
      <c r="B12">
        <v>100003</v>
      </c>
      <c r="C12">
        <v>1933393</v>
      </c>
      <c r="D12">
        <v>10401090</v>
      </c>
      <c r="E12" t="s">
        <v>1036</v>
      </c>
      <c r="F12" t="s">
        <v>1037</v>
      </c>
      <c r="G12" t="s">
        <v>1028</v>
      </c>
      <c r="H12" s="29">
        <v>5</v>
      </c>
      <c r="I12" t="s">
        <v>1029</v>
      </c>
      <c r="J12" t="s">
        <v>1030</v>
      </c>
    </row>
    <row r="13" spans="1:19" x14ac:dyDescent="0.45">
      <c r="D13">
        <v>10401100</v>
      </c>
    </row>
    <row r="14" spans="1:19" x14ac:dyDescent="0.45">
      <c r="D14">
        <v>10401110</v>
      </c>
    </row>
    <row r="15" spans="1:19" x14ac:dyDescent="0.45">
      <c r="D15">
        <v>10401120</v>
      </c>
    </row>
    <row r="16" spans="1:19" x14ac:dyDescent="0.45">
      <c r="A16">
        <v>4</v>
      </c>
      <c r="B16">
        <v>100004</v>
      </c>
      <c r="C16">
        <v>1933394</v>
      </c>
      <c r="D16">
        <v>10401130</v>
      </c>
      <c r="E16" t="s">
        <v>1038</v>
      </c>
      <c r="F16" t="s">
        <v>1039</v>
      </c>
      <c r="G16" t="s">
        <v>1028</v>
      </c>
      <c r="H16" s="29">
        <v>5</v>
      </c>
      <c r="I16" t="s">
        <v>1029</v>
      </c>
      <c r="J16" t="s">
        <v>1030</v>
      </c>
    </row>
    <row r="17" spans="1:10" x14ac:dyDescent="0.45">
      <c r="D17">
        <v>10401140</v>
      </c>
    </row>
    <row r="18" spans="1:10" x14ac:dyDescent="0.45">
      <c r="D18">
        <v>10401150</v>
      </c>
    </row>
    <row r="19" spans="1:10" x14ac:dyDescent="0.45">
      <c r="D19">
        <v>10401160</v>
      </c>
    </row>
    <row r="20" spans="1:10" x14ac:dyDescent="0.45">
      <c r="D20">
        <v>10401170</v>
      </c>
    </row>
    <row r="21" spans="1:10" x14ac:dyDescent="0.45">
      <c r="A21">
        <v>5</v>
      </c>
      <c r="B21">
        <v>100005</v>
      </c>
      <c r="C21">
        <v>1933395</v>
      </c>
      <c r="D21">
        <v>10501010</v>
      </c>
      <c r="E21" t="s">
        <v>1040</v>
      </c>
      <c r="F21" t="s">
        <v>1041</v>
      </c>
      <c r="G21" t="s">
        <v>1028</v>
      </c>
      <c r="H21" s="29">
        <v>5</v>
      </c>
      <c r="I21" t="s">
        <v>1029</v>
      </c>
      <c r="J21" t="s">
        <v>1030</v>
      </c>
    </row>
    <row r="22" spans="1:10" x14ac:dyDescent="0.45">
      <c r="D22">
        <v>10501020</v>
      </c>
    </row>
    <row r="23" spans="1:10" x14ac:dyDescent="0.45">
      <c r="D23">
        <v>10501030</v>
      </c>
    </row>
    <row r="24" spans="1:10" x14ac:dyDescent="0.45">
      <c r="D24">
        <v>10501040</v>
      </c>
    </row>
    <row r="25" spans="1:10" x14ac:dyDescent="0.45">
      <c r="A25">
        <v>6</v>
      </c>
      <c r="B25">
        <v>100006</v>
      </c>
      <c r="C25">
        <v>1933396</v>
      </c>
      <c r="D25">
        <v>10501050</v>
      </c>
      <c r="E25" t="s">
        <v>1042</v>
      </c>
      <c r="F25" t="s">
        <v>1043</v>
      </c>
      <c r="G25" t="s">
        <v>1028</v>
      </c>
      <c r="H25" s="29">
        <v>5</v>
      </c>
      <c r="I25" t="s">
        <v>1029</v>
      </c>
      <c r="J25" t="s">
        <v>1030</v>
      </c>
    </row>
    <row r="26" spans="1:10" x14ac:dyDescent="0.45">
      <c r="D26">
        <v>10501060</v>
      </c>
    </row>
    <row r="27" spans="1:10" x14ac:dyDescent="0.45">
      <c r="D27">
        <v>10501070</v>
      </c>
    </row>
    <row r="28" spans="1:10" x14ac:dyDescent="0.45">
      <c r="A28">
        <v>7</v>
      </c>
      <c r="B28">
        <v>100007</v>
      </c>
      <c r="C28">
        <v>1933397</v>
      </c>
      <c r="D28">
        <v>10501080</v>
      </c>
      <c r="E28" t="s">
        <v>1044</v>
      </c>
      <c r="F28" t="s">
        <v>1045</v>
      </c>
      <c r="G28" t="s">
        <v>1028</v>
      </c>
      <c r="H28" s="29">
        <v>5</v>
      </c>
      <c r="I28" t="s">
        <v>1029</v>
      </c>
      <c r="J28" t="s">
        <v>1030</v>
      </c>
    </row>
    <row r="29" spans="1:10" x14ac:dyDescent="0.45">
      <c r="D29">
        <v>10601010</v>
      </c>
    </row>
    <row r="30" spans="1:10" x14ac:dyDescent="0.45">
      <c r="D30">
        <v>10601020</v>
      </c>
    </row>
    <row r="31" spans="1:10" x14ac:dyDescent="0.45">
      <c r="A31">
        <v>8</v>
      </c>
      <c r="B31">
        <v>100008</v>
      </c>
      <c r="C31">
        <v>1933398</v>
      </c>
      <c r="D31">
        <v>10601030</v>
      </c>
      <c r="E31" t="s">
        <v>1046</v>
      </c>
      <c r="F31" t="s">
        <v>1047</v>
      </c>
      <c r="G31" t="s">
        <v>1028</v>
      </c>
      <c r="H31" s="29">
        <v>5</v>
      </c>
      <c r="I31" t="s">
        <v>1029</v>
      </c>
      <c r="J31" t="s">
        <v>1030</v>
      </c>
    </row>
    <row r="32" spans="1:10" x14ac:dyDescent="0.45">
      <c r="D32">
        <v>10601040</v>
      </c>
    </row>
    <row r="33" spans="1:10" x14ac:dyDescent="0.45">
      <c r="D33">
        <v>10601050</v>
      </c>
    </row>
    <row r="34" spans="1:10" x14ac:dyDescent="0.45">
      <c r="D34">
        <v>10601060</v>
      </c>
    </row>
    <row r="35" spans="1:10" x14ac:dyDescent="0.45">
      <c r="A35">
        <v>9</v>
      </c>
      <c r="B35">
        <v>100009</v>
      </c>
      <c r="C35">
        <v>1933399</v>
      </c>
      <c r="D35">
        <v>10601070</v>
      </c>
      <c r="E35" t="s">
        <v>1048</v>
      </c>
      <c r="F35" t="s">
        <v>1049</v>
      </c>
      <c r="G35" t="s">
        <v>1028</v>
      </c>
      <c r="H35" s="29">
        <v>5</v>
      </c>
      <c r="I35" t="s">
        <v>1029</v>
      </c>
      <c r="J35" t="s">
        <v>1030</v>
      </c>
    </row>
    <row r="36" spans="1:10" x14ac:dyDescent="0.45">
      <c r="D36">
        <v>10601080</v>
      </c>
    </row>
    <row r="37" spans="1:10" x14ac:dyDescent="0.45">
      <c r="D37">
        <v>10601090</v>
      </c>
    </row>
    <row r="38" spans="1:10" x14ac:dyDescent="0.45">
      <c r="D38">
        <v>10601100</v>
      </c>
    </row>
    <row r="39" spans="1:10" x14ac:dyDescent="0.45">
      <c r="D39">
        <v>10601110</v>
      </c>
    </row>
    <row r="40" spans="1:10" x14ac:dyDescent="0.45">
      <c r="A40">
        <v>10</v>
      </c>
      <c r="B40">
        <v>100010</v>
      </c>
      <c r="C40">
        <v>1933400</v>
      </c>
      <c r="D40">
        <v>10601120</v>
      </c>
      <c r="E40" t="s">
        <v>1050</v>
      </c>
      <c r="F40" t="s">
        <v>1051</v>
      </c>
      <c r="G40" t="s">
        <v>1028</v>
      </c>
      <c r="H40" s="29">
        <v>5</v>
      </c>
      <c r="I40" t="s">
        <v>1029</v>
      </c>
      <c r="J40" t="s">
        <v>1030</v>
      </c>
    </row>
    <row r="41" spans="1:10" x14ac:dyDescent="0.45">
      <c r="D41">
        <v>10701010</v>
      </c>
    </row>
    <row r="42" spans="1:10" x14ac:dyDescent="0.45">
      <c r="D42">
        <v>10701020</v>
      </c>
    </row>
    <row r="43" spans="1:10" x14ac:dyDescent="0.45">
      <c r="D43">
        <v>10701030</v>
      </c>
    </row>
    <row r="44" spans="1:10" x14ac:dyDescent="0.45">
      <c r="A44">
        <v>11</v>
      </c>
      <c r="B44">
        <v>100011</v>
      </c>
      <c r="C44">
        <v>1933401</v>
      </c>
      <c r="D44">
        <v>10701040</v>
      </c>
      <c r="E44" t="s">
        <v>1052</v>
      </c>
      <c r="F44" t="s">
        <v>1053</v>
      </c>
      <c r="G44" t="s">
        <v>1028</v>
      </c>
      <c r="H44" s="29">
        <v>5</v>
      </c>
      <c r="I44" t="s">
        <v>1029</v>
      </c>
      <c r="J44" t="s">
        <v>1030</v>
      </c>
    </row>
    <row r="45" spans="1:10" x14ac:dyDescent="0.45">
      <c r="D45">
        <v>10701050</v>
      </c>
    </row>
    <row r="46" spans="1:10" x14ac:dyDescent="0.45">
      <c r="D46">
        <v>10801010</v>
      </c>
    </row>
    <row r="47" spans="1:10" x14ac:dyDescent="0.45">
      <c r="D47">
        <v>10801020</v>
      </c>
    </row>
    <row r="48" spans="1:10" x14ac:dyDescent="0.45">
      <c r="D48">
        <v>10801030</v>
      </c>
    </row>
    <row r="49" spans="1:10" x14ac:dyDescent="0.45">
      <c r="A49">
        <v>12</v>
      </c>
      <c r="B49">
        <v>100012</v>
      </c>
      <c r="C49">
        <v>1933402</v>
      </c>
      <c r="D49">
        <v>10801040</v>
      </c>
      <c r="E49" t="s">
        <v>1054</v>
      </c>
      <c r="F49" t="s">
        <v>1055</v>
      </c>
      <c r="G49" t="s">
        <v>1028</v>
      </c>
      <c r="H49" s="29">
        <v>5</v>
      </c>
      <c r="I49" t="s">
        <v>1029</v>
      </c>
      <c r="J49" t="s">
        <v>1030</v>
      </c>
    </row>
    <row r="50" spans="1:10" x14ac:dyDescent="0.45">
      <c r="D50">
        <v>10801050</v>
      </c>
    </row>
    <row r="51" spans="1:10" x14ac:dyDescent="0.45">
      <c r="D51">
        <v>10801060</v>
      </c>
    </row>
    <row r="52" spans="1:10" x14ac:dyDescent="0.45">
      <c r="D52">
        <v>10801070</v>
      </c>
    </row>
    <row r="53" spans="1:10" x14ac:dyDescent="0.45">
      <c r="D53">
        <v>10801080</v>
      </c>
    </row>
    <row r="54" spans="1:10" x14ac:dyDescent="0.45">
      <c r="D54">
        <v>10801090</v>
      </c>
    </row>
    <row r="55" spans="1:10" x14ac:dyDescent="0.45">
      <c r="A55">
        <v>13</v>
      </c>
      <c r="B55">
        <v>100013</v>
      </c>
      <c r="C55">
        <v>1933403</v>
      </c>
      <c r="D55">
        <v>10801100</v>
      </c>
      <c r="E55" s="34" t="s">
        <v>1056</v>
      </c>
      <c r="F55" s="34" t="s">
        <v>1057</v>
      </c>
      <c r="G55" t="s">
        <v>1028</v>
      </c>
      <c r="H55" s="29">
        <v>5</v>
      </c>
      <c r="I55" t="s">
        <v>1029</v>
      </c>
      <c r="J55" t="s">
        <v>1030</v>
      </c>
    </row>
    <row r="56" spans="1:10" x14ac:dyDescent="0.45">
      <c r="D56">
        <v>10801110</v>
      </c>
    </row>
    <row r="57" spans="1:10" x14ac:dyDescent="0.45">
      <c r="D57">
        <v>10901010</v>
      </c>
    </row>
    <row r="58" spans="1:10" x14ac:dyDescent="0.45">
      <c r="D58">
        <v>10901020</v>
      </c>
    </row>
    <row r="59" spans="1:10" x14ac:dyDescent="0.45">
      <c r="D59">
        <v>10901030</v>
      </c>
    </row>
    <row r="60" spans="1:10" x14ac:dyDescent="0.45">
      <c r="A60">
        <v>14</v>
      </c>
      <c r="B60">
        <v>100014</v>
      </c>
      <c r="C60">
        <v>1933404</v>
      </c>
      <c r="D60">
        <v>10901040</v>
      </c>
      <c r="E60" s="34" t="s">
        <v>1058</v>
      </c>
      <c r="F60" s="34" t="s">
        <v>1059</v>
      </c>
      <c r="G60" t="s">
        <v>1028</v>
      </c>
      <c r="H60" s="29">
        <v>5</v>
      </c>
      <c r="I60" t="s">
        <v>1029</v>
      </c>
      <c r="J60" t="s">
        <v>1030</v>
      </c>
    </row>
    <row r="61" spans="1:10" x14ac:dyDescent="0.45">
      <c r="D61">
        <v>10901050</v>
      </c>
    </row>
    <row r="62" spans="1:10" x14ac:dyDescent="0.45">
      <c r="D62">
        <v>10901060</v>
      </c>
    </row>
    <row r="63" spans="1:10" x14ac:dyDescent="0.45">
      <c r="D63">
        <v>10901070</v>
      </c>
    </row>
    <row r="64" spans="1:10" x14ac:dyDescent="0.45">
      <c r="D64">
        <v>10901080</v>
      </c>
    </row>
    <row r="65" spans="1:10" x14ac:dyDescent="0.45">
      <c r="A65">
        <v>15</v>
      </c>
      <c r="B65">
        <v>100015</v>
      </c>
      <c r="C65">
        <v>1933404</v>
      </c>
      <c r="D65">
        <v>10901090</v>
      </c>
      <c r="E65" s="34" t="s">
        <v>1058</v>
      </c>
      <c r="F65" s="34" t="s">
        <v>1059</v>
      </c>
      <c r="G65" t="s">
        <v>1028</v>
      </c>
      <c r="H65" s="29">
        <v>5</v>
      </c>
      <c r="I65" t="s">
        <v>1029</v>
      </c>
      <c r="J65" t="s">
        <v>1030</v>
      </c>
    </row>
    <row r="66" spans="1:10" x14ac:dyDescent="0.45">
      <c r="D66">
        <v>10901100</v>
      </c>
    </row>
  </sheetData>
  <phoneticPr fontId="16" type="noConversion"/>
  <conditionalFormatting sqref="A1">
    <cfRule type="duplicateValues" dxfId="12" priority="2"/>
  </conditionalFormatting>
  <conditionalFormatting sqref="F1">
    <cfRule type="duplicateValues" dxfId="11" priority="1"/>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691"/>
  <sheetViews>
    <sheetView workbookViewId="0">
      <pane xSplit="2" ySplit="3" topLeftCell="C208" activePane="bottomRight" state="frozen"/>
      <selection pane="topRight"/>
      <selection pane="bottomLeft"/>
      <selection pane="bottomRight" activeCell="G231" sqref="G231"/>
    </sheetView>
  </sheetViews>
  <sheetFormatPr defaultColWidth="9.07421875" defaultRowHeight="16.5" x14ac:dyDescent="0.45"/>
  <cols>
    <col min="1" max="1" width="13.07421875" style="20" customWidth="1"/>
    <col min="2" max="2" width="14.3046875" style="20" customWidth="1"/>
    <col min="3" max="3" width="9.69140625" style="20" customWidth="1"/>
    <col min="4" max="4" width="8.3046875" style="20" customWidth="1"/>
    <col min="5" max="5" width="8.69140625" style="20" customWidth="1"/>
    <col min="6" max="6" width="12.53515625" style="20" customWidth="1"/>
    <col min="7" max="7" width="29.07421875" style="20" customWidth="1"/>
    <col min="8" max="8" width="25.765625" style="20" customWidth="1"/>
    <col min="9" max="9" width="27.765625" style="21" customWidth="1"/>
    <col min="10" max="10" width="19.69140625" style="20" customWidth="1"/>
    <col min="11" max="11" width="10.84375" style="20" customWidth="1"/>
    <col min="12" max="12" width="8.84375" style="20" customWidth="1"/>
    <col min="13" max="16384" width="9.07421875" style="20"/>
  </cols>
  <sheetData>
    <row r="1" spans="1:9" s="17" customFormat="1" ht="16.149999999999999" customHeight="1" x14ac:dyDescent="0.45">
      <c r="A1" s="17" t="s">
        <v>1060</v>
      </c>
    </row>
    <row r="2" spans="1:9" s="18" customFormat="1" ht="16.149999999999999" customHeight="1" x14ac:dyDescent="0.45">
      <c r="A2" s="18" t="s">
        <v>33</v>
      </c>
      <c r="B2" s="2" t="s">
        <v>1</v>
      </c>
      <c r="C2" s="2" t="s">
        <v>2</v>
      </c>
      <c r="D2" s="2" t="s">
        <v>3</v>
      </c>
      <c r="E2" s="2" t="s">
        <v>4</v>
      </c>
      <c r="F2" s="2" t="s">
        <v>5</v>
      </c>
      <c r="G2" s="2" t="s">
        <v>6</v>
      </c>
      <c r="H2" s="18" t="s">
        <v>1061</v>
      </c>
      <c r="I2" s="18" t="s">
        <v>1062</v>
      </c>
    </row>
    <row r="3" spans="1:9" s="19" customFormat="1" x14ac:dyDescent="0.45">
      <c r="A3" s="19" t="s">
        <v>33</v>
      </c>
      <c r="B3" s="19" t="s">
        <v>1063</v>
      </c>
      <c r="H3" s="19" t="s">
        <v>1064</v>
      </c>
      <c r="I3" s="19" t="s">
        <v>1065</v>
      </c>
    </row>
    <row r="4" spans="1:9" x14ac:dyDescent="0.45">
      <c r="A4" s="4">
        <v>11001010</v>
      </c>
      <c r="B4" s="4">
        <v>11001010</v>
      </c>
      <c r="C4" s="22">
        <v>10</v>
      </c>
      <c r="D4" s="4">
        <v>1</v>
      </c>
      <c r="E4" s="4">
        <v>1</v>
      </c>
      <c r="F4" s="4" t="s">
        <v>48</v>
      </c>
      <c r="G4" s="4" t="s">
        <v>1066</v>
      </c>
      <c r="H4" s="20">
        <v>1</v>
      </c>
      <c r="I4" s="21">
        <v>100015</v>
      </c>
    </row>
    <row r="5" spans="1:9" x14ac:dyDescent="0.45">
      <c r="A5" s="4" t="str">
        <f t="shared" ref="A5:A13" si="0">IF(F5=F4,"",B5)</f>
        <v/>
      </c>
      <c r="B5" s="4">
        <v>11001020</v>
      </c>
      <c r="C5" s="22">
        <v>10</v>
      </c>
      <c r="D5" s="4">
        <v>1</v>
      </c>
      <c r="E5" s="4">
        <v>2</v>
      </c>
      <c r="F5" s="4" t="s">
        <v>48</v>
      </c>
      <c r="G5" s="4" t="s">
        <v>218</v>
      </c>
    </row>
    <row r="6" spans="1:9" x14ac:dyDescent="0.45">
      <c r="A6" s="4" t="str">
        <f t="shared" si="0"/>
        <v/>
      </c>
      <c r="B6" s="4">
        <v>11001030</v>
      </c>
      <c r="C6" s="22">
        <v>10</v>
      </c>
      <c r="D6" s="4">
        <v>1</v>
      </c>
      <c r="E6" s="4">
        <v>3</v>
      </c>
      <c r="F6" s="4" t="s">
        <v>48</v>
      </c>
      <c r="G6" s="4" t="s">
        <v>1067</v>
      </c>
    </row>
    <row r="7" spans="1:9" x14ac:dyDescent="0.45">
      <c r="A7" s="4" t="str">
        <f>IF(F7=F5,"",B7)</f>
        <v/>
      </c>
      <c r="B7" s="4">
        <v>11001040</v>
      </c>
      <c r="C7" s="22">
        <v>10</v>
      </c>
      <c r="D7" s="4">
        <v>1</v>
      </c>
      <c r="E7" s="4">
        <v>4</v>
      </c>
      <c r="F7" s="4" t="s">
        <v>48</v>
      </c>
      <c r="G7" s="4" t="s">
        <v>1068</v>
      </c>
    </row>
    <row r="8" spans="1:9" x14ac:dyDescent="0.45">
      <c r="A8" s="4" t="str">
        <f t="shared" si="0"/>
        <v/>
      </c>
      <c r="B8" s="4">
        <v>11001050</v>
      </c>
      <c r="C8" s="22">
        <v>10</v>
      </c>
      <c r="D8" s="4">
        <v>1</v>
      </c>
      <c r="E8" s="4">
        <v>5</v>
      </c>
      <c r="F8" s="4" t="s">
        <v>48</v>
      </c>
      <c r="G8" s="4" t="s">
        <v>1069</v>
      </c>
    </row>
    <row r="9" spans="1:9" x14ac:dyDescent="0.45">
      <c r="A9" s="4" t="str">
        <f t="shared" si="0"/>
        <v/>
      </c>
      <c r="B9" s="4">
        <v>11001060</v>
      </c>
      <c r="C9" s="22">
        <v>10</v>
      </c>
      <c r="D9" s="4">
        <v>1</v>
      </c>
      <c r="E9" s="4">
        <v>6</v>
      </c>
      <c r="F9" s="4" t="s">
        <v>48</v>
      </c>
      <c r="G9" s="4" t="s">
        <v>1070</v>
      </c>
    </row>
    <row r="10" spans="1:9" x14ac:dyDescent="0.45">
      <c r="A10" s="4" t="str">
        <f t="shared" si="0"/>
        <v/>
      </c>
      <c r="B10" s="4">
        <v>11001070</v>
      </c>
      <c r="C10" s="22">
        <v>10</v>
      </c>
      <c r="D10" s="4">
        <v>1</v>
      </c>
      <c r="E10" s="4">
        <v>7</v>
      </c>
      <c r="F10" s="4" t="s">
        <v>48</v>
      </c>
      <c r="G10" s="4" t="s">
        <v>1071</v>
      </c>
    </row>
    <row r="11" spans="1:9" x14ac:dyDescent="0.45">
      <c r="A11" s="4" t="str">
        <f t="shared" si="0"/>
        <v/>
      </c>
      <c r="B11" s="4">
        <v>11001080</v>
      </c>
      <c r="C11" s="22">
        <v>10</v>
      </c>
      <c r="D11" s="4">
        <v>1</v>
      </c>
      <c r="E11" s="4">
        <v>8</v>
      </c>
      <c r="F11" s="4" t="s">
        <v>48</v>
      </c>
      <c r="G11" s="4" t="s">
        <v>1072</v>
      </c>
    </row>
    <row r="12" spans="1:9" x14ac:dyDescent="0.45">
      <c r="A12" s="4" t="str">
        <f t="shared" si="0"/>
        <v/>
      </c>
      <c r="B12" s="4">
        <v>11001090</v>
      </c>
      <c r="C12" s="22">
        <v>10</v>
      </c>
      <c r="D12" s="4">
        <v>1</v>
      </c>
      <c r="E12" s="4">
        <v>9</v>
      </c>
      <c r="F12" s="4" t="s">
        <v>48</v>
      </c>
      <c r="G12" s="4" t="s">
        <v>1073</v>
      </c>
    </row>
    <row r="13" spans="1:9" x14ac:dyDescent="0.45">
      <c r="A13" s="4" t="str">
        <f t="shared" si="0"/>
        <v/>
      </c>
      <c r="B13" s="4">
        <v>11001100</v>
      </c>
      <c r="C13" s="22">
        <v>10</v>
      </c>
      <c r="D13" s="4">
        <v>1</v>
      </c>
      <c r="E13" s="4">
        <v>10</v>
      </c>
      <c r="F13" s="4" t="s">
        <v>48</v>
      </c>
      <c r="G13" s="4" t="s">
        <v>1074</v>
      </c>
    </row>
    <row r="14" spans="1:9" x14ac:dyDescent="0.45">
      <c r="A14" s="4" t="str">
        <f>IF(F14=F12,"",B14)</f>
        <v/>
      </c>
      <c r="B14" s="4">
        <v>11001110</v>
      </c>
      <c r="C14" s="22">
        <v>10</v>
      </c>
      <c r="D14" s="4">
        <v>1</v>
      </c>
      <c r="E14" s="4">
        <v>11</v>
      </c>
      <c r="F14" s="4" t="s">
        <v>48</v>
      </c>
      <c r="G14" s="4" t="s">
        <v>1075</v>
      </c>
    </row>
    <row r="15" spans="1:9" x14ac:dyDescent="0.45">
      <c r="A15" s="4" t="str">
        <f>IF(F15=F13,"",B15)</f>
        <v/>
      </c>
      <c r="B15" s="4">
        <v>11001120</v>
      </c>
      <c r="C15" s="22">
        <v>10</v>
      </c>
      <c r="D15" s="4">
        <v>1</v>
      </c>
      <c r="E15" s="4">
        <v>12</v>
      </c>
      <c r="F15" s="4" t="s">
        <v>48</v>
      </c>
      <c r="G15" s="4" t="s">
        <v>1076</v>
      </c>
    </row>
    <row r="16" spans="1:9" x14ac:dyDescent="0.45">
      <c r="A16" s="4" t="str">
        <f t="shared" ref="A16:A43" si="1">IF(F16=F15,"",B16)</f>
        <v/>
      </c>
      <c r="B16" s="4">
        <v>11001130</v>
      </c>
      <c r="C16" s="22">
        <v>10</v>
      </c>
      <c r="D16" s="4">
        <v>1</v>
      </c>
      <c r="E16" s="4">
        <v>13</v>
      </c>
      <c r="F16" s="4" t="s">
        <v>48</v>
      </c>
      <c r="G16" s="4" t="s">
        <v>1077</v>
      </c>
    </row>
    <row r="17" spans="1:7" x14ac:dyDescent="0.45">
      <c r="A17" s="4" t="str">
        <f t="shared" si="1"/>
        <v/>
      </c>
      <c r="B17" s="4">
        <v>11001140</v>
      </c>
      <c r="C17" s="22">
        <v>10</v>
      </c>
      <c r="D17" s="4">
        <v>1</v>
      </c>
      <c r="E17" s="4">
        <v>14</v>
      </c>
      <c r="F17" s="4" t="s">
        <v>48</v>
      </c>
      <c r="G17" s="4" t="s">
        <v>1078</v>
      </c>
    </row>
    <row r="18" spans="1:7" x14ac:dyDescent="0.45">
      <c r="A18" s="4" t="str">
        <f t="shared" si="1"/>
        <v/>
      </c>
      <c r="B18" s="4">
        <v>11001150</v>
      </c>
      <c r="C18" s="22">
        <v>10</v>
      </c>
      <c r="D18" s="4">
        <v>1</v>
      </c>
      <c r="E18" s="4">
        <v>15</v>
      </c>
      <c r="F18" s="4" t="s">
        <v>48</v>
      </c>
      <c r="G18" s="4" t="s">
        <v>1079</v>
      </c>
    </row>
    <row r="19" spans="1:7" x14ac:dyDescent="0.45">
      <c r="A19" s="4" t="str">
        <f t="shared" si="1"/>
        <v/>
      </c>
      <c r="B19" s="4">
        <v>11001160</v>
      </c>
      <c r="C19" s="22">
        <v>10</v>
      </c>
      <c r="D19" s="4">
        <v>1</v>
      </c>
      <c r="E19" s="4">
        <v>16</v>
      </c>
      <c r="F19" s="4" t="s">
        <v>48</v>
      </c>
      <c r="G19" s="20" t="s">
        <v>1080</v>
      </c>
    </row>
    <row r="20" spans="1:7" x14ac:dyDescent="0.45">
      <c r="A20" s="4" t="str">
        <f t="shared" si="1"/>
        <v/>
      </c>
      <c r="B20" s="4">
        <v>11101010</v>
      </c>
      <c r="C20" s="22">
        <v>11</v>
      </c>
      <c r="D20" s="4">
        <v>1</v>
      </c>
      <c r="E20" s="4">
        <v>1</v>
      </c>
      <c r="F20" s="4" t="s">
        <v>48</v>
      </c>
      <c r="G20" s="4" t="s">
        <v>1081</v>
      </c>
    </row>
    <row r="21" spans="1:7" x14ac:dyDescent="0.45">
      <c r="A21" s="4" t="str">
        <f t="shared" si="1"/>
        <v/>
      </c>
      <c r="B21" s="4">
        <v>11101020</v>
      </c>
      <c r="C21" s="22">
        <v>11</v>
      </c>
      <c r="D21" s="4">
        <v>1</v>
      </c>
      <c r="E21" s="4">
        <v>2</v>
      </c>
      <c r="F21" s="4" t="s">
        <v>48</v>
      </c>
      <c r="G21" s="4" t="s">
        <v>1082</v>
      </c>
    </row>
    <row r="22" spans="1:7" x14ac:dyDescent="0.45">
      <c r="A22" s="4" t="str">
        <f>IF(F22=F20,"",B22)</f>
        <v/>
      </c>
      <c r="B22" s="4">
        <v>11101030</v>
      </c>
      <c r="C22" s="22">
        <v>11</v>
      </c>
      <c r="D22" s="4">
        <v>1</v>
      </c>
      <c r="E22" s="4">
        <v>3</v>
      </c>
      <c r="F22" s="4" t="s">
        <v>48</v>
      </c>
      <c r="G22" s="4" t="s">
        <v>1083</v>
      </c>
    </row>
    <row r="23" spans="1:7" x14ac:dyDescent="0.45">
      <c r="A23" s="4" t="str">
        <f>IF(F23=F21,"",B23)</f>
        <v/>
      </c>
      <c r="B23" s="4">
        <v>11101040</v>
      </c>
      <c r="C23" s="22">
        <v>11</v>
      </c>
      <c r="D23" s="4">
        <v>1</v>
      </c>
      <c r="E23" s="4">
        <v>4</v>
      </c>
      <c r="F23" s="4" t="s">
        <v>48</v>
      </c>
      <c r="G23" s="4" t="s">
        <v>1084</v>
      </c>
    </row>
    <row r="24" spans="1:7" x14ac:dyDescent="0.45">
      <c r="A24" s="4" t="str">
        <f t="shared" si="1"/>
        <v/>
      </c>
      <c r="B24" s="4">
        <v>11101050</v>
      </c>
      <c r="C24" s="22">
        <v>11</v>
      </c>
      <c r="D24" s="4">
        <v>1</v>
      </c>
      <c r="E24" s="4">
        <v>5</v>
      </c>
      <c r="F24" s="4" t="s">
        <v>48</v>
      </c>
      <c r="G24" s="4" t="s">
        <v>1085</v>
      </c>
    </row>
    <row r="25" spans="1:7" x14ac:dyDescent="0.45">
      <c r="A25" s="4" t="str">
        <f t="shared" si="1"/>
        <v/>
      </c>
      <c r="B25" s="4">
        <v>11101060</v>
      </c>
      <c r="C25" s="22">
        <v>11</v>
      </c>
      <c r="D25" s="4">
        <v>1</v>
      </c>
      <c r="E25" s="4">
        <v>6</v>
      </c>
      <c r="F25" s="4" t="s">
        <v>48</v>
      </c>
      <c r="G25" s="4" t="s">
        <v>1086</v>
      </c>
    </row>
    <row r="26" spans="1:7" x14ac:dyDescent="0.45">
      <c r="A26" s="4" t="str">
        <f t="shared" si="1"/>
        <v/>
      </c>
      <c r="B26" s="4">
        <v>11101070</v>
      </c>
      <c r="C26" s="22">
        <v>11</v>
      </c>
      <c r="D26" s="4">
        <v>1</v>
      </c>
      <c r="E26" s="4">
        <v>7</v>
      </c>
      <c r="F26" s="4" t="s">
        <v>48</v>
      </c>
      <c r="G26" s="4" t="s">
        <v>1087</v>
      </c>
    </row>
    <row r="27" spans="1:7" x14ac:dyDescent="0.45">
      <c r="A27" s="4" t="str">
        <f t="shared" si="1"/>
        <v/>
      </c>
      <c r="B27" s="4">
        <v>11101080</v>
      </c>
      <c r="C27" s="22">
        <v>11</v>
      </c>
      <c r="D27" s="4">
        <v>1</v>
      </c>
      <c r="E27" s="4">
        <v>8</v>
      </c>
      <c r="F27" s="4" t="s">
        <v>48</v>
      </c>
      <c r="G27" s="4" t="s">
        <v>1088</v>
      </c>
    </row>
    <row r="28" spans="1:7" x14ac:dyDescent="0.45">
      <c r="A28" s="4" t="str">
        <f t="shared" si="1"/>
        <v/>
      </c>
      <c r="B28" s="4">
        <v>11101090</v>
      </c>
      <c r="C28" s="22">
        <v>11</v>
      </c>
      <c r="D28" s="4">
        <v>1</v>
      </c>
      <c r="E28" s="4">
        <v>9</v>
      </c>
      <c r="F28" s="4" t="s">
        <v>48</v>
      </c>
      <c r="G28" s="4" t="s">
        <v>1089</v>
      </c>
    </row>
    <row r="29" spans="1:7" x14ac:dyDescent="0.45">
      <c r="A29" s="4" t="str">
        <f t="shared" si="1"/>
        <v/>
      </c>
      <c r="B29" s="4">
        <v>11101100</v>
      </c>
      <c r="C29" s="22">
        <v>11</v>
      </c>
      <c r="D29" s="4">
        <v>1</v>
      </c>
      <c r="E29" s="4">
        <v>10</v>
      </c>
      <c r="F29" s="4" t="s">
        <v>48</v>
      </c>
      <c r="G29" s="4" t="s">
        <v>1090</v>
      </c>
    </row>
    <row r="30" spans="1:7" x14ac:dyDescent="0.45">
      <c r="A30" s="4" t="str">
        <f t="shared" si="1"/>
        <v/>
      </c>
      <c r="B30" s="4">
        <v>11101110</v>
      </c>
      <c r="C30" s="22">
        <v>11</v>
      </c>
      <c r="D30" s="4">
        <v>1</v>
      </c>
      <c r="E30" s="4">
        <v>11</v>
      </c>
      <c r="F30" s="4" t="s">
        <v>48</v>
      </c>
      <c r="G30" s="4" t="s">
        <v>1091</v>
      </c>
    </row>
    <row r="31" spans="1:7" x14ac:dyDescent="0.45">
      <c r="A31" s="4" t="str">
        <f t="shared" si="1"/>
        <v/>
      </c>
      <c r="B31" s="4">
        <v>11101120</v>
      </c>
      <c r="C31" s="22">
        <v>11</v>
      </c>
      <c r="D31" s="4">
        <v>1</v>
      </c>
      <c r="E31" s="4">
        <v>12</v>
      </c>
      <c r="F31" s="4" t="s">
        <v>48</v>
      </c>
      <c r="G31" s="4" t="s">
        <v>1092</v>
      </c>
    </row>
    <row r="32" spans="1:7" x14ac:dyDescent="0.45">
      <c r="A32" s="4" t="str">
        <f>IF(F32=F30,"",B32)</f>
        <v/>
      </c>
      <c r="B32" s="4">
        <v>11201010</v>
      </c>
      <c r="C32" s="22">
        <v>12</v>
      </c>
      <c r="D32" s="4">
        <v>1</v>
      </c>
      <c r="E32" s="4">
        <v>1</v>
      </c>
      <c r="F32" s="4" t="s">
        <v>48</v>
      </c>
      <c r="G32" s="4" t="s">
        <v>1093</v>
      </c>
    </row>
    <row r="33" spans="1:7" x14ac:dyDescent="0.45">
      <c r="A33" s="4" t="str">
        <f>IF(F33=F31,"",B33)</f>
        <v/>
      </c>
      <c r="B33" s="4">
        <v>11201020</v>
      </c>
      <c r="C33" s="22">
        <v>12</v>
      </c>
      <c r="D33" s="4">
        <v>1</v>
      </c>
      <c r="E33" s="4">
        <v>2</v>
      </c>
      <c r="F33" s="4" t="s">
        <v>48</v>
      </c>
      <c r="G33" s="4" t="s">
        <v>1094</v>
      </c>
    </row>
    <row r="34" spans="1:7" x14ac:dyDescent="0.45">
      <c r="A34" s="4" t="str">
        <f t="shared" si="1"/>
        <v/>
      </c>
      <c r="B34" s="4">
        <v>11201030</v>
      </c>
      <c r="C34" s="22">
        <v>12</v>
      </c>
      <c r="D34" s="4">
        <v>1</v>
      </c>
      <c r="E34" s="4">
        <v>3</v>
      </c>
      <c r="F34" s="4" t="s">
        <v>48</v>
      </c>
      <c r="G34" s="4" t="s">
        <v>1095</v>
      </c>
    </row>
    <row r="35" spans="1:7" x14ac:dyDescent="0.45">
      <c r="A35" s="4" t="str">
        <f>IF(F35=F36,"",B35)</f>
        <v/>
      </c>
      <c r="B35" s="4">
        <v>11201040</v>
      </c>
      <c r="C35" s="22">
        <v>12</v>
      </c>
      <c r="D35" s="4">
        <v>1</v>
      </c>
      <c r="E35" s="4">
        <v>4</v>
      </c>
      <c r="F35" s="4" t="s">
        <v>48</v>
      </c>
      <c r="G35" s="4" t="s">
        <v>1096</v>
      </c>
    </row>
    <row r="36" spans="1:7" x14ac:dyDescent="0.45">
      <c r="A36" s="4" t="str">
        <f>IF(F36=F34,"",B36)</f>
        <v/>
      </c>
      <c r="B36" s="4">
        <v>11201050</v>
      </c>
      <c r="C36" s="22">
        <v>12</v>
      </c>
      <c r="D36" s="4">
        <v>1</v>
      </c>
      <c r="E36" s="4">
        <v>5</v>
      </c>
      <c r="F36" s="4" t="s">
        <v>48</v>
      </c>
      <c r="G36" s="4" t="s">
        <v>1097</v>
      </c>
    </row>
    <row r="37" spans="1:7" x14ac:dyDescent="0.45">
      <c r="A37" s="4" t="str">
        <f>IF(F37=F36,"",B37)</f>
        <v/>
      </c>
      <c r="B37" s="4">
        <v>11201060</v>
      </c>
      <c r="C37" s="22">
        <v>12</v>
      </c>
      <c r="D37" s="4">
        <v>1</v>
      </c>
      <c r="E37" s="4">
        <v>6</v>
      </c>
      <c r="F37" s="4" t="s">
        <v>48</v>
      </c>
      <c r="G37" s="4" t="s">
        <v>1098</v>
      </c>
    </row>
    <row r="38" spans="1:7" x14ac:dyDescent="0.45">
      <c r="A38" s="4" t="str">
        <f>IF(F38=F35,"",B38)</f>
        <v/>
      </c>
      <c r="B38" s="4">
        <v>11201070</v>
      </c>
      <c r="C38" s="22">
        <v>12</v>
      </c>
      <c r="D38" s="4">
        <v>1</v>
      </c>
      <c r="E38" s="4">
        <v>7</v>
      </c>
      <c r="F38" s="4" t="s">
        <v>48</v>
      </c>
      <c r="G38" s="4" t="s">
        <v>1099</v>
      </c>
    </row>
    <row r="39" spans="1:7" x14ac:dyDescent="0.45">
      <c r="A39" s="4" t="str">
        <f t="shared" si="1"/>
        <v/>
      </c>
      <c r="B39" s="4">
        <v>11201080</v>
      </c>
      <c r="C39" s="22">
        <v>12</v>
      </c>
      <c r="D39" s="4">
        <v>1</v>
      </c>
      <c r="E39" s="4">
        <v>8</v>
      </c>
      <c r="F39" s="4" t="s">
        <v>48</v>
      </c>
      <c r="G39" s="4" t="s">
        <v>1100</v>
      </c>
    </row>
    <row r="40" spans="1:7" x14ac:dyDescent="0.45">
      <c r="A40" s="4" t="str">
        <f t="shared" si="1"/>
        <v/>
      </c>
      <c r="B40" s="4">
        <v>11201090</v>
      </c>
      <c r="C40" s="22">
        <v>12</v>
      </c>
      <c r="D40" s="4">
        <v>1</v>
      </c>
      <c r="E40" s="4">
        <v>9</v>
      </c>
      <c r="F40" s="4" t="s">
        <v>48</v>
      </c>
      <c r="G40" s="4" t="s">
        <v>1101</v>
      </c>
    </row>
    <row r="41" spans="1:7" x14ac:dyDescent="0.45">
      <c r="A41" s="4" t="str">
        <f t="shared" si="1"/>
        <v/>
      </c>
      <c r="B41" s="4">
        <v>11201100</v>
      </c>
      <c r="C41" s="22">
        <v>12</v>
      </c>
      <c r="D41" s="4">
        <v>1</v>
      </c>
      <c r="E41" s="4">
        <v>10</v>
      </c>
      <c r="F41" s="4" t="s">
        <v>48</v>
      </c>
      <c r="G41" s="4" t="s">
        <v>1102</v>
      </c>
    </row>
    <row r="42" spans="1:7" x14ac:dyDescent="0.45">
      <c r="A42" s="4" t="str">
        <f t="shared" si="1"/>
        <v/>
      </c>
      <c r="B42" s="4">
        <v>11201110</v>
      </c>
      <c r="C42" s="22">
        <v>12</v>
      </c>
      <c r="D42" s="4">
        <v>1</v>
      </c>
      <c r="E42" s="4">
        <v>11</v>
      </c>
      <c r="F42" s="4" t="s">
        <v>48</v>
      </c>
      <c r="G42" s="4" t="s">
        <v>1103</v>
      </c>
    </row>
    <row r="43" spans="1:7" x14ac:dyDescent="0.45">
      <c r="A43" s="4" t="str">
        <f t="shared" si="1"/>
        <v/>
      </c>
      <c r="B43" s="4">
        <v>11201120</v>
      </c>
      <c r="C43" s="22">
        <v>12</v>
      </c>
      <c r="D43" s="4">
        <v>1</v>
      </c>
      <c r="E43" s="4">
        <v>12</v>
      </c>
      <c r="F43" s="4" t="s">
        <v>48</v>
      </c>
      <c r="G43" s="4" t="s">
        <v>1104</v>
      </c>
    </row>
    <row r="44" spans="1:7" x14ac:dyDescent="0.45">
      <c r="A44" s="4" t="str">
        <f t="shared" ref="A44:A110" si="2">IF(F44=F43,"",B44)</f>
        <v/>
      </c>
      <c r="B44" s="4">
        <v>11201130</v>
      </c>
      <c r="C44" s="22">
        <v>12</v>
      </c>
      <c r="D44" s="4">
        <v>1</v>
      </c>
      <c r="E44" s="4">
        <v>13</v>
      </c>
      <c r="F44" s="4" t="s">
        <v>48</v>
      </c>
      <c r="G44" s="4" t="s">
        <v>1105</v>
      </c>
    </row>
    <row r="45" spans="1:7" x14ac:dyDescent="0.45">
      <c r="A45" s="4" t="str">
        <f t="shared" ref="A45" si="3">IF(F45=F44,"",B45)</f>
        <v/>
      </c>
      <c r="B45" s="4">
        <v>11201140</v>
      </c>
      <c r="C45" s="22">
        <v>12</v>
      </c>
      <c r="D45" s="4">
        <v>1</v>
      </c>
      <c r="E45" s="4">
        <v>14</v>
      </c>
      <c r="F45" s="4" t="s">
        <v>48</v>
      </c>
      <c r="G45" s="4" t="s">
        <v>1106</v>
      </c>
    </row>
    <row r="46" spans="1:7" x14ac:dyDescent="0.45">
      <c r="A46" s="4" t="str">
        <f t="shared" si="2"/>
        <v/>
      </c>
      <c r="B46" s="4">
        <v>11201150</v>
      </c>
      <c r="C46" s="22">
        <v>12</v>
      </c>
      <c r="D46" s="4">
        <v>1</v>
      </c>
      <c r="E46" s="4">
        <v>15</v>
      </c>
      <c r="F46" s="4" t="s">
        <v>48</v>
      </c>
      <c r="G46" s="4" t="s">
        <v>1107</v>
      </c>
    </row>
    <row r="47" spans="1:7" x14ac:dyDescent="0.45">
      <c r="A47" s="4" t="str">
        <f t="shared" si="2"/>
        <v/>
      </c>
      <c r="B47" s="4">
        <v>11301010</v>
      </c>
      <c r="C47" s="22">
        <v>13</v>
      </c>
      <c r="D47" s="4">
        <v>1</v>
      </c>
      <c r="E47" s="4">
        <v>1</v>
      </c>
      <c r="F47" s="4" t="s">
        <v>48</v>
      </c>
      <c r="G47" s="4" t="s">
        <v>1108</v>
      </c>
    </row>
    <row r="48" spans="1:7" x14ac:dyDescent="0.45">
      <c r="A48" s="4" t="str">
        <f t="shared" si="2"/>
        <v/>
      </c>
      <c r="B48" s="4">
        <v>11301020</v>
      </c>
      <c r="C48" s="22">
        <v>13</v>
      </c>
      <c r="D48" s="4">
        <v>1</v>
      </c>
      <c r="E48" s="4">
        <v>2</v>
      </c>
      <c r="F48" s="4" t="s">
        <v>48</v>
      </c>
      <c r="G48" s="4" t="s">
        <v>1109</v>
      </c>
    </row>
    <row r="49" spans="1:7" x14ac:dyDescent="0.45">
      <c r="A49" s="4" t="str">
        <f t="shared" si="2"/>
        <v/>
      </c>
      <c r="B49" s="4">
        <v>11301030</v>
      </c>
      <c r="C49" s="22">
        <v>13</v>
      </c>
      <c r="D49" s="4">
        <v>1</v>
      </c>
      <c r="E49" s="4">
        <v>3</v>
      </c>
      <c r="F49" s="4" t="s">
        <v>48</v>
      </c>
      <c r="G49" s="4" t="s">
        <v>1110</v>
      </c>
    </row>
    <row r="50" spans="1:7" x14ac:dyDescent="0.45">
      <c r="A50" s="4" t="str">
        <f>IF(F50=F48,"",B50)</f>
        <v/>
      </c>
      <c r="B50" s="4">
        <v>11301040</v>
      </c>
      <c r="C50" s="22">
        <v>13</v>
      </c>
      <c r="D50" s="4">
        <v>1</v>
      </c>
      <c r="E50" s="4">
        <v>4</v>
      </c>
      <c r="F50" s="4" t="s">
        <v>48</v>
      </c>
      <c r="G50" s="4" t="s">
        <v>1111</v>
      </c>
    </row>
    <row r="51" spans="1:7" x14ac:dyDescent="0.45">
      <c r="A51" s="4" t="str">
        <f>IF(F51=F49,"",B51)</f>
        <v/>
      </c>
      <c r="B51" s="4">
        <v>11301050</v>
      </c>
      <c r="C51" s="22">
        <v>13</v>
      </c>
      <c r="D51" s="4">
        <v>1</v>
      </c>
      <c r="E51" s="4">
        <v>5</v>
      </c>
      <c r="F51" s="4" t="s">
        <v>48</v>
      </c>
      <c r="G51" s="4" t="s">
        <v>1112</v>
      </c>
    </row>
    <row r="52" spans="1:7" x14ac:dyDescent="0.45">
      <c r="A52" s="4" t="str">
        <f t="shared" si="2"/>
        <v/>
      </c>
      <c r="B52" s="4">
        <v>11301060</v>
      </c>
      <c r="C52" s="22">
        <v>13</v>
      </c>
      <c r="D52" s="4">
        <v>1</v>
      </c>
      <c r="E52" s="4">
        <v>6</v>
      </c>
      <c r="F52" s="4" t="s">
        <v>48</v>
      </c>
      <c r="G52" s="4" t="s">
        <v>1113</v>
      </c>
    </row>
    <row r="53" spans="1:7" x14ac:dyDescent="0.45">
      <c r="A53" s="4" t="str">
        <f t="shared" si="2"/>
        <v/>
      </c>
      <c r="B53" s="4">
        <v>11301070</v>
      </c>
      <c r="C53" s="22">
        <v>13</v>
      </c>
      <c r="D53" s="4">
        <v>1</v>
      </c>
      <c r="E53" s="4">
        <v>7</v>
      </c>
      <c r="F53" s="4" t="s">
        <v>48</v>
      </c>
      <c r="G53" s="4" t="s">
        <v>1114</v>
      </c>
    </row>
    <row r="54" spans="1:7" x14ac:dyDescent="0.45">
      <c r="A54" s="4" t="str">
        <f t="shared" si="2"/>
        <v/>
      </c>
      <c r="B54" s="4">
        <v>11301080</v>
      </c>
      <c r="C54" s="22">
        <v>13</v>
      </c>
      <c r="D54" s="4">
        <v>1</v>
      </c>
      <c r="E54" s="4">
        <v>8</v>
      </c>
      <c r="F54" s="4" t="s">
        <v>48</v>
      </c>
      <c r="G54" s="4" t="s">
        <v>1115</v>
      </c>
    </row>
    <row r="55" spans="1:7" x14ac:dyDescent="0.45">
      <c r="A55" s="4" t="str">
        <f t="shared" si="2"/>
        <v/>
      </c>
      <c r="B55" s="4">
        <v>11301090</v>
      </c>
      <c r="C55" s="22">
        <v>13</v>
      </c>
      <c r="D55" s="4">
        <v>1</v>
      </c>
      <c r="E55" s="4">
        <v>9</v>
      </c>
      <c r="F55" s="4" t="s">
        <v>48</v>
      </c>
      <c r="G55" s="4" t="s">
        <v>1116</v>
      </c>
    </row>
    <row r="56" spans="1:7" x14ac:dyDescent="0.45">
      <c r="A56" s="4" t="str">
        <f t="shared" ref="A56" si="4">IF(F56=F55,"",B56)</f>
        <v/>
      </c>
      <c r="B56" s="4">
        <v>11301100</v>
      </c>
      <c r="C56" s="22">
        <v>13</v>
      </c>
      <c r="D56" s="4">
        <v>1</v>
      </c>
      <c r="E56" s="4">
        <v>10</v>
      </c>
      <c r="F56" s="4" t="s">
        <v>48</v>
      </c>
      <c r="G56" s="4" t="s">
        <v>1098</v>
      </c>
    </row>
    <row r="57" spans="1:7" x14ac:dyDescent="0.45">
      <c r="A57" s="4" t="str">
        <f>IF(F57=F55,"",B57)</f>
        <v/>
      </c>
      <c r="B57" s="4">
        <v>11301110</v>
      </c>
      <c r="C57" s="22">
        <v>13</v>
      </c>
      <c r="D57" s="4">
        <v>1</v>
      </c>
      <c r="E57" s="4">
        <v>11</v>
      </c>
      <c r="F57" s="4" t="s">
        <v>48</v>
      </c>
      <c r="G57" s="4" t="s">
        <v>1117</v>
      </c>
    </row>
    <row r="58" spans="1:7" x14ac:dyDescent="0.45">
      <c r="A58" s="4" t="str">
        <f t="shared" si="2"/>
        <v/>
      </c>
      <c r="B58" s="4">
        <v>11401010</v>
      </c>
      <c r="C58" s="22">
        <v>14</v>
      </c>
      <c r="D58" s="4">
        <v>1</v>
      </c>
      <c r="E58" s="4">
        <v>1</v>
      </c>
      <c r="F58" s="4" t="s">
        <v>48</v>
      </c>
      <c r="G58" s="4" t="s">
        <v>1118</v>
      </c>
    </row>
    <row r="59" spans="1:7" x14ac:dyDescent="0.45">
      <c r="A59" s="4" t="str">
        <f t="shared" si="2"/>
        <v/>
      </c>
      <c r="B59" s="4">
        <v>11401020</v>
      </c>
      <c r="C59" s="22">
        <v>14</v>
      </c>
      <c r="D59" s="4">
        <v>1</v>
      </c>
      <c r="E59" s="4">
        <v>2</v>
      </c>
      <c r="F59" s="4" t="s">
        <v>48</v>
      </c>
      <c r="G59" s="4" t="s">
        <v>1119</v>
      </c>
    </row>
    <row r="60" spans="1:7" x14ac:dyDescent="0.45">
      <c r="A60" s="4" t="str">
        <f t="shared" si="2"/>
        <v/>
      </c>
      <c r="B60" s="4">
        <v>11401030</v>
      </c>
      <c r="C60" s="22">
        <v>14</v>
      </c>
      <c r="D60" s="4">
        <v>1</v>
      </c>
      <c r="E60" s="4">
        <v>3</v>
      </c>
      <c r="F60" s="4" t="s">
        <v>48</v>
      </c>
      <c r="G60" s="4" t="s">
        <v>1120</v>
      </c>
    </row>
    <row r="61" spans="1:7" x14ac:dyDescent="0.45">
      <c r="A61" s="4" t="str">
        <f t="shared" si="2"/>
        <v/>
      </c>
      <c r="B61" s="4">
        <v>11401040</v>
      </c>
      <c r="C61" s="22">
        <v>14</v>
      </c>
      <c r="D61" s="4">
        <v>1</v>
      </c>
      <c r="E61" s="4">
        <v>4</v>
      </c>
      <c r="F61" s="4" t="s">
        <v>48</v>
      </c>
      <c r="G61" s="4" t="s">
        <v>1121</v>
      </c>
    </row>
    <row r="62" spans="1:7" x14ac:dyDescent="0.45">
      <c r="A62" s="4" t="str">
        <f t="shared" si="2"/>
        <v/>
      </c>
      <c r="B62" s="4">
        <v>11401050</v>
      </c>
      <c r="C62" s="22">
        <v>14</v>
      </c>
      <c r="D62" s="4">
        <v>1</v>
      </c>
      <c r="E62" s="4">
        <v>5</v>
      </c>
      <c r="F62" s="4" t="s">
        <v>48</v>
      </c>
      <c r="G62" s="4" t="s">
        <v>1122</v>
      </c>
    </row>
    <row r="63" spans="1:7" x14ac:dyDescent="0.45">
      <c r="A63" s="4" t="str">
        <f t="shared" si="2"/>
        <v/>
      </c>
      <c r="B63" s="4">
        <v>11401060</v>
      </c>
      <c r="C63" s="22">
        <v>14</v>
      </c>
      <c r="D63" s="4">
        <v>1</v>
      </c>
      <c r="E63" s="4">
        <v>6</v>
      </c>
      <c r="F63" s="4" t="s">
        <v>48</v>
      </c>
      <c r="G63" s="4" t="s">
        <v>1123</v>
      </c>
    </row>
    <row r="64" spans="1:7" x14ac:dyDescent="0.45">
      <c r="A64" s="4" t="str">
        <f t="shared" ref="A64" si="5">IF(F64=F63,"",B64)</f>
        <v/>
      </c>
      <c r="B64" s="4">
        <v>11401070</v>
      </c>
      <c r="C64" s="22">
        <v>14</v>
      </c>
      <c r="D64" s="4">
        <v>1</v>
      </c>
      <c r="E64" s="4">
        <v>7</v>
      </c>
      <c r="F64" s="4" t="s">
        <v>48</v>
      </c>
      <c r="G64" s="4" t="s">
        <v>1124</v>
      </c>
    </row>
    <row r="65" spans="1:7" x14ac:dyDescent="0.45">
      <c r="A65" s="4" t="str">
        <f>IF(F65=F63,"",B65)</f>
        <v/>
      </c>
      <c r="B65" s="4">
        <v>11401080</v>
      </c>
      <c r="C65" s="22">
        <v>14</v>
      </c>
      <c r="D65" s="4">
        <v>1</v>
      </c>
      <c r="E65" s="4">
        <v>8</v>
      </c>
      <c r="F65" s="4" t="s">
        <v>48</v>
      </c>
      <c r="G65" s="4" t="s">
        <v>1125</v>
      </c>
    </row>
    <row r="66" spans="1:7" x14ac:dyDescent="0.45">
      <c r="A66" s="4" t="str">
        <f t="shared" si="2"/>
        <v/>
      </c>
      <c r="B66" s="4">
        <v>11401090</v>
      </c>
      <c r="C66" s="22">
        <v>14</v>
      </c>
      <c r="D66" s="4">
        <v>1</v>
      </c>
      <c r="E66" s="4">
        <v>9</v>
      </c>
      <c r="F66" s="4" t="s">
        <v>48</v>
      </c>
      <c r="G66" s="4" t="s">
        <v>1126</v>
      </c>
    </row>
    <row r="67" spans="1:7" x14ac:dyDescent="0.45">
      <c r="A67" s="4" t="str">
        <f t="shared" si="2"/>
        <v/>
      </c>
      <c r="B67" s="4">
        <v>11401100</v>
      </c>
      <c r="C67" s="22">
        <v>14</v>
      </c>
      <c r="D67" s="4">
        <v>1</v>
      </c>
      <c r="E67" s="4">
        <v>10</v>
      </c>
      <c r="F67" s="4" t="s">
        <v>48</v>
      </c>
      <c r="G67" s="4" t="s">
        <v>1127</v>
      </c>
    </row>
    <row r="68" spans="1:7" x14ac:dyDescent="0.45">
      <c r="A68" s="4" t="str">
        <f t="shared" si="2"/>
        <v/>
      </c>
      <c r="B68" s="4">
        <v>11501010</v>
      </c>
      <c r="C68" s="22">
        <v>15</v>
      </c>
      <c r="D68" s="4">
        <v>1</v>
      </c>
      <c r="E68" s="4">
        <v>1</v>
      </c>
      <c r="F68" s="4" t="s">
        <v>48</v>
      </c>
      <c r="G68" s="4" t="s">
        <v>1128</v>
      </c>
    </row>
    <row r="69" spans="1:7" x14ac:dyDescent="0.45">
      <c r="A69" s="4" t="str">
        <f t="shared" si="2"/>
        <v/>
      </c>
      <c r="B69" s="4">
        <v>11501020</v>
      </c>
      <c r="C69" s="22">
        <v>15</v>
      </c>
      <c r="D69" s="4">
        <v>1</v>
      </c>
      <c r="E69" s="4">
        <v>2</v>
      </c>
      <c r="F69" s="4" t="s">
        <v>48</v>
      </c>
      <c r="G69" s="4" t="s">
        <v>1129</v>
      </c>
    </row>
    <row r="70" spans="1:7" x14ac:dyDescent="0.45">
      <c r="A70" s="4" t="str">
        <f t="shared" si="2"/>
        <v/>
      </c>
      <c r="B70" s="4">
        <v>11501030</v>
      </c>
      <c r="C70" s="22">
        <v>15</v>
      </c>
      <c r="D70" s="4">
        <v>1</v>
      </c>
      <c r="E70" s="4">
        <v>3</v>
      </c>
      <c r="F70" s="4" t="s">
        <v>48</v>
      </c>
      <c r="G70" s="4" t="s">
        <v>1130</v>
      </c>
    </row>
    <row r="71" spans="1:7" x14ac:dyDescent="0.45">
      <c r="A71" s="4" t="str">
        <f t="shared" si="2"/>
        <v/>
      </c>
      <c r="B71" s="4">
        <v>11501040</v>
      </c>
      <c r="C71" s="22">
        <v>15</v>
      </c>
      <c r="D71" s="4">
        <v>1</v>
      </c>
      <c r="E71" s="4">
        <v>4</v>
      </c>
      <c r="F71" s="4" t="s">
        <v>48</v>
      </c>
      <c r="G71" s="4" t="s">
        <v>1131</v>
      </c>
    </row>
    <row r="72" spans="1:7" x14ac:dyDescent="0.45">
      <c r="A72" s="4" t="str">
        <f t="shared" si="2"/>
        <v/>
      </c>
      <c r="B72" s="4">
        <v>11501050</v>
      </c>
      <c r="C72" s="22">
        <v>15</v>
      </c>
      <c r="D72" s="4">
        <v>1</v>
      </c>
      <c r="E72" s="4">
        <v>5</v>
      </c>
      <c r="F72" s="4" t="s">
        <v>48</v>
      </c>
      <c r="G72" s="4" t="s">
        <v>1132</v>
      </c>
    </row>
    <row r="73" spans="1:7" x14ac:dyDescent="0.45">
      <c r="A73" s="4" t="str">
        <f t="shared" si="2"/>
        <v/>
      </c>
      <c r="B73" s="4">
        <v>11501060</v>
      </c>
      <c r="C73" s="22">
        <v>15</v>
      </c>
      <c r="D73" s="4">
        <v>1</v>
      </c>
      <c r="E73" s="4">
        <v>6</v>
      </c>
      <c r="F73" s="4" t="s">
        <v>48</v>
      </c>
      <c r="G73" s="4" t="s">
        <v>1133</v>
      </c>
    </row>
    <row r="74" spans="1:7" x14ac:dyDescent="0.45">
      <c r="A74" s="4" t="str">
        <f t="shared" si="2"/>
        <v/>
      </c>
      <c r="B74" s="4">
        <v>11501070</v>
      </c>
      <c r="C74" s="22">
        <v>15</v>
      </c>
      <c r="D74" s="4">
        <v>1</v>
      </c>
      <c r="E74" s="4">
        <v>7</v>
      </c>
      <c r="F74" s="4" t="s">
        <v>48</v>
      </c>
      <c r="G74" s="4" t="s">
        <v>1134</v>
      </c>
    </row>
    <row r="75" spans="1:7" x14ac:dyDescent="0.45">
      <c r="A75" s="4" t="str">
        <f t="shared" si="2"/>
        <v/>
      </c>
      <c r="B75" s="4">
        <v>11501080</v>
      </c>
      <c r="C75" s="22">
        <v>15</v>
      </c>
      <c r="D75" s="4">
        <v>1</v>
      </c>
      <c r="E75" s="4">
        <v>8</v>
      </c>
      <c r="F75" s="4" t="s">
        <v>48</v>
      </c>
      <c r="G75" s="4" t="s">
        <v>1135</v>
      </c>
    </row>
    <row r="76" spans="1:7" x14ac:dyDescent="0.45">
      <c r="A76" s="4" t="str">
        <f t="shared" si="2"/>
        <v/>
      </c>
      <c r="B76" s="4">
        <v>11501090</v>
      </c>
      <c r="C76" s="22">
        <v>15</v>
      </c>
      <c r="D76" s="4">
        <v>1</v>
      </c>
      <c r="E76" s="4">
        <v>9</v>
      </c>
      <c r="F76" s="4" t="s">
        <v>48</v>
      </c>
      <c r="G76" s="4" t="s">
        <v>1136</v>
      </c>
    </row>
    <row r="77" spans="1:7" x14ac:dyDescent="0.45">
      <c r="A77" s="4" t="str">
        <f t="shared" si="2"/>
        <v/>
      </c>
      <c r="B77" s="4">
        <v>11601010</v>
      </c>
      <c r="C77" s="22">
        <v>16</v>
      </c>
      <c r="D77" s="4">
        <v>1</v>
      </c>
      <c r="E77" s="4">
        <v>1</v>
      </c>
      <c r="F77" s="4" t="s">
        <v>48</v>
      </c>
      <c r="G77" s="4" t="s">
        <v>1137</v>
      </c>
    </row>
    <row r="78" spans="1:7" x14ac:dyDescent="0.45">
      <c r="A78" s="4" t="str">
        <f t="shared" si="2"/>
        <v/>
      </c>
      <c r="B78" s="4">
        <v>11601020</v>
      </c>
      <c r="C78" s="22">
        <v>16</v>
      </c>
      <c r="D78" s="4">
        <v>1</v>
      </c>
      <c r="E78" s="4">
        <v>2</v>
      </c>
      <c r="F78" s="4" t="s">
        <v>48</v>
      </c>
      <c r="G78" s="4" t="s">
        <v>1138</v>
      </c>
    </row>
    <row r="79" spans="1:7" x14ac:dyDescent="0.45">
      <c r="A79" s="4" t="str">
        <f t="shared" si="2"/>
        <v/>
      </c>
      <c r="B79" s="4">
        <v>11601030</v>
      </c>
      <c r="C79" s="22">
        <v>16</v>
      </c>
      <c r="D79" s="4">
        <v>1</v>
      </c>
      <c r="E79" s="4">
        <v>3</v>
      </c>
      <c r="F79" s="4" t="s">
        <v>48</v>
      </c>
      <c r="G79" s="4" t="s">
        <v>1139</v>
      </c>
    </row>
    <row r="80" spans="1:7" x14ac:dyDescent="0.45">
      <c r="A80" s="4" t="str">
        <f t="shared" si="2"/>
        <v/>
      </c>
      <c r="B80" s="4">
        <v>11601040</v>
      </c>
      <c r="C80" s="22">
        <v>16</v>
      </c>
      <c r="D80" s="4">
        <v>1</v>
      </c>
      <c r="E80" s="4">
        <v>4</v>
      </c>
      <c r="F80" s="4" t="s">
        <v>48</v>
      </c>
      <c r="G80" s="4" t="s">
        <v>1140</v>
      </c>
    </row>
    <row r="81" spans="1:7" x14ac:dyDescent="0.45">
      <c r="A81" s="4" t="str">
        <f t="shared" si="2"/>
        <v/>
      </c>
      <c r="B81" s="4">
        <v>11601050</v>
      </c>
      <c r="C81" s="22">
        <v>16</v>
      </c>
      <c r="D81" s="4">
        <v>1</v>
      </c>
      <c r="E81" s="4">
        <v>5</v>
      </c>
      <c r="F81" s="4" t="s">
        <v>48</v>
      </c>
      <c r="G81" s="4" t="s">
        <v>1141</v>
      </c>
    </row>
    <row r="82" spans="1:7" x14ac:dyDescent="0.45">
      <c r="A82" s="4" t="str">
        <f t="shared" si="2"/>
        <v/>
      </c>
      <c r="B82" s="4">
        <v>11601060</v>
      </c>
      <c r="C82" s="22">
        <v>16</v>
      </c>
      <c r="D82" s="4">
        <v>1</v>
      </c>
      <c r="E82" s="4">
        <v>6</v>
      </c>
      <c r="F82" s="4" t="s">
        <v>48</v>
      </c>
      <c r="G82" s="4" t="s">
        <v>1142</v>
      </c>
    </row>
    <row r="83" spans="1:7" x14ac:dyDescent="0.45">
      <c r="A83" s="4" t="str">
        <f t="shared" si="2"/>
        <v/>
      </c>
      <c r="B83" s="4">
        <v>11601070</v>
      </c>
      <c r="C83" s="22">
        <v>16</v>
      </c>
      <c r="D83" s="4">
        <v>1</v>
      </c>
      <c r="E83" s="4">
        <v>7</v>
      </c>
      <c r="F83" s="4" t="s">
        <v>48</v>
      </c>
      <c r="G83" s="4" t="s">
        <v>1143</v>
      </c>
    </row>
    <row r="84" spans="1:7" x14ac:dyDescent="0.45">
      <c r="A84" s="4" t="str">
        <f t="shared" si="2"/>
        <v/>
      </c>
      <c r="B84" s="4">
        <v>11601080</v>
      </c>
      <c r="C84" s="22">
        <v>16</v>
      </c>
      <c r="D84" s="4">
        <v>1</v>
      </c>
      <c r="E84" s="4">
        <v>8</v>
      </c>
      <c r="F84" s="4" t="s">
        <v>48</v>
      </c>
      <c r="G84" s="4" t="s">
        <v>1144</v>
      </c>
    </row>
    <row r="85" spans="1:7" x14ac:dyDescent="0.45">
      <c r="A85" s="4" t="str">
        <f t="shared" si="2"/>
        <v/>
      </c>
      <c r="B85" s="4">
        <v>11601090</v>
      </c>
      <c r="C85" s="22">
        <v>16</v>
      </c>
      <c r="D85" s="4">
        <v>1</v>
      </c>
      <c r="E85" s="4">
        <v>9</v>
      </c>
      <c r="F85" s="4" t="s">
        <v>48</v>
      </c>
      <c r="G85" s="4" t="s">
        <v>1145</v>
      </c>
    </row>
    <row r="86" spans="1:7" x14ac:dyDescent="0.45">
      <c r="A86" s="4" t="str">
        <f t="shared" si="2"/>
        <v/>
      </c>
      <c r="B86" s="4">
        <v>11601100</v>
      </c>
      <c r="C86" s="22">
        <v>16</v>
      </c>
      <c r="D86" s="4">
        <v>1</v>
      </c>
      <c r="E86" s="4">
        <v>10</v>
      </c>
      <c r="F86" s="4" t="s">
        <v>48</v>
      </c>
      <c r="G86" s="4" t="s">
        <v>1146</v>
      </c>
    </row>
    <row r="87" spans="1:7" x14ac:dyDescent="0.45">
      <c r="A87" s="4" t="str">
        <f t="shared" si="2"/>
        <v/>
      </c>
      <c r="B87" s="4">
        <v>11601110</v>
      </c>
      <c r="C87" s="22">
        <v>16</v>
      </c>
      <c r="D87" s="4">
        <v>1</v>
      </c>
      <c r="E87" s="4">
        <v>11</v>
      </c>
      <c r="F87" s="4" t="s">
        <v>48</v>
      </c>
      <c r="G87" s="4" t="s">
        <v>1147</v>
      </c>
    </row>
    <row r="88" spans="1:7" x14ac:dyDescent="0.45">
      <c r="A88" s="4" t="str">
        <f t="shared" si="2"/>
        <v/>
      </c>
      <c r="B88" s="4">
        <v>11601120</v>
      </c>
      <c r="C88" s="22">
        <v>16</v>
      </c>
      <c r="D88" s="4">
        <v>1</v>
      </c>
      <c r="E88" s="4">
        <v>12</v>
      </c>
      <c r="F88" s="4" t="s">
        <v>48</v>
      </c>
      <c r="G88" s="4" t="s">
        <v>1148</v>
      </c>
    </row>
    <row r="89" spans="1:7" x14ac:dyDescent="0.45">
      <c r="A89" s="4" t="str">
        <f t="shared" si="2"/>
        <v/>
      </c>
      <c r="B89" s="4">
        <v>11701010</v>
      </c>
      <c r="C89" s="22">
        <v>17</v>
      </c>
      <c r="D89" s="4">
        <v>1</v>
      </c>
      <c r="E89" s="4">
        <v>1</v>
      </c>
      <c r="F89" s="4" t="s">
        <v>48</v>
      </c>
      <c r="G89" s="4" t="s">
        <v>1149</v>
      </c>
    </row>
    <row r="90" spans="1:7" x14ac:dyDescent="0.45">
      <c r="A90" s="4" t="str">
        <f t="shared" si="2"/>
        <v/>
      </c>
      <c r="B90" s="4">
        <v>11701020</v>
      </c>
      <c r="C90" s="22">
        <v>17</v>
      </c>
      <c r="D90" s="4">
        <v>1</v>
      </c>
      <c r="E90" s="4">
        <v>2</v>
      </c>
      <c r="F90" s="4" t="s">
        <v>48</v>
      </c>
      <c r="G90" s="4" t="s">
        <v>1150</v>
      </c>
    </row>
    <row r="91" spans="1:7" x14ac:dyDescent="0.45">
      <c r="A91" s="4" t="str">
        <f t="shared" si="2"/>
        <v/>
      </c>
      <c r="B91" s="4">
        <v>11701030</v>
      </c>
      <c r="C91" s="22">
        <v>17</v>
      </c>
      <c r="D91" s="4">
        <v>1</v>
      </c>
      <c r="E91" s="4">
        <v>3</v>
      </c>
      <c r="F91" s="4" t="s">
        <v>48</v>
      </c>
      <c r="G91" s="4" t="s">
        <v>1151</v>
      </c>
    </row>
    <row r="92" spans="1:7" x14ac:dyDescent="0.45">
      <c r="A92" s="4" t="str">
        <f t="shared" si="2"/>
        <v/>
      </c>
      <c r="B92" s="4">
        <v>11701040</v>
      </c>
      <c r="C92" s="22">
        <v>17</v>
      </c>
      <c r="D92" s="4">
        <v>1</v>
      </c>
      <c r="E92" s="4">
        <v>4</v>
      </c>
      <c r="F92" s="4" t="s">
        <v>48</v>
      </c>
      <c r="G92" s="4" t="s">
        <v>1152</v>
      </c>
    </row>
    <row r="93" spans="1:7" x14ac:dyDescent="0.45">
      <c r="A93" s="4" t="str">
        <f t="shared" si="2"/>
        <v/>
      </c>
      <c r="B93" s="4">
        <v>11701050</v>
      </c>
      <c r="C93" s="22">
        <v>17</v>
      </c>
      <c r="D93" s="4">
        <v>1</v>
      </c>
      <c r="E93" s="4">
        <v>5</v>
      </c>
      <c r="F93" s="4" t="s">
        <v>48</v>
      </c>
      <c r="G93" s="4" t="s">
        <v>1153</v>
      </c>
    </row>
    <row r="94" spans="1:7" x14ac:dyDescent="0.45">
      <c r="A94" s="4" t="str">
        <f t="shared" si="2"/>
        <v/>
      </c>
      <c r="B94" s="4">
        <v>11701060</v>
      </c>
      <c r="C94" s="22">
        <v>17</v>
      </c>
      <c r="D94" s="4">
        <v>1</v>
      </c>
      <c r="E94" s="4">
        <v>6</v>
      </c>
      <c r="F94" s="4" t="s">
        <v>48</v>
      </c>
      <c r="G94" s="4" t="s">
        <v>1154</v>
      </c>
    </row>
    <row r="95" spans="1:7" x14ac:dyDescent="0.45">
      <c r="A95" s="4" t="str">
        <f t="shared" si="2"/>
        <v/>
      </c>
      <c r="B95" s="4">
        <v>11701070</v>
      </c>
      <c r="C95" s="22">
        <v>17</v>
      </c>
      <c r="D95" s="4">
        <v>1</v>
      </c>
      <c r="E95" s="4">
        <v>7</v>
      </c>
      <c r="F95" s="4" t="s">
        <v>48</v>
      </c>
      <c r="G95" s="4" t="s">
        <v>1155</v>
      </c>
    </row>
    <row r="96" spans="1:7" x14ac:dyDescent="0.45">
      <c r="A96" s="4" t="str">
        <f t="shared" si="2"/>
        <v/>
      </c>
      <c r="B96" s="4">
        <v>11701080</v>
      </c>
      <c r="C96" s="22">
        <v>17</v>
      </c>
      <c r="D96" s="4">
        <v>1</v>
      </c>
      <c r="E96" s="4">
        <v>8</v>
      </c>
      <c r="F96" s="4" t="s">
        <v>48</v>
      </c>
      <c r="G96" s="4" t="s">
        <v>1156</v>
      </c>
    </row>
    <row r="97" spans="1:7" x14ac:dyDescent="0.45">
      <c r="A97" s="4" t="str">
        <f t="shared" si="2"/>
        <v/>
      </c>
      <c r="B97" s="4">
        <v>11701090</v>
      </c>
      <c r="C97" s="22">
        <v>17</v>
      </c>
      <c r="D97" s="4">
        <v>1</v>
      </c>
      <c r="E97" s="4">
        <v>9</v>
      </c>
      <c r="F97" s="4" t="s">
        <v>48</v>
      </c>
      <c r="G97" s="4" t="s">
        <v>1157</v>
      </c>
    </row>
    <row r="98" spans="1:7" x14ac:dyDescent="0.45">
      <c r="A98" s="4" t="str">
        <f t="shared" si="2"/>
        <v/>
      </c>
      <c r="B98" s="4">
        <v>11701100</v>
      </c>
      <c r="C98" s="22">
        <v>17</v>
      </c>
      <c r="D98" s="4">
        <v>1</v>
      </c>
      <c r="E98" s="4">
        <v>10</v>
      </c>
      <c r="F98" s="4" t="s">
        <v>48</v>
      </c>
      <c r="G98" s="4" t="s">
        <v>1158</v>
      </c>
    </row>
    <row r="99" spans="1:7" x14ac:dyDescent="0.45">
      <c r="A99" s="4" t="str">
        <f>IF(F99=F224,"",B99)</f>
        <v/>
      </c>
      <c r="B99" s="4">
        <v>11801030</v>
      </c>
      <c r="C99" s="22">
        <v>18</v>
      </c>
      <c r="D99" s="4">
        <v>1</v>
      </c>
      <c r="E99" s="4">
        <v>3</v>
      </c>
      <c r="F99" s="4" t="s">
        <v>48</v>
      </c>
      <c r="G99" s="4" t="s">
        <v>1159</v>
      </c>
    </row>
    <row r="100" spans="1:7" x14ac:dyDescent="0.45">
      <c r="A100" s="4" t="str">
        <f t="shared" si="2"/>
        <v/>
      </c>
      <c r="B100" s="4">
        <v>11801040</v>
      </c>
      <c r="C100" s="22">
        <v>18</v>
      </c>
      <c r="D100" s="4">
        <v>1</v>
      </c>
      <c r="E100" s="4">
        <v>4</v>
      </c>
      <c r="F100" s="4" t="s">
        <v>48</v>
      </c>
      <c r="G100" s="4" t="s">
        <v>1160</v>
      </c>
    </row>
    <row r="101" spans="1:7" x14ac:dyDescent="0.45">
      <c r="A101" s="4" t="str">
        <f t="shared" si="2"/>
        <v/>
      </c>
      <c r="B101" s="4">
        <v>11801050</v>
      </c>
      <c r="C101" s="22">
        <v>18</v>
      </c>
      <c r="D101" s="4">
        <v>1</v>
      </c>
      <c r="E101" s="4">
        <v>5</v>
      </c>
      <c r="F101" s="4" t="s">
        <v>48</v>
      </c>
      <c r="G101" s="4" t="s">
        <v>1161</v>
      </c>
    </row>
    <row r="102" spans="1:7" x14ac:dyDescent="0.45">
      <c r="A102" s="4" t="str">
        <f t="shared" si="2"/>
        <v/>
      </c>
      <c r="B102" s="4">
        <v>11801060</v>
      </c>
      <c r="C102" s="22">
        <v>18</v>
      </c>
      <c r="D102" s="4">
        <v>1</v>
      </c>
      <c r="E102" s="4">
        <v>6</v>
      </c>
      <c r="F102" s="4" t="s">
        <v>48</v>
      </c>
      <c r="G102" s="4" t="s">
        <v>1162</v>
      </c>
    </row>
    <row r="103" spans="1:7" x14ac:dyDescent="0.45">
      <c r="A103" s="4" t="str">
        <f t="shared" si="2"/>
        <v/>
      </c>
      <c r="B103" s="4">
        <v>11801070</v>
      </c>
      <c r="C103" s="22">
        <v>18</v>
      </c>
      <c r="D103" s="4">
        <v>1</v>
      </c>
      <c r="E103" s="4">
        <v>7</v>
      </c>
      <c r="F103" s="4" t="s">
        <v>48</v>
      </c>
      <c r="G103" s="4" t="s">
        <v>1163</v>
      </c>
    </row>
    <row r="104" spans="1:7" x14ac:dyDescent="0.45">
      <c r="A104" s="4" t="str">
        <f t="shared" si="2"/>
        <v/>
      </c>
      <c r="B104" s="4">
        <v>11801080</v>
      </c>
      <c r="C104" s="22">
        <v>18</v>
      </c>
      <c r="D104" s="4">
        <v>1</v>
      </c>
      <c r="E104" s="4">
        <v>8</v>
      </c>
      <c r="F104" s="4" t="s">
        <v>48</v>
      </c>
      <c r="G104" s="4" t="s">
        <v>1164</v>
      </c>
    </row>
    <row r="105" spans="1:7" x14ac:dyDescent="0.45">
      <c r="A105" s="4" t="str">
        <f t="shared" si="2"/>
        <v/>
      </c>
      <c r="B105" s="4">
        <v>11801090</v>
      </c>
      <c r="C105" s="22">
        <v>18</v>
      </c>
      <c r="D105" s="4">
        <v>1</v>
      </c>
      <c r="E105" s="4">
        <v>9</v>
      </c>
      <c r="F105" s="4" t="s">
        <v>48</v>
      </c>
      <c r="G105" s="4" t="s">
        <v>1165</v>
      </c>
    </row>
    <row r="106" spans="1:7" x14ac:dyDescent="0.45">
      <c r="A106" s="4"/>
      <c r="B106" s="4">
        <v>11801100</v>
      </c>
      <c r="C106" s="22">
        <v>18</v>
      </c>
      <c r="D106" s="4">
        <v>1</v>
      </c>
      <c r="E106" s="4">
        <v>10</v>
      </c>
      <c r="F106" s="4" t="s">
        <v>48</v>
      </c>
      <c r="G106" s="4" t="s">
        <v>1166</v>
      </c>
    </row>
    <row r="107" spans="1:7" x14ac:dyDescent="0.45">
      <c r="A107" s="4"/>
      <c r="B107" s="4">
        <v>11801110</v>
      </c>
      <c r="C107" s="22">
        <v>18</v>
      </c>
      <c r="D107" s="4">
        <v>1</v>
      </c>
      <c r="E107" s="4">
        <v>11</v>
      </c>
      <c r="F107" s="4" t="s">
        <v>48</v>
      </c>
      <c r="G107" s="4" t="s">
        <v>1167</v>
      </c>
    </row>
    <row r="108" spans="1:7" x14ac:dyDescent="0.45">
      <c r="A108" s="4"/>
      <c r="B108" s="20">
        <v>11901010</v>
      </c>
      <c r="C108" s="20">
        <v>19</v>
      </c>
      <c r="D108" s="20">
        <v>1</v>
      </c>
      <c r="E108" s="20">
        <v>1</v>
      </c>
      <c r="G108" s="20" t="s">
        <v>1168</v>
      </c>
    </row>
    <row r="109" spans="1:7" x14ac:dyDescent="0.45">
      <c r="A109" s="4" t="str">
        <f t="shared" si="2"/>
        <v/>
      </c>
      <c r="B109" s="20">
        <v>11901020</v>
      </c>
      <c r="C109" s="20">
        <v>19</v>
      </c>
      <c r="D109" s="20">
        <v>1</v>
      </c>
      <c r="E109" s="20">
        <v>2</v>
      </c>
      <c r="G109" s="20" t="s">
        <v>1169</v>
      </c>
    </row>
    <row r="110" spans="1:7" x14ac:dyDescent="0.45">
      <c r="A110" s="4" t="str">
        <f t="shared" si="2"/>
        <v/>
      </c>
      <c r="B110" s="20">
        <v>11901030</v>
      </c>
      <c r="C110" s="20">
        <v>19</v>
      </c>
      <c r="D110" s="20">
        <v>1</v>
      </c>
      <c r="E110" s="20">
        <v>3</v>
      </c>
      <c r="G110" s="20" t="s">
        <v>1170</v>
      </c>
    </row>
    <row r="111" spans="1:7" x14ac:dyDescent="0.45">
      <c r="A111" s="4" t="str">
        <f t="shared" ref="A111:A174" si="6">IF(F111=F110,"",B111)</f>
        <v/>
      </c>
      <c r="B111" s="20">
        <v>11901040</v>
      </c>
      <c r="C111" s="20">
        <v>19</v>
      </c>
      <c r="D111" s="20">
        <v>1</v>
      </c>
      <c r="E111" s="20">
        <v>4</v>
      </c>
      <c r="G111" s="20" t="s">
        <v>1171</v>
      </c>
    </row>
    <row r="112" spans="1:7" x14ac:dyDescent="0.45">
      <c r="A112" s="4" t="str">
        <f t="shared" si="6"/>
        <v/>
      </c>
      <c r="B112" s="20">
        <v>11901050</v>
      </c>
      <c r="C112" s="20">
        <v>19</v>
      </c>
      <c r="D112" s="20">
        <v>1</v>
      </c>
      <c r="E112" s="20">
        <v>5</v>
      </c>
      <c r="G112" s="20" t="s">
        <v>1172</v>
      </c>
    </row>
    <row r="113" spans="1:7" x14ac:dyDescent="0.45">
      <c r="A113" s="4" t="str">
        <f t="shared" si="6"/>
        <v/>
      </c>
      <c r="B113" s="20">
        <v>11901060</v>
      </c>
      <c r="C113" s="20">
        <v>19</v>
      </c>
      <c r="D113" s="20">
        <v>1</v>
      </c>
      <c r="E113" s="20">
        <v>6</v>
      </c>
      <c r="G113" s="20" t="s">
        <v>1173</v>
      </c>
    </row>
    <row r="114" spans="1:7" x14ac:dyDescent="0.45">
      <c r="A114" s="4" t="str">
        <f t="shared" si="6"/>
        <v/>
      </c>
      <c r="B114" s="20">
        <v>11901070</v>
      </c>
      <c r="C114" s="20">
        <v>19</v>
      </c>
      <c r="D114" s="20">
        <v>1</v>
      </c>
      <c r="E114" s="20">
        <v>7</v>
      </c>
      <c r="G114" s="20" t="s">
        <v>1174</v>
      </c>
    </row>
    <row r="115" spans="1:7" x14ac:dyDescent="0.45">
      <c r="A115" s="4" t="str">
        <f t="shared" si="6"/>
        <v/>
      </c>
      <c r="B115" s="20">
        <v>11901080</v>
      </c>
      <c r="C115" s="20">
        <v>19</v>
      </c>
      <c r="D115" s="20">
        <v>1</v>
      </c>
      <c r="E115" s="20">
        <v>8</v>
      </c>
      <c r="G115" s="20" t="s">
        <v>1175</v>
      </c>
    </row>
    <row r="116" spans="1:7" x14ac:dyDescent="0.45">
      <c r="A116" s="4" t="str">
        <f t="shared" si="6"/>
        <v/>
      </c>
      <c r="B116" s="20">
        <v>11901090</v>
      </c>
      <c r="C116" s="20">
        <v>19</v>
      </c>
      <c r="D116" s="20">
        <v>1</v>
      </c>
      <c r="E116" s="20">
        <v>9</v>
      </c>
      <c r="G116" s="20" t="s">
        <v>1176</v>
      </c>
    </row>
    <row r="117" spans="1:7" x14ac:dyDescent="0.45">
      <c r="A117" s="4" t="str">
        <f t="shared" si="6"/>
        <v/>
      </c>
      <c r="B117" s="20">
        <v>12001010</v>
      </c>
      <c r="C117" s="20">
        <v>20</v>
      </c>
      <c r="D117" s="20">
        <v>1</v>
      </c>
      <c r="E117" s="20">
        <v>1</v>
      </c>
      <c r="G117" s="20" t="s">
        <v>1177</v>
      </c>
    </row>
    <row r="118" spans="1:7" x14ac:dyDescent="0.45">
      <c r="A118" s="4" t="str">
        <f t="shared" si="6"/>
        <v/>
      </c>
      <c r="B118" s="20">
        <v>12001020</v>
      </c>
      <c r="C118" s="20">
        <v>20</v>
      </c>
      <c r="D118" s="20">
        <v>1</v>
      </c>
      <c r="E118" s="20">
        <v>2</v>
      </c>
      <c r="G118" s="20" t="s">
        <v>1178</v>
      </c>
    </row>
    <row r="119" spans="1:7" x14ac:dyDescent="0.45">
      <c r="A119" s="4" t="str">
        <f t="shared" si="6"/>
        <v/>
      </c>
      <c r="B119" s="20">
        <v>12001030</v>
      </c>
      <c r="C119" s="20">
        <v>20</v>
      </c>
      <c r="D119" s="20">
        <v>1</v>
      </c>
      <c r="E119" s="20">
        <v>3</v>
      </c>
      <c r="G119" s="20" t="s">
        <v>1179</v>
      </c>
    </row>
    <row r="120" spans="1:7" x14ac:dyDescent="0.45">
      <c r="A120" s="4" t="str">
        <f t="shared" si="6"/>
        <v/>
      </c>
      <c r="B120" s="20">
        <v>12001040</v>
      </c>
      <c r="C120" s="20">
        <v>20</v>
      </c>
      <c r="D120" s="20">
        <v>1</v>
      </c>
      <c r="E120" s="20">
        <v>4</v>
      </c>
      <c r="G120" s="20" t="s">
        <v>1180</v>
      </c>
    </row>
    <row r="121" spans="1:7" x14ac:dyDescent="0.45">
      <c r="A121" s="4" t="str">
        <f t="shared" si="6"/>
        <v/>
      </c>
      <c r="B121" s="20">
        <v>12001050</v>
      </c>
      <c r="C121" s="20">
        <v>20</v>
      </c>
      <c r="D121" s="20">
        <v>1</v>
      </c>
      <c r="E121" s="20">
        <v>5</v>
      </c>
      <c r="G121" s="20" t="s">
        <v>1181</v>
      </c>
    </row>
    <row r="122" spans="1:7" x14ac:dyDescent="0.45">
      <c r="A122" s="4" t="str">
        <f t="shared" si="6"/>
        <v/>
      </c>
      <c r="B122" s="20">
        <v>12001060</v>
      </c>
      <c r="C122" s="20">
        <v>20</v>
      </c>
      <c r="D122" s="20">
        <v>1</v>
      </c>
      <c r="E122" s="20">
        <v>6</v>
      </c>
      <c r="G122" s="20" t="s">
        <v>1182</v>
      </c>
    </row>
    <row r="123" spans="1:7" x14ac:dyDescent="0.45">
      <c r="A123" s="4" t="str">
        <f t="shared" si="6"/>
        <v/>
      </c>
      <c r="B123" s="20">
        <v>12001070</v>
      </c>
      <c r="C123" s="20">
        <v>20</v>
      </c>
      <c r="D123" s="20">
        <v>1</v>
      </c>
      <c r="E123" s="20">
        <v>7</v>
      </c>
      <c r="G123" s="20" t="s">
        <v>1183</v>
      </c>
    </row>
    <row r="124" spans="1:7" x14ac:dyDescent="0.45">
      <c r="A124" s="4" t="str">
        <f t="shared" si="6"/>
        <v/>
      </c>
      <c r="B124" s="20">
        <v>12001080</v>
      </c>
      <c r="C124" s="20">
        <v>20</v>
      </c>
      <c r="D124" s="20">
        <v>1</v>
      </c>
      <c r="E124" s="20">
        <v>8</v>
      </c>
      <c r="G124" s="20" t="s">
        <v>1184</v>
      </c>
    </row>
    <row r="125" spans="1:7" x14ac:dyDescent="0.45">
      <c r="A125" s="4" t="str">
        <f t="shared" si="6"/>
        <v/>
      </c>
      <c r="B125" s="20">
        <v>12101010</v>
      </c>
      <c r="C125" s="20">
        <v>21</v>
      </c>
      <c r="D125" s="20">
        <v>1</v>
      </c>
      <c r="E125" s="20">
        <v>1</v>
      </c>
      <c r="G125" s="20" t="s">
        <v>1185</v>
      </c>
    </row>
    <row r="126" spans="1:7" x14ac:dyDescent="0.45">
      <c r="A126" s="4" t="str">
        <f t="shared" si="6"/>
        <v/>
      </c>
      <c r="B126" s="20">
        <v>12101020</v>
      </c>
      <c r="C126" s="20">
        <v>21</v>
      </c>
      <c r="D126" s="20">
        <v>1</v>
      </c>
      <c r="E126" s="20">
        <v>2</v>
      </c>
      <c r="G126" s="20" t="s">
        <v>1186</v>
      </c>
    </row>
    <row r="127" spans="1:7" x14ac:dyDescent="0.45">
      <c r="A127" s="4" t="str">
        <f t="shared" si="6"/>
        <v/>
      </c>
      <c r="B127" s="20">
        <v>12101030</v>
      </c>
      <c r="C127" s="20">
        <v>21</v>
      </c>
      <c r="D127" s="20">
        <v>1</v>
      </c>
      <c r="E127" s="20">
        <v>3</v>
      </c>
      <c r="G127" s="20" t="s">
        <v>1187</v>
      </c>
    </row>
    <row r="128" spans="1:7" x14ac:dyDescent="0.45">
      <c r="A128" s="4" t="str">
        <f t="shared" si="6"/>
        <v/>
      </c>
      <c r="B128" s="20">
        <v>12101040</v>
      </c>
      <c r="C128" s="20">
        <v>21</v>
      </c>
      <c r="D128" s="20">
        <v>1</v>
      </c>
      <c r="E128" s="20">
        <v>4</v>
      </c>
      <c r="G128" s="20" t="s">
        <v>1188</v>
      </c>
    </row>
    <row r="129" spans="1:7" x14ac:dyDescent="0.45">
      <c r="A129" s="4" t="str">
        <f t="shared" si="6"/>
        <v/>
      </c>
      <c r="B129" s="20">
        <v>12101050</v>
      </c>
      <c r="C129" s="20">
        <v>21</v>
      </c>
      <c r="D129" s="20">
        <v>1</v>
      </c>
      <c r="E129" s="20">
        <v>5</v>
      </c>
      <c r="G129" s="20" t="s">
        <v>1189</v>
      </c>
    </row>
    <row r="130" spans="1:7" x14ac:dyDescent="0.45">
      <c r="A130" s="4" t="str">
        <f t="shared" si="6"/>
        <v/>
      </c>
      <c r="B130" s="20">
        <v>12101060</v>
      </c>
      <c r="C130" s="20">
        <v>21</v>
      </c>
      <c r="D130" s="20">
        <v>1</v>
      </c>
      <c r="E130" s="20">
        <v>6</v>
      </c>
      <c r="G130" s="20" t="s">
        <v>1190</v>
      </c>
    </row>
    <row r="131" spans="1:7" x14ac:dyDescent="0.45">
      <c r="A131" s="4" t="str">
        <f t="shared" si="6"/>
        <v/>
      </c>
      <c r="B131" s="20">
        <v>12101070</v>
      </c>
      <c r="C131" s="20">
        <v>21</v>
      </c>
      <c r="D131" s="20">
        <v>1</v>
      </c>
      <c r="E131" s="20">
        <v>7</v>
      </c>
      <c r="G131" s="20" t="s">
        <v>1191</v>
      </c>
    </row>
    <row r="132" spans="1:7" x14ac:dyDescent="0.45">
      <c r="A132" s="4" t="str">
        <f t="shared" si="6"/>
        <v/>
      </c>
      <c r="B132" s="20">
        <v>12101080</v>
      </c>
      <c r="C132" s="20">
        <v>21</v>
      </c>
      <c r="D132" s="20">
        <v>1</v>
      </c>
      <c r="E132" s="20">
        <v>8</v>
      </c>
      <c r="G132" s="20" t="s">
        <v>1192</v>
      </c>
    </row>
    <row r="133" spans="1:7" x14ac:dyDescent="0.45">
      <c r="A133" s="4" t="str">
        <f t="shared" si="6"/>
        <v/>
      </c>
      <c r="B133" s="20">
        <v>12101090</v>
      </c>
      <c r="C133" s="20">
        <v>21</v>
      </c>
      <c r="D133" s="20">
        <v>1</v>
      </c>
      <c r="E133" s="20">
        <v>9</v>
      </c>
      <c r="G133" s="20" t="s">
        <v>1193</v>
      </c>
    </row>
    <row r="134" spans="1:7" x14ac:dyDescent="0.45">
      <c r="A134" s="4" t="str">
        <f t="shared" si="6"/>
        <v/>
      </c>
      <c r="B134" s="20">
        <v>12101100</v>
      </c>
      <c r="C134" s="20">
        <v>21</v>
      </c>
      <c r="D134" s="20">
        <v>1</v>
      </c>
      <c r="E134" s="20">
        <v>10</v>
      </c>
      <c r="G134" s="20" t="s">
        <v>1184</v>
      </c>
    </row>
    <row r="135" spans="1:7" x14ac:dyDescent="0.45">
      <c r="A135" s="4" t="str">
        <f>IF(F135=F133,"",B135)</f>
        <v/>
      </c>
      <c r="B135" s="20">
        <v>12201010</v>
      </c>
      <c r="C135" s="20">
        <v>22</v>
      </c>
      <c r="D135" s="20">
        <v>1</v>
      </c>
      <c r="E135" s="20">
        <v>1</v>
      </c>
      <c r="G135" s="20" t="s">
        <v>1194</v>
      </c>
    </row>
    <row r="136" spans="1:7" x14ac:dyDescent="0.45">
      <c r="A136" s="4" t="str">
        <f>IF(F136=F134,"",B136)</f>
        <v/>
      </c>
      <c r="B136" s="20">
        <v>12201020</v>
      </c>
      <c r="C136" s="20">
        <v>22</v>
      </c>
      <c r="D136" s="20">
        <v>1</v>
      </c>
      <c r="E136" s="20">
        <v>2</v>
      </c>
      <c r="G136" s="20" t="s">
        <v>1195</v>
      </c>
    </row>
    <row r="137" spans="1:7" x14ac:dyDescent="0.45">
      <c r="A137" s="4" t="str">
        <f t="shared" si="6"/>
        <v/>
      </c>
      <c r="B137" s="20">
        <v>12201030</v>
      </c>
      <c r="C137" s="20">
        <v>22</v>
      </c>
      <c r="D137" s="20">
        <v>1</v>
      </c>
      <c r="E137" s="20">
        <v>3</v>
      </c>
      <c r="G137" s="20" t="s">
        <v>1196</v>
      </c>
    </row>
    <row r="138" spans="1:7" x14ac:dyDescent="0.45">
      <c r="A138" s="4" t="str">
        <f t="shared" si="6"/>
        <v/>
      </c>
      <c r="B138" s="20">
        <v>12201040</v>
      </c>
      <c r="C138" s="20">
        <v>22</v>
      </c>
      <c r="D138" s="20">
        <v>1</v>
      </c>
      <c r="E138" s="20">
        <v>4</v>
      </c>
      <c r="G138" s="20" t="s">
        <v>1197</v>
      </c>
    </row>
    <row r="139" spans="1:7" x14ac:dyDescent="0.45">
      <c r="A139" s="4" t="str">
        <f t="shared" si="6"/>
        <v/>
      </c>
      <c r="B139" s="20">
        <v>12201050</v>
      </c>
      <c r="C139" s="20">
        <v>22</v>
      </c>
      <c r="D139" s="20">
        <v>1</v>
      </c>
      <c r="E139" s="20">
        <v>5</v>
      </c>
      <c r="G139" s="20" t="s">
        <v>1198</v>
      </c>
    </row>
    <row r="140" spans="1:7" x14ac:dyDescent="0.45">
      <c r="A140" s="4" t="str">
        <f t="shared" si="6"/>
        <v/>
      </c>
      <c r="B140" s="20">
        <v>12201060</v>
      </c>
      <c r="C140" s="20">
        <v>22</v>
      </c>
      <c r="D140" s="20">
        <v>1</v>
      </c>
      <c r="E140" s="20">
        <v>6</v>
      </c>
      <c r="G140" s="20" t="s">
        <v>1199</v>
      </c>
    </row>
    <row r="141" spans="1:7" x14ac:dyDescent="0.45">
      <c r="A141" s="4" t="str">
        <f t="shared" si="6"/>
        <v/>
      </c>
      <c r="B141" s="20">
        <v>12201070</v>
      </c>
      <c r="C141" s="20">
        <v>22</v>
      </c>
      <c r="D141" s="20">
        <v>1</v>
      </c>
      <c r="E141" s="20">
        <v>7</v>
      </c>
      <c r="G141" s="20" t="s">
        <v>1200</v>
      </c>
    </row>
    <row r="142" spans="1:7" x14ac:dyDescent="0.45">
      <c r="A142" s="4" t="str">
        <f t="shared" si="6"/>
        <v/>
      </c>
      <c r="B142" s="20">
        <v>12201080</v>
      </c>
      <c r="C142" s="20">
        <v>22</v>
      </c>
      <c r="D142" s="20">
        <v>1</v>
      </c>
      <c r="E142" s="20">
        <v>8</v>
      </c>
      <c r="G142" s="20" t="s">
        <v>1201</v>
      </c>
    </row>
    <row r="143" spans="1:7" x14ac:dyDescent="0.45">
      <c r="A143" s="4" t="str">
        <f t="shared" si="6"/>
        <v/>
      </c>
      <c r="B143" s="20">
        <v>12201090</v>
      </c>
      <c r="C143" s="20">
        <v>22</v>
      </c>
      <c r="D143" s="20">
        <v>1</v>
      </c>
      <c r="E143" s="20">
        <v>9</v>
      </c>
      <c r="G143" s="20" t="s">
        <v>1202</v>
      </c>
    </row>
    <row r="144" spans="1:7" x14ac:dyDescent="0.45">
      <c r="A144" s="4" t="str">
        <f t="shared" si="6"/>
        <v/>
      </c>
      <c r="B144" s="20">
        <v>12301010</v>
      </c>
      <c r="C144" s="20">
        <v>23</v>
      </c>
      <c r="D144" s="20">
        <v>1</v>
      </c>
      <c r="E144" s="20">
        <v>1</v>
      </c>
      <c r="G144" s="20" t="s">
        <v>1203</v>
      </c>
    </row>
    <row r="145" spans="1:7" x14ac:dyDescent="0.45">
      <c r="A145" s="4" t="str">
        <f t="shared" si="6"/>
        <v/>
      </c>
      <c r="B145" s="20">
        <v>12301020</v>
      </c>
      <c r="C145" s="20">
        <v>23</v>
      </c>
      <c r="D145" s="20">
        <v>1</v>
      </c>
      <c r="E145" s="20">
        <v>2</v>
      </c>
      <c r="G145" s="20" t="s">
        <v>1204</v>
      </c>
    </row>
    <row r="146" spans="1:7" x14ac:dyDescent="0.45">
      <c r="A146" s="4" t="str">
        <f t="shared" si="6"/>
        <v/>
      </c>
      <c r="B146" s="20">
        <v>12301030</v>
      </c>
      <c r="C146" s="20">
        <v>23</v>
      </c>
      <c r="D146" s="20">
        <v>1</v>
      </c>
      <c r="E146" s="20">
        <v>3</v>
      </c>
      <c r="G146" s="20" t="s">
        <v>1205</v>
      </c>
    </row>
    <row r="147" spans="1:7" x14ac:dyDescent="0.45">
      <c r="A147" s="4" t="str">
        <f t="shared" si="6"/>
        <v/>
      </c>
      <c r="B147" s="20">
        <v>12301040</v>
      </c>
      <c r="C147" s="20">
        <v>23</v>
      </c>
      <c r="D147" s="20">
        <v>1</v>
      </c>
      <c r="E147" s="20">
        <v>4</v>
      </c>
      <c r="G147" s="20" t="s">
        <v>1206</v>
      </c>
    </row>
    <row r="148" spans="1:7" x14ac:dyDescent="0.45">
      <c r="A148" s="4" t="str">
        <f t="shared" si="6"/>
        <v/>
      </c>
      <c r="B148" s="20">
        <v>12301050</v>
      </c>
      <c r="C148" s="20">
        <v>23</v>
      </c>
      <c r="D148" s="20">
        <v>1</v>
      </c>
      <c r="E148" s="20">
        <v>5</v>
      </c>
      <c r="G148" s="20" t="s">
        <v>1207</v>
      </c>
    </row>
    <row r="149" spans="1:7" x14ac:dyDescent="0.45">
      <c r="A149" s="4" t="str">
        <f t="shared" si="6"/>
        <v/>
      </c>
      <c r="B149" s="20">
        <v>12301060</v>
      </c>
      <c r="C149" s="20">
        <v>23</v>
      </c>
      <c r="D149" s="20">
        <v>1</v>
      </c>
      <c r="E149" s="20">
        <v>6</v>
      </c>
      <c r="G149" s="20" t="s">
        <v>1208</v>
      </c>
    </row>
    <row r="150" spans="1:7" x14ac:dyDescent="0.45">
      <c r="A150" s="4" t="str">
        <f t="shared" si="6"/>
        <v/>
      </c>
      <c r="B150" s="20">
        <v>12301070</v>
      </c>
      <c r="C150" s="20">
        <v>23</v>
      </c>
      <c r="D150" s="20">
        <v>1</v>
      </c>
      <c r="E150" s="20">
        <v>7</v>
      </c>
      <c r="G150" s="20" t="s">
        <v>1209</v>
      </c>
    </row>
    <row r="151" spans="1:7" x14ac:dyDescent="0.45">
      <c r="A151" s="4" t="str">
        <f t="shared" si="6"/>
        <v/>
      </c>
      <c r="B151" s="20">
        <v>12301080</v>
      </c>
      <c r="C151" s="20">
        <v>23</v>
      </c>
      <c r="D151" s="20">
        <v>1</v>
      </c>
      <c r="E151" s="20">
        <v>8</v>
      </c>
      <c r="G151" s="20" t="s">
        <v>1210</v>
      </c>
    </row>
    <row r="152" spans="1:7" x14ac:dyDescent="0.45">
      <c r="A152" s="4" t="str">
        <f t="shared" si="6"/>
        <v/>
      </c>
      <c r="B152" s="20">
        <v>12301090</v>
      </c>
      <c r="C152" s="20">
        <v>23</v>
      </c>
      <c r="D152" s="20">
        <v>1</v>
      </c>
      <c r="E152" s="20">
        <v>9</v>
      </c>
      <c r="G152" s="20" t="s">
        <v>1211</v>
      </c>
    </row>
    <row r="153" spans="1:7" x14ac:dyDescent="0.45">
      <c r="A153" s="4" t="str">
        <f t="shared" si="6"/>
        <v/>
      </c>
      <c r="B153" s="20">
        <v>12401010</v>
      </c>
      <c r="C153" s="20">
        <v>24</v>
      </c>
      <c r="D153" s="20">
        <v>1</v>
      </c>
      <c r="E153" s="20">
        <v>1</v>
      </c>
      <c r="G153" s="20" t="s">
        <v>1212</v>
      </c>
    </row>
    <row r="154" spans="1:7" x14ac:dyDescent="0.45">
      <c r="A154" s="4" t="str">
        <f t="shared" si="6"/>
        <v/>
      </c>
      <c r="B154" s="20">
        <v>12401020</v>
      </c>
      <c r="C154" s="20">
        <v>24</v>
      </c>
      <c r="D154" s="20">
        <v>1</v>
      </c>
      <c r="E154" s="20">
        <v>2</v>
      </c>
      <c r="G154" s="20" t="s">
        <v>1213</v>
      </c>
    </row>
    <row r="155" spans="1:7" x14ac:dyDescent="0.45">
      <c r="A155" s="4" t="str">
        <f t="shared" si="6"/>
        <v/>
      </c>
      <c r="B155" s="20">
        <v>12401030</v>
      </c>
      <c r="C155" s="20">
        <v>24</v>
      </c>
      <c r="D155" s="20">
        <v>1</v>
      </c>
      <c r="E155" s="20">
        <v>3</v>
      </c>
      <c r="G155" s="20" t="s">
        <v>1214</v>
      </c>
    </row>
    <row r="156" spans="1:7" x14ac:dyDescent="0.45">
      <c r="A156" s="4" t="str">
        <f t="shared" si="6"/>
        <v/>
      </c>
      <c r="B156" s="20">
        <v>12401040</v>
      </c>
      <c r="C156" s="20">
        <v>24</v>
      </c>
      <c r="D156" s="20">
        <v>1</v>
      </c>
      <c r="E156" s="20">
        <v>4</v>
      </c>
      <c r="G156" s="20" t="s">
        <v>1215</v>
      </c>
    </row>
    <row r="157" spans="1:7" x14ac:dyDescent="0.45">
      <c r="A157" s="4" t="str">
        <f t="shared" si="6"/>
        <v/>
      </c>
      <c r="B157" s="20">
        <v>12401050</v>
      </c>
      <c r="C157" s="20">
        <v>24</v>
      </c>
      <c r="D157" s="20">
        <v>1</v>
      </c>
      <c r="E157" s="20">
        <v>5</v>
      </c>
      <c r="G157" s="20" t="s">
        <v>1216</v>
      </c>
    </row>
    <row r="158" spans="1:7" x14ac:dyDescent="0.45">
      <c r="A158" s="4" t="str">
        <f t="shared" si="6"/>
        <v/>
      </c>
      <c r="B158" s="20">
        <v>12401060</v>
      </c>
      <c r="C158" s="20">
        <v>24</v>
      </c>
      <c r="D158" s="20">
        <v>1</v>
      </c>
      <c r="E158" s="20">
        <v>6</v>
      </c>
      <c r="G158" s="20" t="s">
        <v>1217</v>
      </c>
    </row>
    <row r="159" spans="1:7" x14ac:dyDescent="0.45">
      <c r="A159" s="4" t="str">
        <f t="shared" si="6"/>
        <v/>
      </c>
      <c r="B159" s="20">
        <v>12401070</v>
      </c>
      <c r="C159" s="20">
        <v>24</v>
      </c>
      <c r="D159" s="20">
        <v>1</v>
      </c>
      <c r="E159" s="20">
        <v>7</v>
      </c>
      <c r="G159" s="20" t="s">
        <v>1218</v>
      </c>
    </row>
    <row r="160" spans="1:7" x14ac:dyDescent="0.45">
      <c r="A160" s="4" t="str">
        <f t="shared" si="6"/>
        <v/>
      </c>
      <c r="B160" s="20">
        <v>12401080</v>
      </c>
      <c r="C160" s="20">
        <v>24</v>
      </c>
      <c r="D160" s="20">
        <v>1</v>
      </c>
      <c r="E160" s="20">
        <v>8</v>
      </c>
      <c r="G160" s="20" t="s">
        <v>1219</v>
      </c>
    </row>
    <row r="161" spans="1:7" x14ac:dyDescent="0.45">
      <c r="A161" s="4" t="str">
        <f t="shared" si="6"/>
        <v/>
      </c>
      <c r="B161" s="20">
        <v>12401090</v>
      </c>
      <c r="C161" s="20">
        <v>24</v>
      </c>
      <c r="D161" s="20">
        <v>1</v>
      </c>
      <c r="E161" s="20">
        <v>9</v>
      </c>
      <c r="G161" s="20" t="s">
        <v>1220</v>
      </c>
    </row>
    <row r="162" spans="1:7" x14ac:dyDescent="0.45">
      <c r="A162" s="4" t="str">
        <f t="shared" si="6"/>
        <v/>
      </c>
      <c r="B162" s="20">
        <v>12501010</v>
      </c>
      <c r="C162" s="20">
        <v>25</v>
      </c>
      <c r="D162" s="20">
        <v>1</v>
      </c>
      <c r="E162" s="20">
        <v>1</v>
      </c>
      <c r="G162" s="20" t="s">
        <v>1221</v>
      </c>
    </row>
    <row r="163" spans="1:7" x14ac:dyDescent="0.45">
      <c r="A163" s="4" t="str">
        <f t="shared" si="6"/>
        <v/>
      </c>
      <c r="B163" s="20">
        <v>12501020</v>
      </c>
      <c r="C163" s="20">
        <v>25</v>
      </c>
      <c r="D163" s="20">
        <v>1</v>
      </c>
      <c r="E163" s="20">
        <v>2</v>
      </c>
      <c r="G163" s="20" t="s">
        <v>1222</v>
      </c>
    </row>
    <row r="164" spans="1:7" x14ac:dyDescent="0.45">
      <c r="A164" s="4" t="str">
        <f t="shared" si="6"/>
        <v/>
      </c>
      <c r="B164" s="20">
        <v>12501030</v>
      </c>
      <c r="C164" s="20">
        <v>25</v>
      </c>
      <c r="D164" s="20">
        <v>1</v>
      </c>
      <c r="E164" s="20">
        <v>3</v>
      </c>
      <c r="G164" s="20" t="s">
        <v>1223</v>
      </c>
    </row>
    <row r="165" spans="1:7" x14ac:dyDescent="0.45">
      <c r="A165" s="4" t="str">
        <f t="shared" si="6"/>
        <v/>
      </c>
      <c r="B165" s="20">
        <v>12501040</v>
      </c>
      <c r="C165" s="20">
        <v>25</v>
      </c>
      <c r="D165" s="20">
        <v>1</v>
      </c>
      <c r="E165" s="20">
        <v>4</v>
      </c>
      <c r="G165" s="20" t="s">
        <v>1224</v>
      </c>
    </row>
    <row r="166" spans="1:7" x14ac:dyDescent="0.45">
      <c r="A166" s="4" t="str">
        <f t="shared" si="6"/>
        <v/>
      </c>
      <c r="B166" s="20">
        <v>12501050</v>
      </c>
      <c r="C166" s="20">
        <v>25</v>
      </c>
      <c r="D166" s="20">
        <v>1</v>
      </c>
      <c r="E166" s="20">
        <v>5</v>
      </c>
      <c r="G166" s="20" t="s">
        <v>1225</v>
      </c>
    </row>
    <row r="167" spans="1:7" x14ac:dyDescent="0.45">
      <c r="A167" s="4" t="str">
        <f t="shared" si="6"/>
        <v/>
      </c>
      <c r="B167" s="20">
        <v>12501060</v>
      </c>
      <c r="C167" s="20">
        <v>25</v>
      </c>
      <c r="D167" s="20">
        <v>1</v>
      </c>
      <c r="E167" s="20">
        <v>6</v>
      </c>
      <c r="G167" s="20" t="s">
        <v>1226</v>
      </c>
    </row>
    <row r="168" spans="1:7" x14ac:dyDescent="0.45">
      <c r="A168" s="4" t="str">
        <f t="shared" si="6"/>
        <v/>
      </c>
      <c r="B168" s="20">
        <v>12501070</v>
      </c>
      <c r="C168" s="20">
        <v>25</v>
      </c>
      <c r="D168" s="20">
        <v>1</v>
      </c>
      <c r="E168" s="20">
        <v>7</v>
      </c>
      <c r="G168" s="20" t="s">
        <v>1227</v>
      </c>
    </row>
    <row r="169" spans="1:7" x14ac:dyDescent="0.45">
      <c r="A169" s="4" t="str">
        <f t="shared" si="6"/>
        <v/>
      </c>
      <c r="B169" s="20">
        <v>12501080</v>
      </c>
      <c r="C169" s="20">
        <v>25</v>
      </c>
      <c r="D169" s="20">
        <v>1</v>
      </c>
      <c r="E169" s="20">
        <v>8</v>
      </c>
      <c r="G169" s="20" t="s">
        <v>1228</v>
      </c>
    </row>
    <row r="170" spans="1:7" x14ac:dyDescent="0.45">
      <c r="A170" s="4" t="str">
        <f t="shared" si="6"/>
        <v/>
      </c>
      <c r="B170" s="20">
        <v>12501090</v>
      </c>
      <c r="C170" s="20">
        <v>25</v>
      </c>
      <c r="D170" s="20">
        <v>1</v>
      </c>
      <c r="E170" s="20">
        <v>9</v>
      </c>
      <c r="G170" s="20" t="s">
        <v>1229</v>
      </c>
    </row>
    <row r="171" spans="1:7" x14ac:dyDescent="0.45">
      <c r="A171" s="4" t="str">
        <f t="shared" si="6"/>
        <v/>
      </c>
      <c r="B171" s="20">
        <v>12601010</v>
      </c>
      <c r="C171" s="20">
        <v>26</v>
      </c>
      <c r="D171" s="20">
        <v>1</v>
      </c>
      <c r="E171" s="20">
        <v>1</v>
      </c>
      <c r="G171" s="20" t="s">
        <v>1230</v>
      </c>
    </row>
    <row r="172" spans="1:7" x14ac:dyDescent="0.45">
      <c r="A172" s="4" t="str">
        <f t="shared" si="6"/>
        <v/>
      </c>
      <c r="B172" s="20">
        <v>12601020</v>
      </c>
      <c r="C172" s="20">
        <v>26</v>
      </c>
      <c r="D172" s="20">
        <v>1</v>
      </c>
      <c r="E172" s="20">
        <v>2</v>
      </c>
      <c r="G172" s="20" t="s">
        <v>1231</v>
      </c>
    </row>
    <row r="173" spans="1:7" x14ac:dyDescent="0.45">
      <c r="A173" s="4" t="str">
        <f t="shared" si="6"/>
        <v/>
      </c>
      <c r="B173" s="20">
        <v>12601030</v>
      </c>
      <c r="C173" s="20">
        <v>26</v>
      </c>
      <c r="D173" s="20">
        <v>1</v>
      </c>
      <c r="E173" s="20">
        <v>3</v>
      </c>
      <c r="G173" s="20" t="s">
        <v>1232</v>
      </c>
    </row>
    <row r="174" spans="1:7" x14ac:dyDescent="0.45">
      <c r="A174" s="4" t="str">
        <f t="shared" si="6"/>
        <v/>
      </c>
      <c r="B174" s="20">
        <v>12601040</v>
      </c>
      <c r="C174" s="20">
        <v>26</v>
      </c>
      <c r="D174" s="20">
        <v>1</v>
      </c>
      <c r="E174" s="20">
        <v>4</v>
      </c>
      <c r="G174" s="20" t="s">
        <v>1233</v>
      </c>
    </row>
    <row r="175" spans="1:7" x14ac:dyDescent="0.45">
      <c r="A175" s="4" t="str">
        <f t="shared" ref="A175:A177" si="7">IF(F175=F174,"",B175)</f>
        <v/>
      </c>
      <c r="B175" s="20">
        <v>12601050</v>
      </c>
      <c r="C175" s="20">
        <v>26</v>
      </c>
      <c r="D175" s="20">
        <v>1</v>
      </c>
      <c r="E175" s="20">
        <v>5</v>
      </c>
      <c r="G175" s="20" t="s">
        <v>1234</v>
      </c>
    </row>
    <row r="176" spans="1:7" x14ac:dyDescent="0.45">
      <c r="A176" s="4" t="str">
        <f t="shared" si="7"/>
        <v/>
      </c>
      <c r="B176" s="20">
        <v>12601060</v>
      </c>
      <c r="C176" s="20">
        <v>26</v>
      </c>
      <c r="D176" s="20">
        <v>1</v>
      </c>
      <c r="E176" s="20">
        <v>6</v>
      </c>
      <c r="G176" s="20" t="s">
        <v>1235</v>
      </c>
    </row>
    <row r="177" spans="1:7" x14ac:dyDescent="0.45">
      <c r="A177" s="4" t="str">
        <f t="shared" si="7"/>
        <v/>
      </c>
      <c r="B177" s="20">
        <v>12601070</v>
      </c>
      <c r="C177" s="20">
        <v>26</v>
      </c>
      <c r="D177" s="20">
        <v>1</v>
      </c>
      <c r="E177" s="20">
        <v>7</v>
      </c>
      <c r="G177" s="20" t="s">
        <v>1236</v>
      </c>
    </row>
    <row r="178" spans="1:7" x14ac:dyDescent="0.45">
      <c r="B178" s="20">
        <v>12601080</v>
      </c>
      <c r="C178" s="20">
        <v>26</v>
      </c>
      <c r="D178" s="20">
        <v>1</v>
      </c>
      <c r="E178" s="20">
        <v>8</v>
      </c>
      <c r="G178" s="20" t="s">
        <v>1237</v>
      </c>
    </row>
    <row r="179" spans="1:7" x14ac:dyDescent="0.45">
      <c r="B179" s="20">
        <v>12601090</v>
      </c>
      <c r="C179" s="20">
        <v>26</v>
      </c>
      <c r="D179" s="20">
        <v>1</v>
      </c>
      <c r="E179" s="20">
        <v>9</v>
      </c>
      <c r="G179" s="20" t="s">
        <v>1238</v>
      </c>
    </row>
    <row r="180" spans="1:7" x14ac:dyDescent="0.45">
      <c r="B180" s="20">
        <v>12601100</v>
      </c>
      <c r="C180" s="20">
        <v>26</v>
      </c>
      <c r="D180" s="20">
        <v>1</v>
      </c>
      <c r="E180" s="20">
        <v>10</v>
      </c>
      <c r="G180" s="20" t="s">
        <v>1239</v>
      </c>
    </row>
    <row r="181" spans="1:7" x14ac:dyDescent="0.45">
      <c r="B181" s="20">
        <v>12701010</v>
      </c>
      <c r="C181" s="20">
        <v>27</v>
      </c>
      <c r="D181" s="20">
        <v>1</v>
      </c>
      <c r="E181" s="20">
        <v>1</v>
      </c>
      <c r="G181" s="20" t="s">
        <v>1240</v>
      </c>
    </row>
    <row r="182" spans="1:7" x14ac:dyDescent="0.45">
      <c r="B182" s="20">
        <v>12701020</v>
      </c>
      <c r="C182" s="20">
        <v>27</v>
      </c>
      <c r="D182" s="20">
        <v>1</v>
      </c>
      <c r="E182" s="20">
        <v>2</v>
      </c>
      <c r="G182" s="20" t="s">
        <v>1241</v>
      </c>
    </row>
    <row r="183" spans="1:7" x14ac:dyDescent="0.45">
      <c r="B183" s="20">
        <v>12701030</v>
      </c>
      <c r="C183" s="20">
        <v>27</v>
      </c>
      <c r="D183" s="20">
        <v>1</v>
      </c>
      <c r="E183" s="20">
        <v>3</v>
      </c>
      <c r="G183" s="20" t="s">
        <v>1242</v>
      </c>
    </row>
    <row r="184" spans="1:7" x14ac:dyDescent="0.45">
      <c r="B184" s="20">
        <v>12701040</v>
      </c>
      <c r="C184" s="20">
        <v>27</v>
      </c>
      <c r="D184" s="20">
        <v>1</v>
      </c>
      <c r="E184" s="20">
        <v>4</v>
      </c>
      <c r="G184" s="20" t="s">
        <v>1243</v>
      </c>
    </row>
    <row r="185" spans="1:7" x14ac:dyDescent="0.45">
      <c r="B185" s="20">
        <v>12701050</v>
      </c>
      <c r="C185" s="20">
        <v>27</v>
      </c>
      <c r="D185" s="20">
        <v>1</v>
      </c>
      <c r="E185" s="20">
        <v>5</v>
      </c>
      <c r="G185" s="20" t="s">
        <v>1244</v>
      </c>
    </row>
    <row r="186" spans="1:7" x14ac:dyDescent="0.45">
      <c r="B186" s="20">
        <v>12701060</v>
      </c>
      <c r="C186" s="20">
        <v>27</v>
      </c>
      <c r="D186" s="20">
        <v>1</v>
      </c>
      <c r="E186" s="20">
        <v>6</v>
      </c>
      <c r="G186" s="20" t="s">
        <v>1245</v>
      </c>
    </row>
    <row r="187" spans="1:7" x14ac:dyDescent="0.45">
      <c r="B187" s="20">
        <v>12701070</v>
      </c>
      <c r="C187" s="20">
        <v>27</v>
      </c>
      <c r="D187" s="20">
        <v>1</v>
      </c>
      <c r="E187" s="20">
        <v>7</v>
      </c>
      <c r="G187" s="20" t="s">
        <v>1246</v>
      </c>
    </row>
    <row r="188" spans="1:7" x14ac:dyDescent="0.45">
      <c r="B188" s="20">
        <v>12701080</v>
      </c>
      <c r="C188" s="20">
        <v>27</v>
      </c>
      <c r="D188" s="20">
        <v>1</v>
      </c>
      <c r="E188" s="20">
        <v>8</v>
      </c>
      <c r="G188" s="20" t="s">
        <v>1247</v>
      </c>
    </row>
    <row r="189" spans="1:7" x14ac:dyDescent="0.45">
      <c r="B189" s="20">
        <v>12801010</v>
      </c>
      <c r="C189" s="20">
        <v>28</v>
      </c>
      <c r="D189" s="20">
        <v>1</v>
      </c>
      <c r="E189" s="20">
        <v>1</v>
      </c>
      <c r="G189" s="20" t="s">
        <v>1248</v>
      </c>
    </row>
    <row r="190" spans="1:7" x14ac:dyDescent="0.45">
      <c r="B190" s="20">
        <v>12801020</v>
      </c>
      <c r="C190" s="20">
        <v>28</v>
      </c>
      <c r="D190" s="20">
        <v>1</v>
      </c>
      <c r="E190" s="20">
        <v>2</v>
      </c>
      <c r="G190" s="20" t="s">
        <v>1249</v>
      </c>
    </row>
    <row r="191" spans="1:7" x14ac:dyDescent="0.45">
      <c r="B191" s="20">
        <v>12801030</v>
      </c>
      <c r="C191" s="20">
        <v>28</v>
      </c>
      <c r="D191" s="20">
        <v>1</v>
      </c>
      <c r="E191" s="20">
        <v>3</v>
      </c>
      <c r="G191" s="20" t="s">
        <v>1250</v>
      </c>
    </row>
    <row r="192" spans="1:7" x14ac:dyDescent="0.45">
      <c r="B192" s="20">
        <v>12801040</v>
      </c>
      <c r="C192" s="20">
        <v>28</v>
      </c>
      <c r="D192" s="20">
        <v>1</v>
      </c>
      <c r="E192" s="20">
        <v>4</v>
      </c>
      <c r="G192" s="20" t="s">
        <v>1251</v>
      </c>
    </row>
    <row r="193" spans="1:9" x14ac:dyDescent="0.45">
      <c r="B193" s="20">
        <v>12801050</v>
      </c>
      <c r="C193" s="20">
        <v>28</v>
      </c>
      <c r="D193" s="20">
        <v>1</v>
      </c>
      <c r="E193" s="20">
        <v>5</v>
      </c>
      <c r="G193" s="20" t="s">
        <v>1252</v>
      </c>
    </row>
    <row r="194" spans="1:9" x14ac:dyDescent="0.45">
      <c r="B194" s="20">
        <v>12801060</v>
      </c>
      <c r="C194" s="20">
        <v>28</v>
      </c>
      <c r="D194" s="20">
        <v>1</v>
      </c>
      <c r="E194" s="20">
        <v>6</v>
      </c>
      <c r="G194" s="20" t="s">
        <v>1253</v>
      </c>
    </row>
    <row r="195" spans="1:9" x14ac:dyDescent="0.45">
      <c r="B195" s="20">
        <v>12801070</v>
      </c>
      <c r="C195" s="20">
        <v>28</v>
      </c>
      <c r="D195" s="20">
        <v>1</v>
      </c>
      <c r="E195" s="20">
        <v>7</v>
      </c>
      <c r="G195" s="20" t="s">
        <v>1254</v>
      </c>
    </row>
    <row r="196" spans="1:9" x14ac:dyDescent="0.45">
      <c r="B196" s="20">
        <v>12801080</v>
      </c>
      <c r="C196" s="20">
        <v>28</v>
      </c>
      <c r="D196" s="20">
        <v>1</v>
      </c>
      <c r="E196" s="20">
        <v>8</v>
      </c>
      <c r="G196" s="20" t="s">
        <v>1255</v>
      </c>
    </row>
    <row r="197" spans="1:9" x14ac:dyDescent="0.45">
      <c r="B197" s="20">
        <v>12801090</v>
      </c>
      <c r="C197" s="20">
        <v>28</v>
      </c>
      <c r="D197" s="20">
        <v>1</v>
      </c>
      <c r="E197" s="20">
        <v>9</v>
      </c>
      <c r="G197" s="20" t="s">
        <v>1256</v>
      </c>
    </row>
    <row r="198" spans="1:9" x14ac:dyDescent="0.45">
      <c r="B198" s="20">
        <v>12901010</v>
      </c>
      <c r="C198" s="20">
        <v>29</v>
      </c>
      <c r="D198" s="20">
        <v>1</v>
      </c>
      <c r="E198" s="20">
        <v>1</v>
      </c>
      <c r="G198" s="20" t="s">
        <v>1257</v>
      </c>
    </row>
    <row r="199" spans="1:9" x14ac:dyDescent="0.45">
      <c r="B199" s="20">
        <v>12901020</v>
      </c>
      <c r="C199" s="20">
        <v>29</v>
      </c>
      <c r="D199" s="20">
        <v>1</v>
      </c>
      <c r="E199" s="20">
        <v>2</v>
      </c>
      <c r="G199" s="20" t="s">
        <v>1258</v>
      </c>
    </row>
    <row r="200" spans="1:9" x14ac:dyDescent="0.45">
      <c r="B200" s="20">
        <v>12901030</v>
      </c>
      <c r="C200" s="20">
        <v>29</v>
      </c>
      <c r="D200" s="20">
        <v>1</v>
      </c>
      <c r="E200" s="20">
        <v>3</v>
      </c>
      <c r="G200" s="20" t="s">
        <v>1259</v>
      </c>
    </row>
    <row r="201" spans="1:9" x14ac:dyDescent="0.45">
      <c r="B201" s="20">
        <v>12901040</v>
      </c>
      <c r="C201" s="20">
        <v>29</v>
      </c>
      <c r="D201" s="20">
        <v>1</v>
      </c>
      <c r="E201" s="20">
        <v>4</v>
      </c>
      <c r="G201" s="20" t="s">
        <v>1260</v>
      </c>
    </row>
    <row r="202" spans="1:9" x14ac:dyDescent="0.45">
      <c r="B202" s="20">
        <v>12901050</v>
      </c>
      <c r="C202" s="20">
        <v>29</v>
      </c>
      <c r="D202" s="20">
        <v>1</v>
      </c>
      <c r="E202" s="20">
        <v>5</v>
      </c>
      <c r="G202" s="20" t="s">
        <v>1261</v>
      </c>
    </row>
    <row r="203" spans="1:9" x14ac:dyDescent="0.45">
      <c r="B203" s="20">
        <v>12901060</v>
      </c>
      <c r="C203" s="20">
        <v>29</v>
      </c>
      <c r="D203" s="20">
        <v>1</v>
      </c>
      <c r="E203" s="20">
        <v>6</v>
      </c>
      <c r="G203" s="20" t="s">
        <v>1262</v>
      </c>
    </row>
    <row r="204" spans="1:9" x14ac:dyDescent="0.45">
      <c r="B204" s="20">
        <v>12901070</v>
      </c>
      <c r="C204" s="20">
        <v>29</v>
      </c>
      <c r="D204" s="20">
        <v>1</v>
      </c>
      <c r="E204" s="20">
        <v>7</v>
      </c>
      <c r="G204" s="20" t="s">
        <v>1263</v>
      </c>
    </row>
    <row r="205" spans="1:9" x14ac:dyDescent="0.45">
      <c r="B205" s="20">
        <v>12901080</v>
      </c>
      <c r="C205" s="20">
        <v>29</v>
      </c>
      <c r="D205" s="20">
        <v>1</v>
      </c>
      <c r="E205" s="20">
        <v>8</v>
      </c>
      <c r="G205" s="20" t="s">
        <v>1264</v>
      </c>
    </row>
    <row r="206" spans="1:9" x14ac:dyDescent="0.45">
      <c r="B206" s="20">
        <v>12901090</v>
      </c>
      <c r="C206" s="20">
        <v>29</v>
      </c>
      <c r="D206" s="20">
        <v>1</v>
      </c>
      <c r="E206" s="20">
        <v>9</v>
      </c>
      <c r="G206" s="20" t="s">
        <v>1265</v>
      </c>
    </row>
    <row r="207" spans="1:9" x14ac:dyDescent="0.45">
      <c r="A207" s="23">
        <f>IF(F207=F104,"",B207)</f>
        <v>10001010</v>
      </c>
      <c r="B207" s="23">
        <v>10001010</v>
      </c>
      <c r="C207" s="23">
        <v>0</v>
      </c>
      <c r="D207" s="23">
        <v>1</v>
      </c>
      <c r="E207" s="23">
        <v>1</v>
      </c>
      <c r="F207" s="23" t="s">
        <v>488</v>
      </c>
      <c r="G207" s="24" t="s">
        <v>1266</v>
      </c>
      <c r="I207" s="21">
        <v>100015</v>
      </c>
    </row>
    <row r="208" spans="1:9" x14ac:dyDescent="0.45">
      <c r="A208" s="23">
        <f>IF(F208=F105,"",B208)</f>
        <v>10001020</v>
      </c>
      <c r="B208" s="23">
        <v>10001020</v>
      </c>
      <c r="C208" s="23">
        <v>0</v>
      </c>
      <c r="D208" s="23">
        <v>1</v>
      </c>
      <c r="E208" s="23">
        <v>2</v>
      </c>
      <c r="F208" s="23" t="s">
        <v>495</v>
      </c>
      <c r="G208" s="24" t="s">
        <v>1267</v>
      </c>
      <c r="I208" s="21">
        <v>100015</v>
      </c>
    </row>
    <row r="209" spans="1:12" x14ac:dyDescent="0.45">
      <c r="A209" s="23">
        <f t="shared" ref="A209:A219" si="8">IF(F209=F108,"",B209)</f>
        <v>10001030</v>
      </c>
      <c r="B209" s="23">
        <v>10001030</v>
      </c>
      <c r="C209" s="23">
        <v>0</v>
      </c>
      <c r="D209" s="23">
        <v>1</v>
      </c>
      <c r="E209" s="23">
        <v>3</v>
      </c>
      <c r="F209" s="23" t="s">
        <v>500</v>
      </c>
      <c r="G209" s="24" t="s">
        <v>1268</v>
      </c>
      <c r="I209" s="21">
        <v>100015</v>
      </c>
    </row>
    <row r="210" spans="1:12" x14ac:dyDescent="0.45">
      <c r="A210" s="23">
        <f t="shared" si="8"/>
        <v>10001040</v>
      </c>
      <c r="B210" s="23">
        <v>10001040</v>
      </c>
      <c r="C210" s="23">
        <v>0</v>
      </c>
      <c r="D210" s="23">
        <v>1</v>
      </c>
      <c r="E210" s="23">
        <v>4</v>
      </c>
      <c r="F210" s="23" t="s">
        <v>505</v>
      </c>
      <c r="G210" s="24" t="s">
        <v>1269</v>
      </c>
      <c r="I210" s="21">
        <v>100015</v>
      </c>
    </row>
    <row r="211" spans="1:12" x14ac:dyDescent="0.45">
      <c r="A211" s="23">
        <f t="shared" si="8"/>
        <v>10001050</v>
      </c>
      <c r="B211" s="23">
        <v>10001050</v>
      </c>
      <c r="C211" s="23">
        <v>0</v>
      </c>
      <c r="D211" s="23">
        <v>1</v>
      </c>
      <c r="E211" s="23">
        <v>5</v>
      </c>
      <c r="F211" s="23" t="s">
        <v>512</v>
      </c>
      <c r="G211" s="24" t="s">
        <v>1270</v>
      </c>
      <c r="I211" s="21">
        <v>100015</v>
      </c>
    </row>
    <row r="212" spans="1:12" x14ac:dyDescent="0.45">
      <c r="A212" s="23">
        <f t="shared" si="8"/>
        <v>10001060</v>
      </c>
      <c r="B212" s="23">
        <v>10001060</v>
      </c>
      <c r="C212" s="23">
        <v>0</v>
      </c>
      <c r="D212" s="23">
        <v>1</v>
      </c>
      <c r="E212" s="23">
        <v>6</v>
      </c>
      <c r="F212" s="23" t="s">
        <v>518</v>
      </c>
      <c r="G212" s="24" t="s">
        <v>1271</v>
      </c>
      <c r="I212" s="21">
        <v>100015</v>
      </c>
    </row>
    <row r="213" spans="1:12" x14ac:dyDescent="0.45">
      <c r="A213" s="23">
        <f t="shared" si="8"/>
        <v>10001070</v>
      </c>
      <c r="B213" s="23">
        <v>10001070</v>
      </c>
      <c r="C213" s="23">
        <v>0</v>
      </c>
      <c r="D213" s="23">
        <v>1</v>
      </c>
      <c r="E213" s="23">
        <v>7</v>
      </c>
      <c r="F213" s="23" t="s">
        <v>523</v>
      </c>
      <c r="G213" s="24" t="s">
        <v>1272</v>
      </c>
      <c r="I213" s="21">
        <v>100015</v>
      </c>
    </row>
    <row r="214" spans="1:12" x14ac:dyDescent="0.45">
      <c r="A214" s="23">
        <f t="shared" si="8"/>
        <v>10001080</v>
      </c>
      <c r="B214" s="23">
        <v>10001080</v>
      </c>
      <c r="C214" s="23">
        <v>0</v>
      </c>
      <c r="D214" s="23">
        <v>1</v>
      </c>
      <c r="E214" s="23">
        <v>8</v>
      </c>
      <c r="F214" s="23" t="s">
        <v>529</v>
      </c>
      <c r="G214" s="24" t="s">
        <v>1273</v>
      </c>
      <c r="I214" s="21">
        <v>100015</v>
      </c>
    </row>
    <row r="215" spans="1:12" x14ac:dyDescent="0.45">
      <c r="A215" s="23">
        <f t="shared" si="8"/>
        <v>10001090</v>
      </c>
      <c r="B215" s="23">
        <v>10001090</v>
      </c>
      <c r="C215" s="23">
        <v>0</v>
      </c>
      <c r="D215" s="23">
        <v>1</v>
      </c>
      <c r="E215" s="23">
        <v>9</v>
      </c>
      <c r="F215" s="23" t="s">
        <v>535</v>
      </c>
      <c r="G215" s="24" t="s">
        <v>1274</v>
      </c>
      <c r="I215" s="21">
        <v>100015</v>
      </c>
    </row>
    <row r="216" spans="1:12" x14ac:dyDescent="0.45">
      <c r="A216" s="23">
        <f t="shared" si="8"/>
        <v>10001100</v>
      </c>
      <c r="B216" s="23">
        <v>10001100</v>
      </c>
      <c r="C216" s="23">
        <v>0</v>
      </c>
      <c r="D216" s="23">
        <v>1</v>
      </c>
      <c r="E216" s="23">
        <v>10</v>
      </c>
      <c r="F216" s="23" t="s">
        <v>539</v>
      </c>
      <c r="G216" s="24" t="s">
        <v>1275</v>
      </c>
      <c r="I216" s="21">
        <v>100015</v>
      </c>
    </row>
    <row r="217" spans="1:12" x14ac:dyDescent="0.45">
      <c r="A217" s="23">
        <f t="shared" si="8"/>
        <v>10001110</v>
      </c>
      <c r="B217" s="23">
        <v>10001110</v>
      </c>
      <c r="C217" s="23">
        <v>0</v>
      </c>
      <c r="D217" s="23">
        <v>1</v>
      </c>
      <c r="E217" s="23">
        <v>11</v>
      </c>
      <c r="F217" s="23" t="s">
        <v>544</v>
      </c>
      <c r="G217" s="24" t="s">
        <v>1276</v>
      </c>
      <c r="I217" s="21">
        <v>100015</v>
      </c>
    </row>
    <row r="218" spans="1:12" x14ac:dyDescent="0.45">
      <c r="A218" s="23">
        <f t="shared" si="8"/>
        <v>10001120</v>
      </c>
      <c r="B218" s="23">
        <v>10001120</v>
      </c>
      <c r="C218" s="23">
        <v>0</v>
      </c>
      <c r="D218" s="23">
        <v>1</v>
      </c>
      <c r="E218" s="23">
        <v>12</v>
      </c>
      <c r="F218" s="23" t="s">
        <v>1277</v>
      </c>
      <c r="G218" s="24" t="s">
        <v>550</v>
      </c>
      <c r="I218" s="21">
        <v>100015</v>
      </c>
    </row>
    <row r="219" spans="1:12" x14ac:dyDescent="0.45">
      <c r="A219" s="23">
        <f t="shared" si="8"/>
        <v>10001130</v>
      </c>
      <c r="B219" s="23">
        <v>10001130</v>
      </c>
      <c r="C219" s="23">
        <v>0</v>
      </c>
      <c r="D219" s="23">
        <v>1</v>
      </c>
      <c r="E219" s="23">
        <v>13</v>
      </c>
      <c r="F219" s="4" t="s">
        <v>48</v>
      </c>
      <c r="G219" s="20" t="s">
        <v>1278</v>
      </c>
      <c r="I219" s="21">
        <v>100015</v>
      </c>
      <c r="L219" s="80"/>
    </row>
    <row r="220" spans="1:12" x14ac:dyDescent="0.45">
      <c r="A220" s="76">
        <v>10001140</v>
      </c>
      <c r="B220" s="76">
        <v>10001140</v>
      </c>
      <c r="C220" s="76">
        <v>0</v>
      </c>
      <c r="D220" s="76">
        <v>1</v>
      </c>
      <c r="E220" s="76">
        <v>14</v>
      </c>
      <c r="F220" s="74" t="s">
        <v>548</v>
      </c>
      <c r="G220" s="74" t="s">
        <v>3271</v>
      </c>
      <c r="H220" s="73"/>
      <c r="I220" s="75">
        <v>100015</v>
      </c>
    </row>
    <row r="221" spans="1:12" x14ac:dyDescent="0.45">
      <c r="A221" s="23">
        <f t="shared" ref="A221:A233" si="9">IF(F221=F121,"",B221)</f>
        <v>10001160</v>
      </c>
      <c r="B221" s="23">
        <v>10001160</v>
      </c>
      <c r="C221" s="23">
        <v>0</v>
      </c>
      <c r="D221" s="23">
        <v>1</v>
      </c>
      <c r="E221" s="23">
        <v>16</v>
      </c>
      <c r="F221" s="4" t="s">
        <v>3155</v>
      </c>
      <c r="G221" s="20" t="s">
        <v>3155</v>
      </c>
      <c r="I221" s="21">
        <v>100015</v>
      </c>
    </row>
    <row r="222" spans="1:12" x14ac:dyDescent="0.45">
      <c r="A222" s="23">
        <f t="shared" si="9"/>
        <v>10001170</v>
      </c>
      <c r="B222" s="23">
        <v>10001170</v>
      </c>
      <c r="C222" s="23">
        <v>0</v>
      </c>
      <c r="D222" s="23">
        <v>1</v>
      </c>
      <c r="E222" s="23">
        <v>17</v>
      </c>
      <c r="F222" s="20" t="s">
        <v>3156</v>
      </c>
      <c r="G222" s="20" t="s">
        <v>3156</v>
      </c>
      <c r="I222" s="21">
        <v>100015</v>
      </c>
    </row>
    <row r="223" spans="1:12" x14ac:dyDescent="0.45">
      <c r="A223" s="23">
        <f t="shared" si="9"/>
        <v>10001180</v>
      </c>
      <c r="B223" s="23">
        <v>10001180</v>
      </c>
      <c r="C223" s="22">
        <v>0</v>
      </c>
      <c r="D223" s="4">
        <v>1</v>
      </c>
      <c r="E223" s="4">
        <v>18</v>
      </c>
      <c r="F223" s="4" t="s">
        <v>48</v>
      </c>
      <c r="G223" s="4" t="s">
        <v>3211</v>
      </c>
      <c r="I223" s="21">
        <v>100015</v>
      </c>
    </row>
    <row r="224" spans="1:12" x14ac:dyDescent="0.45">
      <c r="A224" s="23">
        <f t="shared" si="9"/>
        <v>10001190</v>
      </c>
      <c r="B224" s="23">
        <v>10001190</v>
      </c>
      <c r="C224" s="22">
        <v>0</v>
      </c>
      <c r="D224" s="4">
        <v>1</v>
      </c>
      <c r="E224" s="4">
        <v>19</v>
      </c>
      <c r="F224" s="4" t="s">
        <v>48</v>
      </c>
      <c r="G224" s="4" t="s">
        <v>3214</v>
      </c>
      <c r="I224" s="21">
        <v>100015</v>
      </c>
    </row>
    <row r="225" spans="1:10" x14ac:dyDescent="0.45">
      <c r="A225" s="23">
        <f t="shared" si="9"/>
        <v>10001200</v>
      </c>
      <c r="B225" s="23">
        <v>10001200</v>
      </c>
      <c r="C225" s="22">
        <v>0</v>
      </c>
      <c r="D225" s="4">
        <v>1</v>
      </c>
      <c r="E225" s="4">
        <v>20</v>
      </c>
      <c r="F225" s="4" t="s">
        <v>48</v>
      </c>
      <c r="G225" s="4" t="s">
        <v>3249</v>
      </c>
      <c r="I225" s="21">
        <v>100015</v>
      </c>
    </row>
    <row r="226" spans="1:10" x14ac:dyDescent="0.45">
      <c r="A226" s="23">
        <f t="shared" si="9"/>
        <v>10001210</v>
      </c>
      <c r="B226" s="23">
        <v>10001210</v>
      </c>
      <c r="C226" s="22">
        <v>0</v>
      </c>
      <c r="D226" s="4">
        <v>1</v>
      </c>
      <c r="E226" s="4">
        <v>21</v>
      </c>
      <c r="F226" s="4" t="s">
        <v>48</v>
      </c>
      <c r="G226" s="4" t="s">
        <v>3331</v>
      </c>
      <c r="I226" s="21">
        <v>100015</v>
      </c>
    </row>
    <row r="227" spans="1:10" x14ac:dyDescent="0.45">
      <c r="A227" s="23">
        <f t="shared" si="9"/>
        <v>10001220</v>
      </c>
      <c r="B227" s="23">
        <v>10001220</v>
      </c>
      <c r="C227" s="22">
        <v>0</v>
      </c>
      <c r="D227" s="4">
        <v>1</v>
      </c>
      <c r="E227" s="4">
        <v>22</v>
      </c>
      <c r="F227" s="4" t="s">
        <v>48</v>
      </c>
      <c r="G227" s="4" t="s">
        <v>3330</v>
      </c>
      <c r="I227" s="21">
        <v>100015</v>
      </c>
    </row>
    <row r="228" spans="1:10" x14ac:dyDescent="0.45">
      <c r="A228" s="23">
        <f t="shared" si="9"/>
        <v>10001230</v>
      </c>
      <c r="B228" s="23">
        <v>10001230</v>
      </c>
      <c r="C228" s="22">
        <v>0</v>
      </c>
      <c r="D228" s="4">
        <v>1</v>
      </c>
      <c r="E228" s="4">
        <v>23</v>
      </c>
      <c r="F228" s="4" t="s">
        <v>48</v>
      </c>
      <c r="G228" s="62" t="s">
        <v>3352</v>
      </c>
      <c r="I228" s="21">
        <v>100015</v>
      </c>
    </row>
    <row r="229" spans="1:10" s="21" customFormat="1" x14ac:dyDescent="0.45">
      <c r="A229" s="87">
        <f t="shared" si="9"/>
        <v>10001240</v>
      </c>
      <c r="B229" s="87">
        <v>10001240</v>
      </c>
      <c r="C229" s="22">
        <v>0</v>
      </c>
      <c r="D229" s="88">
        <v>1</v>
      </c>
      <c r="E229" s="88">
        <v>24</v>
      </c>
      <c r="F229" s="88" t="s">
        <v>48</v>
      </c>
      <c r="G229" s="62" t="s">
        <v>3418</v>
      </c>
      <c r="I229" s="21">
        <v>100015</v>
      </c>
    </row>
    <row r="230" spans="1:10" s="21" customFormat="1" x14ac:dyDescent="0.45">
      <c r="A230" s="87">
        <f t="shared" si="9"/>
        <v>10001250</v>
      </c>
      <c r="B230" s="87">
        <v>10001250</v>
      </c>
      <c r="C230" s="22">
        <v>0</v>
      </c>
      <c r="D230" s="88">
        <v>1</v>
      </c>
      <c r="E230" s="88">
        <v>25</v>
      </c>
      <c r="F230" s="88" t="s">
        <v>48</v>
      </c>
      <c r="G230" s="62" t="s">
        <v>3352</v>
      </c>
      <c r="I230" s="21">
        <v>100015</v>
      </c>
      <c r="J230" s="83"/>
    </row>
    <row r="231" spans="1:10" s="21" customFormat="1" x14ac:dyDescent="0.45">
      <c r="A231" s="87">
        <f t="shared" si="9"/>
        <v>10001260</v>
      </c>
      <c r="B231" s="87">
        <v>10001260</v>
      </c>
      <c r="C231" s="22">
        <v>0</v>
      </c>
      <c r="D231" s="88">
        <v>1</v>
      </c>
      <c r="E231" s="88">
        <v>26</v>
      </c>
      <c r="F231" s="88" t="s">
        <v>48</v>
      </c>
      <c r="G231" s="62" t="s">
        <v>3374</v>
      </c>
      <c r="I231" s="21">
        <v>100015</v>
      </c>
      <c r="J231" s="59"/>
    </row>
    <row r="232" spans="1:10" s="21" customFormat="1" x14ac:dyDescent="0.45">
      <c r="A232" s="87">
        <f t="shared" si="9"/>
        <v>10001270</v>
      </c>
      <c r="B232" s="87">
        <v>10001270</v>
      </c>
      <c r="C232" s="22">
        <v>0</v>
      </c>
      <c r="D232" s="88">
        <v>1</v>
      </c>
      <c r="E232" s="88">
        <v>27</v>
      </c>
      <c r="F232" s="88" t="s">
        <v>48</v>
      </c>
      <c r="G232" s="62" t="s">
        <v>3413</v>
      </c>
      <c r="I232" s="21">
        <v>100015</v>
      </c>
      <c r="J232" s="83"/>
    </row>
    <row r="233" spans="1:10" s="21" customFormat="1" x14ac:dyDescent="0.45">
      <c r="A233" s="87">
        <f t="shared" si="9"/>
        <v>10001280</v>
      </c>
      <c r="B233" s="87">
        <v>10001280</v>
      </c>
      <c r="C233" s="22">
        <v>0</v>
      </c>
      <c r="D233" s="88">
        <v>1</v>
      </c>
      <c r="E233" s="88">
        <v>27</v>
      </c>
      <c r="F233" s="88" t="s">
        <v>48</v>
      </c>
      <c r="G233" s="62" t="s">
        <v>3421</v>
      </c>
      <c r="I233" s="21">
        <v>100015</v>
      </c>
    </row>
    <row r="234" spans="1:10" x14ac:dyDescent="0.45">
      <c r="A234" s="25">
        <f>IF(F234=F218,"",B234)</f>
        <v>10010010</v>
      </c>
      <c r="B234" s="25">
        <v>10010010</v>
      </c>
      <c r="C234" s="25">
        <v>0</v>
      </c>
      <c r="D234" s="25">
        <v>10</v>
      </c>
      <c r="E234" s="25">
        <v>1</v>
      </c>
      <c r="F234" s="25" t="s">
        <v>555</v>
      </c>
      <c r="G234" s="25" t="s">
        <v>1279</v>
      </c>
      <c r="I234" s="21">
        <v>100015</v>
      </c>
    </row>
    <row r="235" spans="1:10" x14ac:dyDescent="0.45">
      <c r="A235" s="25" t="str">
        <f t="shared" ref="A235:A284" si="10">IF(F235=F234,"",B235)</f>
        <v/>
      </c>
      <c r="B235" s="25">
        <v>10010020</v>
      </c>
      <c r="C235" s="25">
        <v>0</v>
      </c>
      <c r="D235" s="25">
        <v>10</v>
      </c>
      <c r="E235" s="25">
        <v>2</v>
      </c>
      <c r="F235" s="25" t="s">
        <v>555</v>
      </c>
      <c r="G235" s="25" t="s">
        <v>1280</v>
      </c>
    </row>
    <row r="236" spans="1:10" x14ac:dyDescent="0.45">
      <c r="A236" s="25" t="str">
        <f t="shared" si="10"/>
        <v/>
      </c>
      <c r="B236" s="25">
        <v>10010030</v>
      </c>
      <c r="C236" s="25">
        <v>0</v>
      </c>
      <c r="D236" s="25">
        <v>10</v>
      </c>
      <c r="E236" s="25">
        <v>3</v>
      </c>
      <c r="F236" s="25" t="s">
        <v>555</v>
      </c>
      <c r="G236" s="25" t="s">
        <v>1281</v>
      </c>
    </row>
    <row r="237" spans="1:10" x14ac:dyDescent="0.45">
      <c r="A237" s="25" t="str">
        <f t="shared" si="10"/>
        <v/>
      </c>
      <c r="B237" s="25">
        <v>10010040</v>
      </c>
      <c r="C237" s="25">
        <v>0</v>
      </c>
      <c r="D237" s="25">
        <v>10</v>
      </c>
      <c r="E237" s="25">
        <v>4</v>
      </c>
      <c r="F237" s="25" t="s">
        <v>555</v>
      </c>
      <c r="G237" s="25" t="s">
        <v>1282</v>
      </c>
    </row>
    <row r="238" spans="1:10" x14ac:dyDescent="0.45">
      <c r="A238" s="25" t="str">
        <f t="shared" si="10"/>
        <v/>
      </c>
      <c r="B238" s="25">
        <v>10010050</v>
      </c>
      <c r="C238" s="25">
        <v>0</v>
      </c>
      <c r="D238" s="25">
        <v>10</v>
      </c>
      <c r="E238" s="25">
        <v>5</v>
      </c>
      <c r="F238" s="25" t="s">
        <v>555</v>
      </c>
      <c r="G238" s="25" t="s">
        <v>1283</v>
      </c>
    </row>
    <row r="239" spans="1:10" x14ac:dyDescent="0.45">
      <c r="A239" s="25" t="str">
        <f t="shared" si="10"/>
        <v/>
      </c>
      <c r="B239" s="25">
        <v>10010060</v>
      </c>
      <c r="C239" s="25">
        <v>0</v>
      </c>
      <c r="D239" s="25">
        <v>10</v>
      </c>
      <c r="E239" s="25">
        <v>6</v>
      </c>
      <c r="F239" s="25" t="s">
        <v>555</v>
      </c>
      <c r="G239" s="25" t="s">
        <v>1284</v>
      </c>
    </row>
    <row r="240" spans="1:10" x14ac:dyDescent="0.45">
      <c r="A240" s="25" t="str">
        <f t="shared" si="10"/>
        <v/>
      </c>
      <c r="B240" s="25">
        <v>10010070</v>
      </c>
      <c r="C240" s="25">
        <v>0</v>
      </c>
      <c r="D240" s="25">
        <v>10</v>
      </c>
      <c r="E240" s="25">
        <v>7</v>
      </c>
      <c r="F240" s="25" t="s">
        <v>555</v>
      </c>
      <c r="G240" s="25" t="s">
        <v>1285</v>
      </c>
    </row>
    <row r="241" spans="1:7" x14ac:dyDescent="0.45">
      <c r="A241" s="25" t="str">
        <f t="shared" si="10"/>
        <v/>
      </c>
      <c r="B241" s="25">
        <v>10010080</v>
      </c>
      <c r="C241" s="25">
        <v>0</v>
      </c>
      <c r="D241" s="25">
        <v>10</v>
      </c>
      <c r="E241" s="25">
        <v>8</v>
      </c>
      <c r="F241" s="25" t="s">
        <v>555</v>
      </c>
      <c r="G241" s="25" t="s">
        <v>1286</v>
      </c>
    </row>
    <row r="242" spans="1:7" x14ac:dyDescent="0.45">
      <c r="A242" s="25" t="str">
        <f t="shared" si="10"/>
        <v/>
      </c>
      <c r="B242" s="25">
        <v>10010090</v>
      </c>
      <c r="C242" s="25">
        <v>0</v>
      </c>
      <c r="D242" s="25">
        <v>10</v>
      </c>
      <c r="E242" s="25">
        <v>9</v>
      </c>
      <c r="F242" s="25" t="s">
        <v>555</v>
      </c>
      <c r="G242" s="25" t="s">
        <v>1287</v>
      </c>
    </row>
    <row r="243" spans="1:7" x14ac:dyDescent="0.45">
      <c r="A243" s="25" t="str">
        <f t="shared" si="10"/>
        <v/>
      </c>
      <c r="B243" s="25">
        <v>10010100</v>
      </c>
      <c r="C243" s="25">
        <v>0</v>
      </c>
      <c r="D243" s="25">
        <v>10</v>
      </c>
      <c r="E243" s="25">
        <v>10</v>
      </c>
      <c r="F243" s="25" t="s">
        <v>555</v>
      </c>
      <c r="G243" s="25" t="s">
        <v>1288</v>
      </c>
    </row>
    <row r="244" spans="1:7" x14ac:dyDescent="0.45">
      <c r="A244" s="25" t="str">
        <f t="shared" si="10"/>
        <v/>
      </c>
      <c r="B244" s="25">
        <v>10010110</v>
      </c>
      <c r="C244" s="25">
        <v>0</v>
      </c>
      <c r="D244" s="25">
        <v>10</v>
      </c>
      <c r="E244" s="25">
        <v>11</v>
      </c>
      <c r="F244" s="25" t="s">
        <v>555</v>
      </c>
      <c r="G244" s="25" t="s">
        <v>1289</v>
      </c>
    </row>
    <row r="245" spans="1:7" x14ac:dyDescent="0.45">
      <c r="A245" s="25" t="str">
        <f t="shared" si="10"/>
        <v/>
      </c>
      <c r="B245" s="25">
        <v>10010120</v>
      </c>
      <c r="C245" s="25">
        <v>0</v>
      </c>
      <c r="D245" s="25">
        <v>10</v>
      </c>
      <c r="E245" s="25">
        <v>12</v>
      </c>
      <c r="F245" s="25" t="s">
        <v>555</v>
      </c>
      <c r="G245" s="25" t="s">
        <v>1290</v>
      </c>
    </row>
    <row r="246" spans="1:7" x14ac:dyDescent="0.45">
      <c r="A246" s="25" t="str">
        <f t="shared" si="10"/>
        <v/>
      </c>
      <c r="B246" s="25">
        <v>10010130</v>
      </c>
      <c r="C246" s="25">
        <v>0</v>
      </c>
      <c r="D246" s="25">
        <v>10</v>
      </c>
      <c r="E246" s="25">
        <v>13</v>
      </c>
      <c r="F246" s="25" t="s">
        <v>555</v>
      </c>
      <c r="G246" s="25" t="s">
        <v>1291</v>
      </c>
    </row>
    <row r="247" spans="1:7" x14ac:dyDescent="0.45">
      <c r="A247" s="25" t="str">
        <f t="shared" si="10"/>
        <v/>
      </c>
      <c r="B247" s="25">
        <v>10010140</v>
      </c>
      <c r="C247" s="25">
        <v>0</v>
      </c>
      <c r="D247" s="25">
        <v>10</v>
      </c>
      <c r="E247" s="25">
        <v>14</v>
      </c>
      <c r="F247" s="25" t="s">
        <v>555</v>
      </c>
      <c r="G247" s="25" t="s">
        <v>1292</v>
      </c>
    </row>
    <row r="248" spans="1:7" x14ac:dyDescent="0.45">
      <c r="A248" s="25" t="str">
        <f t="shared" si="10"/>
        <v/>
      </c>
      <c r="B248" s="25">
        <v>10010150</v>
      </c>
      <c r="C248" s="25">
        <v>0</v>
      </c>
      <c r="D248" s="25">
        <v>10</v>
      </c>
      <c r="E248" s="25">
        <v>15</v>
      </c>
      <c r="F248" s="25" t="s">
        <v>555</v>
      </c>
      <c r="G248" s="25" t="s">
        <v>1293</v>
      </c>
    </row>
    <row r="249" spans="1:7" x14ac:dyDescent="0.45">
      <c r="A249" s="25" t="str">
        <f t="shared" si="10"/>
        <v/>
      </c>
      <c r="B249" s="25">
        <v>10010160</v>
      </c>
      <c r="C249" s="25">
        <v>0</v>
      </c>
      <c r="D249" s="25">
        <v>10</v>
      </c>
      <c r="E249" s="25">
        <v>16</v>
      </c>
      <c r="F249" s="25" t="s">
        <v>555</v>
      </c>
      <c r="G249" s="25" t="s">
        <v>1294</v>
      </c>
    </row>
    <row r="250" spans="1:7" x14ac:dyDescent="0.45">
      <c r="A250" s="25" t="str">
        <f t="shared" si="10"/>
        <v/>
      </c>
      <c r="B250" s="25">
        <v>10010170</v>
      </c>
      <c r="C250" s="25">
        <v>0</v>
      </c>
      <c r="D250" s="25">
        <v>10</v>
      </c>
      <c r="E250" s="25">
        <v>17</v>
      </c>
      <c r="F250" s="25" t="s">
        <v>555</v>
      </c>
      <c r="G250" s="25" t="s">
        <v>1295</v>
      </c>
    </row>
    <row r="251" spans="1:7" x14ac:dyDescent="0.45">
      <c r="A251" s="25" t="str">
        <f t="shared" si="10"/>
        <v/>
      </c>
      <c r="B251" s="25">
        <v>10010180</v>
      </c>
      <c r="C251" s="25">
        <v>0</v>
      </c>
      <c r="D251" s="25">
        <v>10</v>
      </c>
      <c r="E251" s="25">
        <v>18</v>
      </c>
      <c r="F251" s="25" t="s">
        <v>555</v>
      </c>
      <c r="G251" s="25" t="s">
        <v>1296</v>
      </c>
    </row>
    <row r="252" spans="1:7" x14ac:dyDescent="0.45">
      <c r="A252" s="25" t="str">
        <f t="shared" si="10"/>
        <v/>
      </c>
      <c r="B252" s="25">
        <v>10010190</v>
      </c>
      <c r="C252" s="25">
        <v>0</v>
      </c>
      <c r="D252" s="25">
        <v>10</v>
      </c>
      <c r="E252" s="25">
        <v>19</v>
      </c>
      <c r="F252" s="25" t="s">
        <v>555</v>
      </c>
      <c r="G252" s="25" t="s">
        <v>1297</v>
      </c>
    </row>
    <row r="253" spans="1:7" x14ac:dyDescent="0.45">
      <c r="A253" s="25" t="str">
        <f t="shared" si="10"/>
        <v/>
      </c>
      <c r="B253" s="25">
        <v>10010200</v>
      </c>
      <c r="C253" s="25">
        <v>0</v>
      </c>
      <c r="D253" s="25">
        <v>10</v>
      </c>
      <c r="E253" s="25">
        <v>20</v>
      </c>
      <c r="F253" s="25" t="s">
        <v>555</v>
      </c>
      <c r="G253" s="25" t="s">
        <v>1298</v>
      </c>
    </row>
    <row r="254" spans="1:7" x14ac:dyDescent="0.45">
      <c r="A254" s="25" t="str">
        <f t="shared" si="10"/>
        <v/>
      </c>
      <c r="B254" s="25">
        <v>10010210</v>
      </c>
      <c r="C254" s="25">
        <v>0</v>
      </c>
      <c r="D254" s="25">
        <v>10</v>
      </c>
      <c r="E254" s="25">
        <v>21</v>
      </c>
      <c r="F254" s="25" t="s">
        <v>555</v>
      </c>
      <c r="G254" s="25" t="s">
        <v>1299</v>
      </c>
    </row>
    <row r="255" spans="1:7" x14ac:dyDescent="0.45">
      <c r="A255" s="25" t="str">
        <f t="shared" si="10"/>
        <v/>
      </c>
      <c r="B255" s="25">
        <v>10010220</v>
      </c>
      <c r="C255" s="25">
        <v>0</v>
      </c>
      <c r="D255" s="25">
        <v>10</v>
      </c>
      <c r="E255" s="25">
        <v>22</v>
      </c>
      <c r="F255" s="25" t="s">
        <v>555</v>
      </c>
      <c r="G255" s="25" t="s">
        <v>1300</v>
      </c>
    </row>
    <row r="256" spans="1:7" x14ac:dyDescent="0.45">
      <c r="A256" s="25" t="str">
        <f t="shared" si="10"/>
        <v/>
      </c>
      <c r="B256" s="25">
        <v>10010230</v>
      </c>
      <c r="C256" s="25">
        <v>0</v>
      </c>
      <c r="D256" s="25">
        <v>10</v>
      </c>
      <c r="E256" s="25">
        <v>23</v>
      </c>
      <c r="F256" s="25" t="s">
        <v>555</v>
      </c>
      <c r="G256" s="25" t="s">
        <v>1301</v>
      </c>
    </row>
    <row r="257" spans="1:9" x14ac:dyDescent="0.45">
      <c r="A257" s="25" t="str">
        <f t="shared" si="10"/>
        <v/>
      </c>
      <c r="B257" s="25">
        <v>10010240</v>
      </c>
      <c r="C257" s="25">
        <v>0</v>
      </c>
      <c r="D257" s="25">
        <v>10</v>
      </c>
      <c r="E257" s="25">
        <v>24</v>
      </c>
      <c r="F257" s="25" t="s">
        <v>555</v>
      </c>
      <c r="G257" s="25" t="s">
        <v>1302</v>
      </c>
    </row>
    <row r="258" spans="1:9" x14ac:dyDescent="0.45">
      <c r="A258" s="25" t="str">
        <f t="shared" si="10"/>
        <v/>
      </c>
      <c r="B258" s="25">
        <v>10010250</v>
      </c>
      <c r="C258" s="25">
        <v>0</v>
      </c>
      <c r="D258" s="25">
        <v>10</v>
      </c>
      <c r="E258" s="25">
        <v>25</v>
      </c>
      <c r="F258" s="25" t="s">
        <v>555</v>
      </c>
      <c r="G258" s="25" t="s">
        <v>1303</v>
      </c>
    </row>
    <row r="259" spans="1:9" x14ac:dyDescent="0.45">
      <c r="A259" s="26">
        <f t="shared" si="10"/>
        <v>10011010</v>
      </c>
      <c r="B259" s="26">
        <v>10011010</v>
      </c>
      <c r="C259" s="26">
        <v>0</v>
      </c>
      <c r="D259" s="26">
        <v>11</v>
      </c>
      <c r="E259" s="26">
        <v>1</v>
      </c>
      <c r="F259" s="26" t="s">
        <v>584</v>
      </c>
      <c r="G259" s="26" t="s">
        <v>1304</v>
      </c>
      <c r="I259" s="21">
        <v>100015</v>
      </c>
    </row>
    <row r="260" spans="1:9" x14ac:dyDescent="0.45">
      <c r="A260" s="26" t="str">
        <f t="shared" si="10"/>
        <v/>
      </c>
      <c r="B260" s="26">
        <v>10011020</v>
      </c>
      <c r="C260" s="26">
        <v>0</v>
      </c>
      <c r="D260" s="26">
        <v>11</v>
      </c>
      <c r="E260" s="26">
        <v>2</v>
      </c>
      <c r="F260" s="26" t="s">
        <v>584</v>
      </c>
      <c r="G260" s="26" t="s">
        <v>1305</v>
      </c>
    </row>
    <row r="261" spans="1:9" x14ac:dyDescent="0.45">
      <c r="A261" s="26" t="str">
        <f t="shared" si="10"/>
        <v/>
      </c>
      <c r="B261" s="26">
        <v>10011030</v>
      </c>
      <c r="C261" s="26">
        <v>0</v>
      </c>
      <c r="D261" s="26">
        <v>11</v>
      </c>
      <c r="E261" s="26">
        <v>3</v>
      </c>
      <c r="F261" s="26" t="s">
        <v>584</v>
      </c>
      <c r="G261" s="26" t="s">
        <v>1306</v>
      </c>
    </row>
    <row r="262" spans="1:9" x14ac:dyDescent="0.45">
      <c r="A262" s="26" t="str">
        <f t="shared" si="10"/>
        <v/>
      </c>
      <c r="B262" s="26">
        <v>10011040</v>
      </c>
      <c r="C262" s="26">
        <v>0</v>
      </c>
      <c r="D262" s="26">
        <v>11</v>
      </c>
      <c r="E262" s="26">
        <v>4</v>
      </c>
      <c r="F262" s="26" t="s">
        <v>584</v>
      </c>
      <c r="G262" s="26" t="s">
        <v>1307</v>
      </c>
    </row>
    <row r="263" spans="1:9" x14ac:dyDescent="0.45">
      <c r="A263" s="26" t="str">
        <f t="shared" si="10"/>
        <v/>
      </c>
      <c r="B263" s="26">
        <v>10011050</v>
      </c>
      <c r="C263" s="26">
        <v>0</v>
      </c>
      <c r="D263" s="26">
        <v>11</v>
      </c>
      <c r="E263" s="26">
        <v>5</v>
      </c>
      <c r="F263" s="26" t="s">
        <v>584</v>
      </c>
      <c r="G263" s="26" t="s">
        <v>1308</v>
      </c>
    </row>
    <row r="264" spans="1:9" x14ac:dyDescent="0.45">
      <c r="A264" s="26" t="str">
        <f t="shared" si="10"/>
        <v/>
      </c>
      <c r="B264" s="26">
        <v>10011060</v>
      </c>
      <c r="C264" s="26">
        <v>0</v>
      </c>
      <c r="D264" s="26">
        <v>11</v>
      </c>
      <c r="E264" s="26">
        <v>6</v>
      </c>
      <c r="F264" s="26" t="s">
        <v>584</v>
      </c>
      <c r="G264" s="26" t="s">
        <v>1309</v>
      </c>
    </row>
    <row r="265" spans="1:9" x14ac:dyDescent="0.45">
      <c r="A265" s="26" t="str">
        <f t="shared" si="10"/>
        <v/>
      </c>
      <c r="B265" s="26">
        <v>10011070</v>
      </c>
      <c r="C265" s="26">
        <v>0</v>
      </c>
      <c r="D265" s="26">
        <v>11</v>
      </c>
      <c r="E265" s="26">
        <v>7</v>
      </c>
      <c r="F265" s="26" t="s">
        <v>584</v>
      </c>
      <c r="G265" s="26" t="s">
        <v>1310</v>
      </c>
    </row>
    <row r="266" spans="1:9" x14ac:dyDescent="0.45">
      <c r="A266" s="26" t="str">
        <f t="shared" si="10"/>
        <v/>
      </c>
      <c r="B266" s="26">
        <v>10011080</v>
      </c>
      <c r="C266" s="26">
        <v>0</v>
      </c>
      <c r="D266" s="26">
        <v>11</v>
      </c>
      <c r="E266" s="26">
        <v>8</v>
      </c>
      <c r="F266" s="26" t="s">
        <v>584</v>
      </c>
      <c r="G266" s="26" t="s">
        <v>1311</v>
      </c>
    </row>
    <row r="267" spans="1:9" x14ac:dyDescent="0.45">
      <c r="A267" s="26" t="str">
        <f t="shared" si="10"/>
        <v/>
      </c>
      <c r="B267" s="26">
        <v>10011090</v>
      </c>
      <c r="C267" s="26">
        <v>0</v>
      </c>
      <c r="D267" s="26">
        <v>11</v>
      </c>
      <c r="E267" s="26">
        <v>9</v>
      </c>
      <c r="F267" s="26" t="s">
        <v>584</v>
      </c>
      <c r="G267" s="26" t="s">
        <v>1312</v>
      </c>
    </row>
    <row r="268" spans="1:9" x14ac:dyDescent="0.45">
      <c r="A268" s="26" t="str">
        <f t="shared" si="10"/>
        <v/>
      </c>
      <c r="B268" s="26">
        <v>10011100</v>
      </c>
      <c r="C268" s="26">
        <v>0</v>
      </c>
      <c r="D268" s="26">
        <v>11</v>
      </c>
      <c r="E268" s="26">
        <v>10</v>
      </c>
      <c r="F268" s="26" t="s">
        <v>584</v>
      </c>
      <c r="G268" s="26" t="s">
        <v>1313</v>
      </c>
    </row>
    <row r="269" spans="1:9" x14ac:dyDescent="0.45">
      <c r="A269" s="26" t="str">
        <f t="shared" si="10"/>
        <v/>
      </c>
      <c r="B269" s="26">
        <v>10011110</v>
      </c>
      <c r="C269" s="26">
        <v>0</v>
      </c>
      <c r="D269" s="26">
        <v>11</v>
      </c>
      <c r="E269" s="26">
        <v>11</v>
      </c>
      <c r="F269" s="26" t="s">
        <v>584</v>
      </c>
      <c r="G269" s="26" t="s">
        <v>1314</v>
      </c>
    </row>
    <row r="270" spans="1:9" x14ac:dyDescent="0.45">
      <c r="A270" s="25">
        <f t="shared" si="10"/>
        <v>10012010</v>
      </c>
      <c r="B270" s="25">
        <v>10012010</v>
      </c>
      <c r="C270" s="25">
        <v>0</v>
      </c>
      <c r="D270" s="25">
        <v>12</v>
      </c>
      <c r="E270" s="25">
        <v>1</v>
      </c>
      <c r="F270" s="25" t="s">
        <v>600</v>
      </c>
      <c r="G270" s="25" t="s">
        <v>1315</v>
      </c>
      <c r="I270" s="21">
        <v>100015</v>
      </c>
    </row>
    <row r="271" spans="1:9" x14ac:dyDescent="0.45">
      <c r="A271" s="25" t="str">
        <f t="shared" si="10"/>
        <v/>
      </c>
      <c r="B271" s="25">
        <v>10012020</v>
      </c>
      <c r="C271" s="25">
        <v>0</v>
      </c>
      <c r="D271" s="25">
        <v>12</v>
      </c>
      <c r="E271" s="25">
        <v>2</v>
      </c>
      <c r="F271" s="25" t="s">
        <v>600</v>
      </c>
      <c r="G271" s="25" t="s">
        <v>1316</v>
      </c>
    </row>
    <row r="272" spans="1:9" x14ac:dyDescent="0.45">
      <c r="A272" s="25" t="str">
        <f t="shared" si="10"/>
        <v/>
      </c>
      <c r="B272" s="25">
        <v>10012030</v>
      </c>
      <c r="C272" s="25">
        <v>0</v>
      </c>
      <c r="D272" s="25">
        <v>12</v>
      </c>
      <c r="E272" s="25">
        <v>3</v>
      </c>
      <c r="F272" s="25" t="s">
        <v>600</v>
      </c>
      <c r="G272" s="25" t="s">
        <v>1317</v>
      </c>
    </row>
    <row r="273" spans="1:7" x14ac:dyDescent="0.45">
      <c r="A273" s="25" t="str">
        <f t="shared" si="10"/>
        <v/>
      </c>
      <c r="B273" s="25">
        <v>10012040</v>
      </c>
      <c r="C273" s="25">
        <v>0</v>
      </c>
      <c r="D273" s="25">
        <v>12</v>
      </c>
      <c r="E273" s="25">
        <v>4</v>
      </c>
      <c r="F273" s="25" t="s">
        <v>600</v>
      </c>
      <c r="G273" s="25" t="s">
        <v>1074</v>
      </c>
    </row>
    <row r="274" spans="1:7" x14ac:dyDescent="0.45">
      <c r="A274" s="25" t="str">
        <f t="shared" si="10"/>
        <v/>
      </c>
      <c r="B274" s="25">
        <v>10012050</v>
      </c>
      <c r="C274" s="25">
        <v>0</v>
      </c>
      <c r="D274" s="25">
        <v>12</v>
      </c>
      <c r="E274" s="25">
        <v>5</v>
      </c>
      <c r="F274" s="25" t="s">
        <v>600</v>
      </c>
      <c r="G274" s="25" t="s">
        <v>1111</v>
      </c>
    </row>
    <row r="275" spans="1:7" x14ac:dyDescent="0.45">
      <c r="A275" s="25" t="str">
        <f t="shared" si="10"/>
        <v/>
      </c>
      <c r="B275" s="25">
        <v>10012060</v>
      </c>
      <c r="C275" s="25">
        <v>0</v>
      </c>
      <c r="D275" s="25">
        <v>12</v>
      </c>
      <c r="E275" s="25">
        <v>6</v>
      </c>
      <c r="F275" s="25" t="s">
        <v>600</v>
      </c>
      <c r="G275" s="25" t="s">
        <v>1318</v>
      </c>
    </row>
    <row r="276" spans="1:7" x14ac:dyDescent="0.45">
      <c r="A276" s="25" t="str">
        <f t="shared" si="10"/>
        <v/>
      </c>
      <c r="B276" s="25">
        <v>10012070</v>
      </c>
      <c r="C276" s="25">
        <v>0</v>
      </c>
      <c r="D276" s="25">
        <v>12</v>
      </c>
      <c r="E276" s="25">
        <v>7</v>
      </c>
      <c r="F276" s="25" t="s">
        <v>600</v>
      </c>
      <c r="G276" s="25" t="s">
        <v>1319</v>
      </c>
    </row>
    <row r="277" spans="1:7" x14ac:dyDescent="0.45">
      <c r="A277" s="25" t="str">
        <f t="shared" si="10"/>
        <v/>
      </c>
      <c r="B277" s="25">
        <v>10012080</v>
      </c>
      <c r="C277" s="25">
        <v>0</v>
      </c>
      <c r="D277" s="25">
        <v>12</v>
      </c>
      <c r="E277" s="25">
        <v>8</v>
      </c>
      <c r="F277" s="25" t="s">
        <v>600</v>
      </c>
      <c r="G277" s="25" t="s">
        <v>1320</v>
      </c>
    </row>
    <row r="278" spans="1:7" x14ac:dyDescent="0.45">
      <c r="A278" s="25" t="str">
        <f t="shared" si="10"/>
        <v/>
      </c>
      <c r="B278" s="25">
        <v>10012090</v>
      </c>
      <c r="C278" s="25">
        <v>0</v>
      </c>
      <c r="D278" s="25">
        <v>12</v>
      </c>
      <c r="E278" s="25">
        <v>9</v>
      </c>
      <c r="F278" s="25" t="s">
        <v>600</v>
      </c>
      <c r="G278" s="25" t="s">
        <v>1321</v>
      </c>
    </row>
    <row r="279" spans="1:7" x14ac:dyDescent="0.45">
      <c r="A279" s="25" t="str">
        <f t="shared" si="10"/>
        <v/>
      </c>
      <c r="B279" s="25">
        <v>10012100</v>
      </c>
      <c r="C279" s="25">
        <v>0</v>
      </c>
      <c r="D279" s="25">
        <v>12</v>
      </c>
      <c r="E279" s="25">
        <v>10</v>
      </c>
      <c r="F279" s="25" t="s">
        <v>600</v>
      </c>
      <c r="G279" s="25" t="s">
        <v>1322</v>
      </c>
    </row>
    <row r="280" spans="1:7" x14ac:dyDescent="0.45">
      <c r="A280" s="25" t="str">
        <f t="shared" si="10"/>
        <v/>
      </c>
      <c r="B280" s="25">
        <v>10012110</v>
      </c>
      <c r="C280" s="25">
        <v>0</v>
      </c>
      <c r="D280" s="25">
        <v>12</v>
      </c>
      <c r="E280" s="25">
        <v>11</v>
      </c>
      <c r="F280" s="25" t="s">
        <v>600</v>
      </c>
      <c r="G280" s="25" t="s">
        <v>1323</v>
      </c>
    </row>
    <row r="281" spans="1:7" x14ac:dyDescent="0.45">
      <c r="A281" s="25" t="str">
        <f t="shared" si="10"/>
        <v/>
      </c>
      <c r="B281" s="25">
        <v>10012120</v>
      </c>
      <c r="C281" s="25">
        <v>0</v>
      </c>
      <c r="D281" s="25">
        <v>12</v>
      </c>
      <c r="E281" s="25">
        <v>12</v>
      </c>
      <c r="F281" s="25" t="s">
        <v>600</v>
      </c>
      <c r="G281" s="25" t="s">
        <v>1324</v>
      </c>
    </row>
    <row r="282" spans="1:7" x14ac:dyDescent="0.45">
      <c r="A282" s="25" t="str">
        <f t="shared" si="10"/>
        <v/>
      </c>
      <c r="B282" s="25">
        <v>10012130</v>
      </c>
      <c r="C282" s="25">
        <v>0</v>
      </c>
      <c r="D282" s="25">
        <v>12</v>
      </c>
      <c r="E282" s="25">
        <v>13</v>
      </c>
      <c r="F282" s="25" t="s">
        <v>600</v>
      </c>
      <c r="G282" s="25" t="s">
        <v>1325</v>
      </c>
    </row>
    <row r="283" spans="1:7" x14ac:dyDescent="0.45">
      <c r="A283" s="25" t="str">
        <f t="shared" si="10"/>
        <v/>
      </c>
      <c r="B283" s="25">
        <v>10012140</v>
      </c>
      <c r="C283" s="25">
        <v>0</v>
      </c>
      <c r="D283" s="25">
        <v>12</v>
      </c>
      <c r="E283" s="25">
        <v>14</v>
      </c>
      <c r="F283" s="25" t="s">
        <v>600</v>
      </c>
      <c r="G283" s="25" t="s">
        <v>1326</v>
      </c>
    </row>
    <row r="284" spans="1:7" x14ac:dyDescent="0.45">
      <c r="A284" s="25" t="str">
        <f t="shared" si="10"/>
        <v/>
      </c>
      <c r="B284" s="25">
        <v>10012150</v>
      </c>
      <c r="C284" s="25">
        <v>0</v>
      </c>
      <c r="D284" s="25">
        <v>12</v>
      </c>
      <c r="E284" s="25">
        <v>15</v>
      </c>
      <c r="F284" s="25" t="s">
        <v>600</v>
      </c>
      <c r="G284" s="25" t="s">
        <v>1327</v>
      </c>
    </row>
    <row r="285" spans="1:7" x14ac:dyDescent="0.45">
      <c r="A285" s="25" t="str">
        <f t="shared" ref="A285:A299" si="11">IF(F285=F284,"",B285)</f>
        <v/>
      </c>
      <c r="B285" s="25">
        <v>10012160</v>
      </c>
      <c r="C285" s="25">
        <v>0</v>
      </c>
      <c r="D285" s="25">
        <v>12</v>
      </c>
      <c r="E285" s="25">
        <v>16</v>
      </c>
      <c r="F285" s="25" t="s">
        <v>600</v>
      </c>
      <c r="G285" s="25" t="s">
        <v>1328</v>
      </c>
    </row>
    <row r="286" spans="1:7" x14ac:dyDescent="0.45">
      <c r="A286" s="25" t="str">
        <f t="shared" si="11"/>
        <v/>
      </c>
      <c r="B286" s="25">
        <v>10012170</v>
      </c>
      <c r="C286" s="25">
        <v>0</v>
      </c>
      <c r="D286" s="25">
        <v>12</v>
      </c>
      <c r="E286" s="25">
        <v>17</v>
      </c>
      <c r="F286" s="25" t="s">
        <v>600</v>
      </c>
      <c r="G286" s="25" t="s">
        <v>1329</v>
      </c>
    </row>
    <row r="287" spans="1:7" x14ac:dyDescent="0.45">
      <c r="A287" s="25" t="str">
        <f t="shared" si="11"/>
        <v/>
      </c>
      <c r="B287" s="25">
        <v>10012180</v>
      </c>
      <c r="C287" s="25">
        <v>0</v>
      </c>
      <c r="D287" s="25">
        <v>12</v>
      </c>
      <c r="E287" s="25">
        <v>18</v>
      </c>
      <c r="F287" s="25" t="s">
        <v>600</v>
      </c>
      <c r="G287" s="25" t="s">
        <v>1330</v>
      </c>
    </row>
    <row r="288" spans="1:7" x14ac:dyDescent="0.45">
      <c r="A288" s="25" t="str">
        <f t="shared" si="11"/>
        <v/>
      </c>
      <c r="B288" s="25">
        <v>10012190</v>
      </c>
      <c r="C288" s="25">
        <v>0</v>
      </c>
      <c r="D288" s="25">
        <v>12</v>
      </c>
      <c r="E288" s="25">
        <v>19</v>
      </c>
      <c r="F288" s="25" t="s">
        <v>600</v>
      </c>
      <c r="G288" s="25" t="s">
        <v>1331</v>
      </c>
    </row>
    <row r="289" spans="1:9" x14ac:dyDescent="0.45">
      <c r="A289" s="25" t="str">
        <f t="shared" si="11"/>
        <v/>
      </c>
      <c r="B289" s="25">
        <v>10012200</v>
      </c>
      <c r="C289" s="25">
        <v>0</v>
      </c>
      <c r="D289" s="25">
        <v>12</v>
      </c>
      <c r="E289" s="25">
        <v>20</v>
      </c>
      <c r="F289" s="25" t="s">
        <v>600</v>
      </c>
      <c r="G289" s="25" t="s">
        <v>1332</v>
      </c>
    </row>
    <row r="290" spans="1:9" x14ac:dyDescent="0.45">
      <c r="A290" s="25" t="str">
        <f t="shared" si="11"/>
        <v/>
      </c>
      <c r="B290" s="25">
        <v>10012210</v>
      </c>
      <c r="C290" s="25">
        <v>0</v>
      </c>
      <c r="D290" s="25">
        <v>12</v>
      </c>
      <c r="E290" s="25">
        <v>21</v>
      </c>
      <c r="F290" s="25" t="s">
        <v>600</v>
      </c>
      <c r="G290" s="25" t="s">
        <v>1333</v>
      </c>
    </row>
    <row r="291" spans="1:9" x14ac:dyDescent="0.45">
      <c r="A291" s="25" t="str">
        <f t="shared" si="11"/>
        <v/>
      </c>
      <c r="B291" s="25">
        <v>10012220</v>
      </c>
      <c r="C291" s="25">
        <v>0</v>
      </c>
      <c r="D291" s="25">
        <v>12</v>
      </c>
      <c r="E291" s="25">
        <v>22</v>
      </c>
      <c r="F291" s="25" t="s">
        <v>600</v>
      </c>
      <c r="G291" s="25" t="s">
        <v>1334</v>
      </c>
    </row>
    <row r="292" spans="1:9" x14ac:dyDescent="0.45">
      <c r="A292" s="25" t="str">
        <f t="shared" si="11"/>
        <v/>
      </c>
      <c r="B292" s="25">
        <v>10012230</v>
      </c>
      <c r="C292" s="25">
        <v>0</v>
      </c>
      <c r="D292" s="25">
        <v>12</v>
      </c>
      <c r="E292" s="25">
        <v>23</v>
      </c>
      <c r="F292" s="25" t="s">
        <v>600</v>
      </c>
      <c r="G292" s="25" t="s">
        <v>1335</v>
      </c>
    </row>
    <row r="293" spans="1:9" x14ac:dyDescent="0.45">
      <c r="A293" s="25" t="str">
        <f t="shared" si="11"/>
        <v/>
      </c>
      <c r="B293" s="25">
        <v>10012240</v>
      </c>
      <c r="C293" s="25">
        <v>0</v>
      </c>
      <c r="D293" s="25">
        <v>12</v>
      </c>
      <c r="E293" s="25">
        <v>24</v>
      </c>
      <c r="F293" s="25" t="s">
        <v>600</v>
      </c>
      <c r="G293" s="25" t="s">
        <v>1336</v>
      </c>
    </row>
    <row r="294" spans="1:9" x14ac:dyDescent="0.45">
      <c r="A294" s="25" t="str">
        <f t="shared" si="11"/>
        <v/>
      </c>
      <c r="B294" s="25">
        <v>10012250</v>
      </c>
      <c r="C294" s="25">
        <v>0</v>
      </c>
      <c r="D294" s="25">
        <v>12</v>
      </c>
      <c r="E294" s="25">
        <v>25</v>
      </c>
      <c r="F294" s="25" t="s">
        <v>600</v>
      </c>
      <c r="G294" s="25" t="s">
        <v>1337</v>
      </c>
    </row>
    <row r="295" spans="1:9" x14ac:dyDescent="0.45">
      <c r="A295" s="25" t="str">
        <f t="shared" si="11"/>
        <v/>
      </c>
      <c r="B295" s="25">
        <v>10012260</v>
      </c>
      <c r="C295" s="25">
        <v>0</v>
      </c>
      <c r="D295" s="25">
        <v>12</v>
      </c>
      <c r="E295" s="25">
        <v>26</v>
      </c>
      <c r="F295" s="25" t="s">
        <v>600</v>
      </c>
      <c r="G295" s="25" t="s">
        <v>1338</v>
      </c>
    </row>
    <row r="296" spans="1:9" x14ac:dyDescent="0.45">
      <c r="A296" s="25" t="str">
        <f t="shared" si="11"/>
        <v/>
      </c>
      <c r="B296" s="25">
        <v>10012270</v>
      </c>
      <c r="C296" s="25">
        <v>0</v>
      </c>
      <c r="D296" s="25">
        <v>12</v>
      </c>
      <c r="E296" s="25">
        <v>27</v>
      </c>
      <c r="F296" s="25" t="s">
        <v>600</v>
      </c>
      <c r="G296" s="25" t="s">
        <v>1339</v>
      </c>
    </row>
    <row r="297" spans="1:9" x14ac:dyDescent="0.45">
      <c r="A297" s="25" t="str">
        <f t="shared" si="11"/>
        <v/>
      </c>
      <c r="B297" s="25">
        <v>10012280</v>
      </c>
      <c r="C297" s="25">
        <v>0</v>
      </c>
      <c r="D297" s="25">
        <v>12</v>
      </c>
      <c r="E297" s="25">
        <v>28</v>
      </c>
      <c r="F297" s="25" t="s">
        <v>600</v>
      </c>
      <c r="G297" s="25" t="s">
        <v>1340</v>
      </c>
    </row>
    <row r="298" spans="1:9" x14ac:dyDescent="0.45">
      <c r="A298" s="25" t="str">
        <f t="shared" si="11"/>
        <v/>
      </c>
      <c r="B298" s="25">
        <v>10012290</v>
      </c>
      <c r="C298" s="25">
        <v>0</v>
      </c>
      <c r="D298" s="25">
        <v>12</v>
      </c>
      <c r="E298" s="25">
        <v>29</v>
      </c>
      <c r="F298" s="25" t="s">
        <v>600</v>
      </c>
      <c r="G298" s="25" t="s">
        <v>1341</v>
      </c>
    </row>
    <row r="299" spans="1:9" x14ac:dyDescent="0.45">
      <c r="A299" s="25" t="str">
        <f t="shared" si="11"/>
        <v/>
      </c>
      <c r="B299" s="25">
        <v>10012300</v>
      </c>
      <c r="C299" s="25">
        <v>0</v>
      </c>
      <c r="D299" s="25">
        <v>12</v>
      </c>
      <c r="E299" s="25">
        <v>30</v>
      </c>
      <c r="F299" s="25" t="s">
        <v>600</v>
      </c>
      <c r="G299" s="25" t="s">
        <v>1342</v>
      </c>
    </row>
    <row r="300" spans="1:9" x14ac:dyDescent="0.45">
      <c r="A300" s="23">
        <f>IF(F300=F284,"",B300)</f>
        <v>10013010</v>
      </c>
      <c r="B300" s="23">
        <v>10013010</v>
      </c>
      <c r="C300" s="23">
        <v>0</v>
      </c>
      <c r="D300" s="23">
        <v>13</v>
      </c>
      <c r="E300" s="23">
        <v>1</v>
      </c>
      <c r="F300" s="23" t="s">
        <v>656</v>
      </c>
      <c r="G300" s="23" t="s">
        <v>1343</v>
      </c>
      <c r="I300" s="21">
        <v>100015</v>
      </c>
    </row>
    <row r="301" spans="1:9" x14ac:dyDescent="0.45">
      <c r="A301" s="23" t="str">
        <f t="shared" ref="A301:A362" si="12">IF(F301=F300,"",B301)</f>
        <v/>
      </c>
      <c r="B301" s="23">
        <v>10013020</v>
      </c>
      <c r="C301" s="23">
        <v>0</v>
      </c>
      <c r="D301" s="23">
        <v>13</v>
      </c>
      <c r="E301" s="23">
        <v>2</v>
      </c>
      <c r="F301" s="23" t="s">
        <v>656</v>
      </c>
      <c r="G301" s="23" t="s">
        <v>1344</v>
      </c>
    </row>
    <row r="302" spans="1:9" x14ac:dyDescent="0.45">
      <c r="A302" s="23" t="str">
        <f t="shared" si="12"/>
        <v/>
      </c>
      <c r="B302" s="23">
        <v>10013030</v>
      </c>
      <c r="C302" s="23">
        <v>0</v>
      </c>
      <c r="D302" s="23">
        <v>13</v>
      </c>
      <c r="E302" s="23">
        <v>3</v>
      </c>
      <c r="F302" s="23" t="s">
        <v>656</v>
      </c>
      <c r="G302" s="23" t="s">
        <v>1345</v>
      </c>
    </row>
    <row r="303" spans="1:9" x14ac:dyDescent="0.45">
      <c r="A303" s="23" t="str">
        <f t="shared" si="12"/>
        <v/>
      </c>
      <c r="B303" s="23">
        <v>10013040</v>
      </c>
      <c r="C303" s="23">
        <v>0</v>
      </c>
      <c r="D303" s="23">
        <v>13</v>
      </c>
      <c r="E303" s="23">
        <v>4</v>
      </c>
      <c r="F303" s="23" t="s">
        <v>656</v>
      </c>
      <c r="G303" s="23" t="s">
        <v>1346</v>
      </c>
    </row>
    <row r="304" spans="1:9" x14ac:dyDescent="0.45">
      <c r="A304" s="23" t="str">
        <f t="shared" si="12"/>
        <v/>
      </c>
      <c r="B304" s="23">
        <v>10013050</v>
      </c>
      <c r="C304" s="23">
        <v>0</v>
      </c>
      <c r="D304" s="23">
        <v>13</v>
      </c>
      <c r="E304" s="23">
        <v>5</v>
      </c>
      <c r="F304" s="23" t="s">
        <v>656</v>
      </c>
      <c r="G304" s="23" t="s">
        <v>1347</v>
      </c>
    </row>
    <row r="305" spans="1:7" x14ac:dyDescent="0.45">
      <c r="A305" s="23" t="str">
        <f t="shared" si="12"/>
        <v/>
      </c>
      <c r="B305" s="23">
        <v>10013060</v>
      </c>
      <c r="C305" s="23">
        <v>0</v>
      </c>
      <c r="D305" s="23">
        <v>13</v>
      </c>
      <c r="E305" s="23">
        <v>6</v>
      </c>
      <c r="F305" s="23" t="s">
        <v>656</v>
      </c>
      <c r="G305" s="23" t="s">
        <v>1348</v>
      </c>
    </row>
    <row r="306" spans="1:7" x14ac:dyDescent="0.45">
      <c r="A306" s="23" t="str">
        <f t="shared" si="12"/>
        <v/>
      </c>
      <c r="B306" s="23">
        <v>10013070</v>
      </c>
      <c r="C306" s="23">
        <v>0</v>
      </c>
      <c r="D306" s="23">
        <v>13</v>
      </c>
      <c r="E306" s="23">
        <v>7</v>
      </c>
      <c r="F306" s="23" t="s">
        <v>656</v>
      </c>
      <c r="G306" s="23" t="s">
        <v>1349</v>
      </c>
    </row>
    <row r="307" spans="1:7" x14ac:dyDescent="0.45">
      <c r="A307" s="23" t="str">
        <f t="shared" si="12"/>
        <v/>
      </c>
      <c r="B307" s="23">
        <v>10013080</v>
      </c>
      <c r="C307" s="23">
        <v>0</v>
      </c>
      <c r="D307" s="23">
        <v>13</v>
      </c>
      <c r="E307" s="23">
        <v>8</v>
      </c>
      <c r="F307" s="23" t="s">
        <v>656</v>
      </c>
      <c r="G307" s="23" t="s">
        <v>1350</v>
      </c>
    </row>
    <row r="308" spans="1:7" x14ac:dyDescent="0.45">
      <c r="A308" s="23" t="str">
        <f t="shared" si="12"/>
        <v/>
      </c>
      <c r="B308" s="23">
        <v>10013090</v>
      </c>
      <c r="C308" s="23">
        <v>0</v>
      </c>
      <c r="D308" s="23">
        <v>13</v>
      </c>
      <c r="E308" s="23">
        <v>9</v>
      </c>
      <c r="F308" s="23" t="s">
        <v>656</v>
      </c>
      <c r="G308" s="23" t="s">
        <v>1351</v>
      </c>
    </row>
    <row r="309" spans="1:7" x14ac:dyDescent="0.45">
      <c r="A309" s="23" t="str">
        <f t="shared" si="12"/>
        <v/>
      </c>
      <c r="B309" s="23">
        <v>10013100</v>
      </c>
      <c r="C309" s="23">
        <v>0</v>
      </c>
      <c r="D309" s="23">
        <v>13</v>
      </c>
      <c r="E309" s="23">
        <v>10</v>
      </c>
      <c r="F309" s="23" t="s">
        <v>656</v>
      </c>
      <c r="G309" s="23" t="s">
        <v>1352</v>
      </c>
    </row>
    <row r="310" spans="1:7" x14ac:dyDescent="0.45">
      <c r="A310" s="23" t="str">
        <f t="shared" si="12"/>
        <v/>
      </c>
      <c r="B310" s="23">
        <v>10013110</v>
      </c>
      <c r="C310" s="23">
        <v>0</v>
      </c>
      <c r="D310" s="23">
        <v>13</v>
      </c>
      <c r="E310" s="23">
        <v>11</v>
      </c>
      <c r="F310" s="23" t="s">
        <v>656</v>
      </c>
      <c r="G310" s="23" t="s">
        <v>1353</v>
      </c>
    </row>
    <row r="311" spans="1:7" x14ac:dyDescent="0.45">
      <c r="A311" s="23" t="str">
        <f t="shared" si="12"/>
        <v/>
      </c>
      <c r="B311" s="23">
        <v>10013120</v>
      </c>
      <c r="C311" s="23">
        <v>0</v>
      </c>
      <c r="D311" s="23">
        <v>13</v>
      </c>
      <c r="E311" s="23">
        <v>12</v>
      </c>
      <c r="F311" s="23" t="s">
        <v>656</v>
      </c>
      <c r="G311" s="23" t="s">
        <v>1354</v>
      </c>
    </row>
    <row r="312" spans="1:7" x14ac:dyDescent="0.45">
      <c r="A312" s="23" t="str">
        <f t="shared" si="12"/>
        <v/>
      </c>
      <c r="B312" s="23">
        <v>10013130</v>
      </c>
      <c r="C312" s="23">
        <v>0</v>
      </c>
      <c r="D312" s="23">
        <v>13</v>
      </c>
      <c r="E312" s="23">
        <v>13</v>
      </c>
      <c r="F312" s="23" t="s">
        <v>656</v>
      </c>
      <c r="G312" s="23" t="s">
        <v>1355</v>
      </c>
    </row>
    <row r="313" spans="1:7" x14ac:dyDescent="0.45">
      <c r="A313" s="23" t="str">
        <f t="shared" si="12"/>
        <v/>
      </c>
      <c r="B313" s="23">
        <v>10013140</v>
      </c>
      <c r="C313" s="23">
        <v>0</v>
      </c>
      <c r="D313" s="23">
        <v>13</v>
      </c>
      <c r="E313" s="23">
        <v>14</v>
      </c>
      <c r="F313" s="23" t="s">
        <v>656</v>
      </c>
      <c r="G313" s="23" t="s">
        <v>1356</v>
      </c>
    </row>
    <row r="314" spans="1:7" x14ac:dyDescent="0.45">
      <c r="A314" s="23" t="str">
        <f t="shared" si="12"/>
        <v/>
      </c>
      <c r="B314" s="23">
        <v>10013150</v>
      </c>
      <c r="C314" s="23">
        <v>0</v>
      </c>
      <c r="D314" s="23">
        <v>13</v>
      </c>
      <c r="E314" s="23">
        <v>15</v>
      </c>
      <c r="F314" s="23" t="s">
        <v>656</v>
      </c>
      <c r="G314" s="23" t="s">
        <v>1357</v>
      </c>
    </row>
    <row r="315" spans="1:7" x14ac:dyDescent="0.45">
      <c r="A315" s="23" t="str">
        <f t="shared" si="12"/>
        <v/>
      </c>
      <c r="B315" s="23">
        <v>10013160</v>
      </c>
      <c r="C315" s="23">
        <v>0</v>
      </c>
      <c r="D315" s="23">
        <v>13</v>
      </c>
      <c r="E315" s="23">
        <v>16</v>
      </c>
      <c r="F315" s="23" t="s">
        <v>656</v>
      </c>
      <c r="G315" s="23" t="s">
        <v>1358</v>
      </c>
    </row>
    <row r="316" spans="1:7" x14ac:dyDescent="0.45">
      <c r="A316" s="23" t="str">
        <f t="shared" si="12"/>
        <v/>
      </c>
      <c r="B316" s="23">
        <v>10013170</v>
      </c>
      <c r="C316" s="23">
        <v>0</v>
      </c>
      <c r="D316" s="23">
        <v>13</v>
      </c>
      <c r="E316" s="23">
        <v>17</v>
      </c>
      <c r="F316" s="23" t="s">
        <v>656</v>
      </c>
      <c r="G316" s="23" t="s">
        <v>1359</v>
      </c>
    </row>
    <row r="317" spans="1:7" x14ac:dyDescent="0.45">
      <c r="A317" s="23" t="str">
        <f t="shared" si="12"/>
        <v/>
      </c>
      <c r="B317" s="23">
        <v>10013180</v>
      </c>
      <c r="C317" s="23">
        <v>0</v>
      </c>
      <c r="D317" s="23">
        <v>13</v>
      </c>
      <c r="E317" s="23">
        <v>18</v>
      </c>
      <c r="F317" s="23" t="s">
        <v>656</v>
      </c>
      <c r="G317" s="23" t="s">
        <v>1360</v>
      </c>
    </row>
    <row r="318" spans="1:7" x14ac:dyDescent="0.45">
      <c r="A318" s="23" t="str">
        <f t="shared" si="12"/>
        <v/>
      </c>
      <c r="B318" s="23">
        <v>10013190</v>
      </c>
      <c r="C318" s="23">
        <v>0</v>
      </c>
      <c r="D318" s="23">
        <v>13</v>
      </c>
      <c r="E318" s="23">
        <v>19</v>
      </c>
      <c r="F318" s="23" t="s">
        <v>656</v>
      </c>
      <c r="G318" s="23" t="s">
        <v>1361</v>
      </c>
    </row>
    <row r="319" spans="1:7" x14ac:dyDescent="0.45">
      <c r="A319" s="23" t="str">
        <f t="shared" si="12"/>
        <v/>
      </c>
      <c r="B319" s="23">
        <v>10013200</v>
      </c>
      <c r="C319" s="23">
        <v>0</v>
      </c>
      <c r="D319" s="23">
        <v>13</v>
      </c>
      <c r="E319" s="23">
        <v>20</v>
      </c>
      <c r="F319" s="23" t="s">
        <v>656</v>
      </c>
      <c r="G319" s="23" t="s">
        <v>1362</v>
      </c>
    </row>
    <row r="320" spans="1:7" x14ac:dyDescent="0.45">
      <c r="A320" s="23" t="str">
        <f t="shared" si="12"/>
        <v/>
      </c>
      <c r="B320" s="23">
        <v>10013210</v>
      </c>
      <c r="C320" s="23">
        <v>0</v>
      </c>
      <c r="D320" s="23">
        <v>13</v>
      </c>
      <c r="E320" s="23">
        <v>21</v>
      </c>
      <c r="F320" s="23" t="s">
        <v>656</v>
      </c>
      <c r="G320" s="23" t="s">
        <v>1363</v>
      </c>
    </row>
    <row r="321" spans="1:7" x14ac:dyDescent="0.45">
      <c r="A321" s="23" t="str">
        <f t="shared" si="12"/>
        <v/>
      </c>
      <c r="B321" s="23">
        <v>10013220</v>
      </c>
      <c r="C321" s="23">
        <v>0</v>
      </c>
      <c r="D321" s="23">
        <v>13</v>
      </c>
      <c r="E321" s="23">
        <v>22</v>
      </c>
      <c r="F321" s="23" t="s">
        <v>656</v>
      </c>
      <c r="G321" s="23" t="s">
        <v>1364</v>
      </c>
    </row>
    <row r="322" spans="1:7" x14ac:dyDescent="0.45">
      <c r="A322" s="23" t="str">
        <f t="shared" si="12"/>
        <v/>
      </c>
      <c r="B322" s="23">
        <v>10013230</v>
      </c>
      <c r="C322" s="23">
        <v>0</v>
      </c>
      <c r="D322" s="23">
        <v>13</v>
      </c>
      <c r="E322" s="23">
        <v>23</v>
      </c>
      <c r="F322" s="23" t="s">
        <v>656</v>
      </c>
      <c r="G322" s="23" t="s">
        <v>1365</v>
      </c>
    </row>
    <row r="323" spans="1:7" x14ac:dyDescent="0.45">
      <c r="A323" s="23" t="str">
        <f t="shared" si="12"/>
        <v/>
      </c>
      <c r="B323" s="23">
        <v>10013240</v>
      </c>
      <c r="C323" s="23">
        <v>0</v>
      </c>
      <c r="D323" s="23">
        <v>13</v>
      </c>
      <c r="E323" s="23">
        <v>24</v>
      </c>
      <c r="F323" s="23" t="s">
        <v>656</v>
      </c>
      <c r="G323" s="23" t="s">
        <v>1366</v>
      </c>
    </row>
    <row r="324" spans="1:7" x14ac:dyDescent="0.45">
      <c r="A324" s="23" t="str">
        <f t="shared" si="12"/>
        <v/>
      </c>
      <c r="B324" s="23">
        <v>10013250</v>
      </c>
      <c r="C324" s="23">
        <v>0</v>
      </c>
      <c r="D324" s="23">
        <v>13</v>
      </c>
      <c r="E324" s="23">
        <v>25</v>
      </c>
      <c r="F324" s="23" t="s">
        <v>656</v>
      </c>
      <c r="G324" s="23" t="s">
        <v>1367</v>
      </c>
    </row>
    <row r="325" spans="1:7" x14ac:dyDescent="0.45">
      <c r="A325" s="23" t="str">
        <f t="shared" si="12"/>
        <v/>
      </c>
      <c r="B325" s="23">
        <v>10013260</v>
      </c>
      <c r="C325" s="23">
        <v>0</v>
      </c>
      <c r="D325" s="23">
        <v>13</v>
      </c>
      <c r="E325" s="23">
        <v>26</v>
      </c>
      <c r="F325" s="23" t="s">
        <v>656</v>
      </c>
      <c r="G325" s="23" t="s">
        <v>1368</v>
      </c>
    </row>
    <row r="326" spans="1:7" x14ac:dyDescent="0.45">
      <c r="A326" s="23" t="str">
        <f t="shared" si="12"/>
        <v/>
      </c>
      <c r="B326" s="23">
        <v>10013270</v>
      </c>
      <c r="C326" s="23">
        <v>0</v>
      </c>
      <c r="D326" s="23">
        <v>13</v>
      </c>
      <c r="E326" s="23">
        <v>27</v>
      </c>
      <c r="F326" s="23" t="s">
        <v>656</v>
      </c>
      <c r="G326" s="23" t="s">
        <v>1369</v>
      </c>
    </row>
    <row r="327" spans="1:7" x14ac:dyDescent="0.45">
      <c r="A327" s="23" t="str">
        <f t="shared" si="12"/>
        <v/>
      </c>
      <c r="B327" s="23">
        <v>10013280</v>
      </c>
      <c r="C327" s="23">
        <v>0</v>
      </c>
      <c r="D327" s="23">
        <v>13</v>
      </c>
      <c r="E327" s="23">
        <v>28</v>
      </c>
      <c r="F327" s="23" t="s">
        <v>656</v>
      </c>
      <c r="G327" s="23" t="s">
        <v>1370</v>
      </c>
    </row>
    <row r="328" spans="1:7" x14ac:dyDescent="0.45">
      <c r="A328" s="23" t="str">
        <f t="shared" si="12"/>
        <v/>
      </c>
      <c r="B328" s="23">
        <v>10013290</v>
      </c>
      <c r="C328" s="23">
        <v>0</v>
      </c>
      <c r="D328" s="23">
        <v>13</v>
      </c>
      <c r="E328" s="23">
        <v>29</v>
      </c>
      <c r="F328" s="23" t="s">
        <v>656</v>
      </c>
      <c r="G328" s="23" t="s">
        <v>1371</v>
      </c>
    </row>
    <row r="329" spans="1:7" x14ac:dyDescent="0.45">
      <c r="A329" s="23" t="str">
        <f t="shared" si="12"/>
        <v/>
      </c>
      <c r="B329" s="23">
        <v>10013300</v>
      </c>
      <c r="C329" s="23">
        <v>0</v>
      </c>
      <c r="D329" s="23">
        <v>13</v>
      </c>
      <c r="E329" s="23">
        <v>30</v>
      </c>
      <c r="F329" s="23" t="s">
        <v>656</v>
      </c>
      <c r="G329" s="23" t="s">
        <v>1372</v>
      </c>
    </row>
    <row r="330" spans="1:7" x14ac:dyDescent="0.45">
      <c r="A330" s="23" t="str">
        <f t="shared" si="12"/>
        <v/>
      </c>
      <c r="B330" s="23">
        <v>10013310</v>
      </c>
      <c r="C330" s="23">
        <v>0</v>
      </c>
      <c r="D330" s="23">
        <v>13</v>
      </c>
      <c r="E330" s="23">
        <v>31</v>
      </c>
      <c r="F330" s="23" t="s">
        <v>656</v>
      </c>
      <c r="G330" s="23" t="s">
        <v>1373</v>
      </c>
    </row>
    <row r="331" spans="1:7" x14ac:dyDescent="0.45">
      <c r="A331" s="23" t="str">
        <f t="shared" si="12"/>
        <v/>
      </c>
      <c r="B331" s="23">
        <v>10013320</v>
      </c>
      <c r="C331" s="23">
        <v>0</v>
      </c>
      <c r="D331" s="23">
        <v>13</v>
      </c>
      <c r="E331" s="23">
        <v>32</v>
      </c>
      <c r="F331" s="23" t="s">
        <v>656</v>
      </c>
      <c r="G331" s="23" t="s">
        <v>1374</v>
      </c>
    </row>
    <row r="332" spans="1:7" x14ac:dyDescent="0.45">
      <c r="A332" s="23" t="str">
        <f t="shared" si="12"/>
        <v/>
      </c>
      <c r="B332" s="23">
        <v>10013330</v>
      </c>
      <c r="C332" s="23">
        <v>0</v>
      </c>
      <c r="D332" s="23">
        <v>13</v>
      </c>
      <c r="E332" s="23">
        <v>33</v>
      </c>
      <c r="F332" s="23" t="s">
        <v>656</v>
      </c>
      <c r="G332" s="23" t="s">
        <v>1375</v>
      </c>
    </row>
    <row r="333" spans="1:7" x14ac:dyDescent="0.45">
      <c r="A333" s="23" t="str">
        <f t="shared" si="12"/>
        <v/>
      </c>
      <c r="B333" s="23">
        <v>10013340</v>
      </c>
      <c r="C333" s="23">
        <v>0</v>
      </c>
      <c r="D333" s="23">
        <v>13</v>
      </c>
      <c r="E333" s="23">
        <v>34</v>
      </c>
      <c r="F333" s="23" t="s">
        <v>656</v>
      </c>
      <c r="G333" s="23" t="s">
        <v>1376</v>
      </c>
    </row>
    <row r="334" spans="1:7" x14ac:dyDescent="0.45">
      <c r="A334" s="23" t="str">
        <f t="shared" si="12"/>
        <v/>
      </c>
      <c r="B334" s="23">
        <v>10013350</v>
      </c>
      <c r="C334" s="23">
        <v>0</v>
      </c>
      <c r="D334" s="23">
        <v>13</v>
      </c>
      <c r="E334" s="23">
        <v>35</v>
      </c>
      <c r="F334" s="23" t="s">
        <v>656</v>
      </c>
      <c r="G334" s="23" t="s">
        <v>1377</v>
      </c>
    </row>
    <row r="335" spans="1:7" x14ac:dyDescent="0.45">
      <c r="A335" s="23" t="str">
        <f t="shared" si="12"/>
        <v/>
      </c>
      <c r="B335" s="23">
        <v>10013360</v>
      </c>
      <c r="C335" s="23">
        <v>0</v>
      </c>
      <c r="D335" s="23">
        <v>13</v>
      </c>
      <c r="E335" s="23">
        <v>36</v>
      </c>
      <c r="F335" s="23" t="s">
        <v>656</v>
      </c>
      <c r="G335" s="23" t="s">
        <v>1378</v>
      </c>
    </row>
    <row r="336" spans="1:7" x14ac:dyDescent="0.45">
      <c r="A336" s="23" t="str">
        <f t="shared" si="12"/>
        <v/>
      </c>
      <c r="B336" s="23">
        <v>10013370</v>
      </c>
      <c r="C336" s="23">
        <v>0</v>
      </c>
      <c r="D336" s="23">
        <v>13</v>
      </c>
      <c r="E336" s="23">
        <v>37</v>
      </c>
      <c r="F336" s="23" t="s">
        <v>656</v>
      </c>
      <c r="G336" s="23" t="s">
        <v>1379</v>
      </c>
    </row>
    <row r="337" spans="1:9" x14ac:dyDescent="0.45">
      <c r="A337" s="26">
        <f t="shared" si="12"/>
        <v>10014010</v>
      </c>
      <c r="B337" s="26">
        <v>10014010</v>
      </c>
      <c r="C337" s="26">
        <v>0</v>
      </c>
      <c r="D337" s="26">
        <v>14</v>
      </c>
      <c r="E337" s="26">
        <v>1</v>
      </c>
      <c r="F337" s="26" t="s">
        <v>693</v>
      </c>
      <c r="G337" s="26" t="s">
        <v>1380</v>
      </c>
      <c r="I337" s="21">
        <v>100015</v>
      </c>
    </row>
    <row r="338" spans="1:9" x14ac:dyDescent="0.45">
      <c r="A338" s="26" t="str">
        <f t="shared" si="12"/>
        <v/>
      </c>
      <c r="B338" s="26">
        <v>10014020</v>
      </c>
      <c r="C338" s="26">
        <v>0</v>
      </c>
      <c r="D338" s="26">
        <v>14</v>
      </c>
      <c r="E338" s="26">
        <v>2</v>
      </c>
      <c r="F338" s="26" t="s">
        <v>693</v>
      </c>
      <c r="G338" s="26" t="s">
        <v>1381</v>
      </c>
    </row>
    <row r="339" spans="1:9" x14ac:dyDescent="0.45">
      <c r="A339" s="26" t="str">
        <f t="shared" si="12"/>
        <v/>
      </c>
      <c r="B339" s="26">
        <v>10014030</v>
      </c>
      <c r="C339" s="26">
        <v>0</v>
      </c>
      <c r="D339" s="26">
        <v>14</v>
      </c>
      <c r="E339" s="26">
        <v>3</v>
      </c>
      <c r="F339" s="26" t="s">
        <v>693</v>
      </c>
      <c r="G339" s="26" t="s">
        <v>1382</v>
      </c>
    </row>
    <row r="340" spans="1:9" x14ac:dyDescent="0.45">
      <c r="A340" s="26" t="str">
        <f t="shared" si="12"/>
        <v/>
      </c>
      <c r="B340" s="26">
        <v>10014040</v>
      </c>
      <c r="C340" s="26">
        <v>0</v>
      </c>
      <c r="D340" s="26">
        <v>14</v>
      </c>
      <c r="E340" s="26">
        <v>4</v>
      </c>
      <c r="F340" s="26" t="s">
        <v>693</v>
      </c>
      <c r="G340" s="26" t="s">
        <v>1383</v>
      </c>
    </row>
    <row r="341" spans="1:9" x14ac:dyDescent="0.45">
      <c r="A341" s="26" t="str">
        <f t="shared" si="12"/>
        <v/>
      </c>
      <c r="B341" s="26">
        <v>10014050</v>
      </c>
      <c r="C341" s="26">
        <v>0</v>
      </c>
      <c r="D341" s="26">
        <v>14</v>
      </c>
      <c r="E341" s="26">
        <v>5</v>
      </c>
      <c r="F341" s="26" t="s">
        <v>693</v>
      </c>
      <c r="G341" s="26" t="s">
        <v>1384</v>
      </c>
    </row>
    <row r="342" spans="1:9" x14ac:dyDescent="0.45">
      <c r="A342" s="26" t="str">
        <f t="shared" si="12"/>
        <v/>
      </c>
      <c r="B342" s="26">
        <v>10014060</v>
      </c>
      <c r="C342" s="26">
        <v>0</v>
      </c>
      <c r="D342" s="26">
        <v>14</v>
      </c>
      <c r="E342" s="26">
        <v>6</v>
      </c>
      <c r="F342" s="26" t="s">
        <v>693</v>
      </c>
      <c r="G342" s="26" t="s">
        <v>1385</v>
      </c>
    </row>
    <row r="343" spans="1:9" x14ac:dyDescent="0.45">
      <c r="A343" s="26" t="str">
        <f t="shared" si="12"/>
        <v/>
      </c>
      <c r="B343" s="26">
        <v>10014070</v>
      </c>
      <c r="C343" s="26">
        <v>0</v>
      </c>
      <c r="D343" s="26">
        <v>14</v>
      </c>
      <c r="E343" s="26">
        <v>7</v>
      </c>
      <c r="F343" s="26" t="s">
        <v>693</v>
      </c>
      <c r="G343" s="26" t="s">
        <v>1386</v>
      </c>
    </row>
    <row r="344" spans="1:9" x14ac:dyDescent="0.45">
      <c r="A344" s="26" t="str">
        <f t="shared" si="12"/>
        <v/>
      </c>
      <c r="B344" s="26">
        <v>10014080</v>
      </c>
      <c r="C344" s="26">
        <v>0</v>
      </c>
      <c r="D344" s="26">
        <v>14</v>
      </c>
      <c r="E344" s="26">
        <v>8</v>
      </c>
      <c r="F344" s="26" t="s">
        <v>693</v>
      </c>
      <c r="G344" s="26" t="s">
        <v>1387</v>
      </c>
    </row>
    <row r="345" spans="1:9" x14ac:dyDescent="0.45">
      <c r="A345" s="26" t="str">
        <f t="shared" si="12"/>
        <v/>
      </c>
      <c r="B345" s="26">
        <v>10014090</v>
      </c>
      <c r="C345" s="26">
        <v>0</v>
      </c>
      <c r="D345" s="26">
        <v>14</v>
      </c>
      <c r="E345" s="26">
        <v>9</v>
      </c>
      <c r="F345" s="26" t="s">
        <v>693</v>
      </c>
      <c r="G345" s="26" t="s">
        <v>1388</v>
      </c>
    </row>
    <row r="346" spans="1:9" x14ac:dyDescent="0.45">
      <c r="A346" s="26" t="str">
        <f t="shared" si="12"/>
        <v/>
      </c>
      <c r="B346" s="26">
        <v>10014100</v>
      </c>
      <c r="C346" s="26">
        <v>0</v>
      </c>
      <c r="D346" s="26">
        <v>14</v>
      </c>
      <c r="E346" s="26">
        <v>10</v>
      </c>
      <c r="F346" s="26" t="s">
        <v>693</v>
      </c>
      <c r="G346" s="26" t="s">
        <v>1389</v>
      </c>
    </row>
    <row r="347" spans="1:9" x14ac:dyDescent="0.45">
      <c r="A347" s="26" t="str">
        <f t="shared" si="12"/>
        <v/>
      </c>
      <c r="B347" s="26">
        <v>10014110</v>
      </c>
      <c r="C347" s="26">
        <v>0</v>
      </c>
      <c r="D347" s="26">
        <v>14</v>
      </c>
      <c r="E347" s="26">
        <v>11</v>
      </c>
      <c r="F347" s="26" t="s">
        <v>693</v>
      </c>
      <c r="G347" s="26" t="s">
        <v>1390</v>
      </c>
    </row>
    <row r="348" spans="1:9" x14ac:dyDescent="0.45">
      <c r="A348" s="26" t="str">
        <f t="shared" si="12"/>
        <v/>
      </c>
      <c r="B348" s="26">
        <v>10014120</v>
      </c>
      <c r="C348" s="26">
        <v>0</v>
      </c>
      <c r="D348" s="26">
        <v>14</v>
      </c>
      <c r="E348" s="26">
        <v>12</v>
      </c>
      <c r="F348" s="26" t="s">
        <v>693</v>
      </c>
      <c r="G348" s="26" t="s">
        <v>1391</v>
      </c>
    </row>
    <row r="349" spans="1:9" x14ac:dyDescent="0.45">
      <c r="A349" s="26" t="str">
        <f t="shared" si="12"/>
        <v/>
      </c>
      <c r="B349" s="26">
        <v>10014130</v>
      </c>
      <c r="C349" s="26">
        <v>0</v>
      </c>
      <c r="D349" s="26">
        <v>14</v>
      </c>
      <c r="E349" s="26">
        <v>13</v>
      </c>
      <c r="F349" s="26" t="s">
        <v>693</v>
      </c>
      <c r="G349" s="26" t="s">
        <v>1392</v>
      </c>
    </row>
    <row r="350" spans="1:9" x14ac:dyDescent="0.45">
      <c r="A350" s="26" t="str">
        <f t="shared" si="12"/>
        <v/>
      </c>
      <c r="B350" s="26">
        <v>10014140</v>
      </c>
      <c r="C350" s="26">
        <v>0</v>
      </c>
      <c r="D350" s="26">
        <v>14</v>
      </c>
      <c r="E350" s="26">
        <v>14</v>
      </c>
      <c r="F350" s="26" t="s">
        <v>693</v>
      </c>
      <c r="G350" s="26" t="s">
        <v>1393</v>
      </c>
    </row>
    <row r="351" spans="1:9" x14ac:dyDescent="0.45">
      <c r="A351" s="26" t="str">
        <f t="shared" si="12"/>
        <v/>
      </c>
      <c r="B351" s="26">
        <v>10014150</v>
      </c>
      <c r="C351" s="26">
        <v>0</v>
      </c>
      <c r="D351" s="26">
        <v>14</v>
      </c>
      <c r="E351" s="26">
        <v>15</v>
      </c>
      <c r="F351" s="26" t="s">
        <v>693</v>
      </c>
      <c r="G351" s="26" t="s">
        <v>1394</v>
      </c>
    </row>
    <row r="352" spans="1:9" x14ac:dyDescent="0.45">
      <c r="A352" s="26" t="str">
        <f t="shared" si="12"/>
        <v/>
      </c>
      <c r="B352" s="26">
        <v>10014160</v>
      </c>
      <c r="C352" s="26">
        <v>0</v>
      </c>
      <c r="D352" s="26">
        <v>14</v>
      </c>
      <c r="E352" s="26">
        <v>16</v>
      </c>
      <c r="F352" s="26" t="s">
        <v>693</v>
      </c>
      <c r="G352" s="26" t="s">
        <v>1395</v>
      </c>
    </row>
    <row r="353" spans="1:9" x14ac:dyDescent="0.45">
      <c r="A353" s="26" t="str">
        <f t="shared" si="12"/>
        <v/>
      </c>
      <c r="B353" s="26">
        <v>10014170</v>
      </c>
      <c r="C353" s="26">
        <v>0</v>
      </c>
      <c r="D353" s="26">
        <v>14</v>
      </c>
      <c r="E353" s="26">
        <v>17</v>
      </c>
      <c r="F353" s="26" t="s">
        <v>693</v>
      </c>
      <c r="G353" s="26" t="s">
        <v>1396</v>
      </c>
    </row>
    <row r="354" spans="1:9" x14ac:dyDescent="0.45">
      <c r="A354" s="26" t="str">
        <f t="shared" si="12"/>
        <v/>
      </c>
      <c r="B354" s="26">
        <v>10014180</v>
      </c>
      <c r="C354" s="26">
        <v>0</v>
      </c>
      <c r="D354" s="26">
        <v>14</v>
      </c>
      <c r="E354" s="26">
        <v>18</v>
      </c>
      <c r="F354" s="26" t="s">
        <v>693</v>
      </c>
      <c r="G354" s="26" t="s">
        <v>1397</v>
      </c>
    </row>
    <row r="355" spans="1:9" x14ac:dyDescent="0.45">
      <c r="A355" s="26" t="str">
        <f t="shared" si="12"/>
        <v/>
      </c>
      <c r="B355" s="26">
        <v>10014190</v>
      </c>
      <c r="C355" s="26">
        <v>0</v>
      </c>
      <c r="D355" s="26">
        <v>14</v>
      </c>
      <c r="E355" s="26">
        <v>19</v>
      </c>
      <c r="F355" s="26" t="s">
        <v>693</v>
      </c>
      <c r="G355" s="26" t="s">
        <v>1398</v>
      </c>
    </row>
    <row r="356" spans="1:9" x14ac:dyDescent="0.45">
      <c r="A356" s="23">
        <f t="shared" si="12"/>
        <v>10015010</v>
      </c>
      <c r="B356" s="23">
        <v>10015010</v>
      </c>
      <c r="C356" s="23">
        <v>0</v>
      </c>
      <c r="D356" s="23">
        <v>15</v>
      </c>
      <c r="E356" s="23">
        <v>1</v>
      </c>
      <c r="F356" s="23" t="s">
        <v>718</v>
      </c>
      <c r="G356" s="23" t="s">
        <v>1399</v>
      </c>
      <c r="I356" s="21">
        <v>100015</v>
      </c>
    </row>
    <row r="357" spans="1:9" x14ac:dyDescent="0.45">
      <c r="A357" s="23" t="str">
        <f t="shared" si="12"/>
        <v/>
      </c>
      <c r="B357" s="23">
        <v>10015020</v>
      </c>
      <c r="C357" s="23">
        <v>0</v>
      </c>
      <c r="D357" s="23">
        <v>15</v>
      </c>
      <c r="E357" s="23">
        <v>2</v>
      </c>
      <c r="F357" s="23" t="s">
        <v>718</v>
      </c>
      <c r="G357" s="23" t="s">
        <v>1400</v>
      </c>
    </row>
    <row r="358" spans="1:9" x14ac:dyDescent="0.45">
      <c r="A358" s="23" t="str">
        <f t="shared" si="12"/>
        <v/>
      </c>
      <c r="B358" s="23">
        <v>10015030</v>
      </c>
      <c r="C358" s="23">
        <v>0</v>
      </c>
      <c r="D358" s="23">
        <v>15</v>
      </c>
      <c r="E358" s="23">
        <v>3</v>
      </c>
      <c r="F358" s="23" t="s">
        <v>718</v>
      </c>
      <c r="G358" s="23" t="s">
        <v>1401</v>
      </c>
    </row>
    <row r="359" spans="1:9" x14ac:dyDescent="0.45">
      <c r="A359" s="23" t="str">
        <f t="shared" si="12"/>
        <v/>
      </c>
      <c r="B359" s="23">
        <v>10015040</v>
      </c>
      <c r="C359" s="23">
        <v>0</v>
      </c>
      <c r="D359" s="23">
        <v>15</v>
      </c>
      <c r="E359" s="23">
        <v>4</v>
      </c>
      <c r="F359" s="23" t="s">
        <v>718</v>
      </c>
      <c r="G359" s="23" t="s">
        <v>1402</v>
      </c>
    </row>
    <row r="360" spans="1:9" x14ac:dyDescent="0.45">
      <c r="A360" s="23" t="str">
        <f t="shared" si="12"/>
        <v/>
      </c>
      <c r="B360" s="23">
        <v>10015050</v>
      </c>
      <c r="C360" s="23">
        <v>0</v>
      </c>
      <c r="D360" s="23">
        <v>15</v>
      </c>
      <c r="E360" s="23">
        <v>5</v>
      </c>
      <c r="F360" s="23" t="s">
        <v>718</v>
      </c>
      <c r="G360" s="23" t="s">
        <v>1403</v>
      </c>
    </row>
    <row r="361" spans="1:9" x14ac:dyDescent="0.45">
      <c r="A361" s="23" t="str">
        <f t="shared" si="12"/>
        <v/>
      </c>
      <c r="B361" s="23">
        <v>10015060</v>
      </c>
      <c r="C361" s="23">
        <v>0</v>
      </c>
      <c r="D361" s="23">
        <v>15</v>
      </c>
      <c r="E361" s="23">
        <v>6</v>
      </c>
      <c r="F361" s="23" t="s">
        <v>718</v>
      </c>
      <c r="G361" s="23" t="s">
        <v>1404</v>
      </c>
    </row>
    <row r="362" spans="1:9" x14ac:dyDescent="0.45">
      <c r="A362" s="25">
        <f t="shared" si="12"/>
        <v>10016010</v>
      </c>
      <c r="B362" s="25">
        <v>10016010</v>
      </c>
      <c r="C362" s="25">
        <v>0</v>
      </c>
      <c r="D362" s="25">
        <v>16</v>
      </c>
      <c r="E362" s="25">
        <v>1</v>
      </c>
      <c r="F362" s="25" t="s">
        <v>739</v>
      </c>
      <c r="G362" s="25" t="s">
        <v>1405</v>
      </c>
      <c r="I362" s="21">
        <v>100015</v>
      </c>
    </row>
    <row r="363" spans="1:9" x14ac:dyDescent="0.45">
      <c r="A363" s="25" t="str">
        <f t="shared" ref="A363:A412" si="13">IF(F363=F362,"",B363)</f>
        <v/>
      </c>
      <c r="B363" s="25">
        <v>10016020</v>
      </c>
      <c r="C363" s="25">
        <v>0</v>
      </c>
      <c r="D363" s="25">
        <v>16</v>
      </c>
      <c r="E363" s="25">
        <v>2</v>
      </c>
      <c r="F363" s="25" t="s">
        <v>739</v>
      </c>
      <c r="G363" s="25" t="s">
        <v>1406</v>
      </c>
    </row>
    <row r="364" spans="1:9" x14ac:dyDescent="0.45">
      <c r="A364" s="25" t="str">
        <f t="shared" si="13"/>
        <v/>
      </c>
      <c r="B364" s="25">
        <v>10016030</v>
      </c>
      <c r="C364" s="25">
        <v>0</v>
      </c>
      <c r="D364" s="25">
        <v>16</v>
      </c>
      <c r="E364" s="25">
        <v>3</v>
      </c>
      <c r="F364" s="25" t="s">
        <v>739</v>
      </c>
      <c r="G364" s="25" t="s">
        <v>1407</v>
      </c>
    </row>
    <row r="365" spans="1:9" x14ac:dyDescent="0.45">
      <c r="A365" s="25" t="str">
        <f t="shared" si="13"/>
        <v/>
      </c>
      <c r="B365" s="25">
        <v>10016040</v>
      </c>
      <c r="C365" s="25">
        <v>0</v>
      </c>
      <c r="D365" s="25">
        <v>16</v>
      </c>
      <c r="E365" s="25">
        <v>4</v>
      </c>
      <c r="F365" s="25" t="s">
        <v>739</v>
      </c>
      <c r="G365" s="25" t="s">
        <v>1083</v>
      </c>
    </row>
    <row r="366" spans="1:9" x14ac:dyDescent="0.45">
      <c r="A366" s="25" t="str">
        <f t="shared" si="13"/>
        <v/>
      </c>
      <c r="B366" s="25">
        <v>10016050</v>
      </c>
      <c r="C366" s="25">
        <v>0</v>
      </c>
      <c r="D366" s="25">
        <v>16</v>
      </c>
      <c r="E366" s="25">
        <v>5</v>
      </c>
      <c r="F366" s="25" t="s">
        <v>739</v>
      </c>
      <c r="G366" s="25" t="s">
        <v>1124</v>
      </c>
    </row>
    <row r="367" spans="1:9" x14ac:dyDescent="0.45">
      <c r="A367" s="25" t="str">
        <f t="shared" si="13"/>
        <v/>
      </c>
      <c r="B367" s="25">
        <v>10016060</v>
      </c>
      <c r="C367" s="25">
        <v>0</v>
      </c>
      <c r="D367" s="25">
        <v>16</v>
      </c>
      <c r="E367" s="25">
        <v>6</v>
      </c>
      <c r="F367" s="25" t="s">
        <v>739</v>
      </c>
      <c r="G367" s="25" t="s">
        <v>1408</v>
      </c>
    </row>
    <row r="368" spans="1:9" x14ac:dyDescent="0.45">
      <c r="A368" s="25" t="str">
        <f t="shared" si="13"/>
        <v/>
      </c>
      <c r="B368" s="25">
        <v>10016070</v>
      </c>
      <c r="C368" s="25">
        <v>0</v>
      </c>
      <c r="D368" s="25">
        <v>16</v>
      </c>
      <c r="E368" s="25">
        <v>7</v>
      </c>
      <c r="F368" s="25" t="s">
        <v>739</v>
      </c>
      <c r="G368" s="25" t="s">
        <v>1409</v>
      </c>
    </row>
    <row r="369" spans="1:7" x14ac:dyDescent="0.45">
      <c r="A369" s="25" t="str">
        <f t="shared" si="13"/>
        <v/>
      </c>
      <c r="B369" s="25">
        <v>10016080</v>
      </c>
      <c r="C369" s="25">
        <v>0</v>
      </c>
      <c r="D369" s="25">
        <v>16</v>
      </c>
      <c r="E369" s="25">
        <v>8</v>
      </c>
      <c r="F369" s="25" t="s">
        <v>739</v>
      </c>
      <c r="G369" s="25" t="s">
        <v>1410</v>
      </c>
    </row>
    <row r="370" spans="1:7" x14ac:dyDescent="0.45">
      <c r="A370" s="25" t="str">
        <f t="shared" si="13"/>
        <v/>
      </c>
      <c r="B370" s="25">
        <v>10016090</v>
      </c>
      <c r="C370" s="25">
        <v>0</v>
      </c>
      <c r="D370" s="25">
        <v>16</v>
      </c>
      <c r="E370" s="25">
        <v>9</v>
      </c>
      <c r="F370" s="25" t="s">
        <v>739</v>
      </c>
      <c r="G370" s="25" t="s">
        <v>1411</v>
      </c>
    </row>
    <row r="371" spans="1:7" x14ac:dyDescent="0.45">
      <c r="A371" s="25" t="str">
        <f t="shared" si="13"/>
        <v/>
      </c>
      <c r="B371" s="25">
        <v>10016100</v>
      </c>
      <c r="C371" s="25">
        <v>0</v>
      </c>
      <c r="D371" s="25">
        <v>16</v>
      </c>
      <c r="E371" s="25">
        <v>10</v>
      </c>
      <c r="F371" s="25" t="s">
        <v>739</v>
      </c>
      <c r="G371" s="25" t="s">
        <v>1412</v>
      </c>
    </row>
    <row r="372" spans="1:7" x14ac:dyDescent="0.45">
      <c r="A372" s="25" t="str">
        <f t="shared" si="13"/>
        <v/>
      </c>
      <c r="B372" s="25">
        <v>10016110</v>
      </c>
      <c r="C372" s="25">
        <v>0</v>
      </c>
      <c r="D372" s="25">
        <v>16</v>
      </c>
      <c r="E372" s="25">
        <v>11</v>
      </c>
      <c r="F372" s="25" t="s">
        <v>739</v>
      </c>
      <c r="G372" s="25" t="s">
        <v>1413</v>
      </c>
    </row>
    <row r="373" spans="1:7" x14ac:dyDescent="0.45">
      <c r="A373" s="25" t="str">
        <f t="shared" si="13"/>
        <v/>
      </c>
      <c r="B373" s="25">
        <v>10016120</v>
      </c>
      <c r="C373" s="25">
        <v>0</v>
      </c>
      <c r="D373" s="25">
        <v>16</v>
      </c>
      <c r="E373" s="25">
        <v>12</v>
      </c>
      <c r="F373" s="25" t="s">
        <v>739</v>
      </c>
      <c r="G373" s="25" t="s">
        <v>1414</v>
      </c>
    </row>
    <row r="374" spans="1:7" x14ac:dyDescent="0.45">
      <c r="A374" s="25" t="str">
        <f t="shared" si="13"/>
        <v/>
      </c>
      <c r="B374" s="25">
        <v>10016130</v>
      </c>
      <c r="C374" s="25">
        <v>0</v>
      </c>
      <c r="D374" s="25">
        <v>16</v>
      </c>
      <c r="E374" s="25">
        <v>13</v>
      </c>
      <c r="F374" s="25" t="s">
        <v>739</v>
      </c>
      <c r="G374" s="25" t="s">
        <v>1415</v>
      </c>
    </row>
    <row r="375" spans="1:7" x14ac:dyDescent="0.45">
      <c r="A375" s="25" t="str">
        <f t="shared" si="13"/>
        <v/>
      </c>
      <c r="B375" s="25">
        <v>10016140</v>
      </c>
      <c r="C375" s="25">
        <v>0</v>
      </c>
      <c r="D375" s="25">
        <v>16</v>
      </c>
      <c r="E375" s="25">
        <v>14</v>
      </c>
      <c r="F375" s="25" t="s">
        <v>739</v>
      </c>
      <c r="G375" s="25" t="s">
        <v>1416</v>
      </c>
    </row>
    <row r="376" spans="1:7" x14ac:dyDescent="0.45">
      <c r="A376" s="25" t="str">
        <f t="shared" si="13"/>
        <v/>
      </c>
      <c r="B376" s="25">
        <v>10016150</v>
      </c>
      <c r="C376" s="25">
        <v>0</v>
      </c>
      <c r="D376" s="25">
        <v>16</v>
      </c>
      <c r="E376" s="25">
        <v>15</v>
      </c>
      <c r="F376" s="25" t="s">
        <v>739</v>
      </c>
      <c r="G376" s="25" t="s">
        <v>1417</v>
      </c>
    </row>
    <row r="377" spans="1:7" x14ac:dyDescent="0.45">
      <c r="A377" s="25" t="str">
        <f t="shared" si="13"/>
        <v/>
      </c>
      <c r="B377" s="25">
        <v>10016160</v>
      </c>
      <c r="C377" s="25">
        <v>0</v>
      </c>
      <c r="D377" s="25">
        <v>16</v>
      </c>
      <c r="E377" s="25">
        <v>16</v>
      </c>
      <c r="F377" s="25" t="s">
        <v>739</v>
      </c>
      <c r="G377" s="25" t="s">
        <v>1418</v>
      </c>
    </row>
    <row r="378" spans="1:7" x14ac:dyDescent="0.45">
      <c r="A378" s="25" t="str">
        <f t="shared" si="13"/>
        <v/>
      </c>
      <c r="B378" s="25">
        <v>10016170</v>
      </c>
      <c r="C378" s="25">
        <v>0</v>
      </c>
      <c r="D378" s="25">
        <v>16</v>
      </c>
      <c r="E378" s="25">
        <v>17</v>
      </c>
      <c r="F378" s="25" t="s">
        <v>739</v>
      </c>
      <c r="G378" s="25" t="s">
        <v>1419</v>
      </c>
    </row>
    <row r="379" spans="1:7" x14ac:dyDescent="0.45">
      <c r="A379" s="25" t="str">
        <f t="shared" si="13"/>
        <v/>
      </c>
      <c r="B379" s="25">
        <v>10016180</v>
      </c>
      <c r="C379" s="25">
        <v>0</v>
      </c>
      <c r="D379" s="25">
        <v>16</v>
      </c>
      <c r="E379" s="25">
        <v>18</v>
      </c>
      <c r="F379" s="25" t="s">
        <v>739</v>
      </c>
      <c r="G379" s="25" t="s">
        <v>1420</v>
      </c>
    </row>
    <row r="380" spans="1:7" x14ac:dyDescent="0.45">
      <c r="A380" s="25" t="str">
        <f t="shared" si="13"/>
        <v/>
      </c>
      <c r="B380" s="25">
        <v>10016190</v>
      </c>
      <c r="C380" s="25">
        <v>0</v>
      </c>
      <c r="D380" s="25">
        <v>16</v>
      </c>
      <c r="E380" s="25">
        <v>19</v>
      </c>
      <c r="F380" s="25" t="s">
        <v>739</v>
      </c>
      <c r="G380" s="25" t="s">
        <v>1421</v>
      </c>
    </row>
    <row r="381" spans="1:7" x14ac:dyDescent="0.45">
      <c r="A381" s="25" t="str">
        <f t="shared" si="13"/>
        <v/>
      </c>
      <c r="B381" s="25">
        <v>10016200</v>
      </c>
      <c r="C381" s="25">
        <v>0</v>
      </c>
      <c r="D381" s="25">
        <v>16</v>
      </c>
      <c r="E381" s="25">
        <v>20</v>
      </c>
      <c r="F381" s="25" t="s">
        <v>739</v>
      </c>
      <c r="G381" s="25" t="s">
        <v>1422</v>
      </c>
    </row>
    <row r="382" spans="1:7" x14ac:dyDescent="0.45">
      <c r="A382" s="25" t="str">
        <f t="shared" si="13"/>
        <v/>
      </c>
      <c r="B382" s="25">
        <v>10016210</v>
      </c>
      <c r="C382" s="25">
        <v>0</v>
      </c>
      <c r="D382" s="25">
        <v>16</v>
      </c>
      <c r="E382" s="25">
        <v>21</v>
      </c>
      <c r="F382" s="25" t="s">
        <v>739</v>
      </c>
      <c r="G382" s="25" t="s">
        <v>1423</v>
      </c>
    </row>
    <row r="383" spans="1:7" x14ac:dyDescent="0.45">
      <c r="A383" s="25" t="str">
        <f t="shared" si="13"/>
        <v/>
      </c>
      <c r="B383" s="25">
        <v>10016220</v>
      </c>
      <c r="C383" s="25">
        <v>0</v>
      </c>
      <c r="D383" s="25">
        <v>16</v>
      </c>
      <c r="E383" s="25">
        <v>22</v>
      </c>
      <c r="F383" s="25" t="s">
        <v>739</v>
      </c>
      <c r="G383" s="25" t="s">
        <v>1424</v>
      </c>
    </row>
    <row r="384" spans="1:7" x14ac:dyDescent="0.45">
      <c r="A384" s="25" t="str">
        <f t="shared" si="13"/>
        <v/>
      </c>
      <c r="B384" s="25">
        <v>10016230</v>
      </c>
      <c r="C384" s="25">
        <v>0</v>
      </c>
      <c r="D384" s="25">
        <v>16</v>
      </c>
      <c r="E384" s="25">
        <v>23</v>
      </c>
      <c r="F384" s="25" t="s">
        <v>739</v>
      </c>
      <c r="G384" s="25" t="s">
        <v>1425</v>
      </c>
    </row>
    <row r="385" spans="1:9" x14ac:dyDescent="0.45">
      <c r="A385" s="25" t="str">
        <f t="shared" si="13"/>
        <v/>
      </c>
      <c r="B385" s="25">
        <v>10016240</v>
      </c>
      <c r="C385" s="25">
        <v>0</v>
      </c>
      <c r="D385" s="25">
        <v>16</v>
      </c>
      <c r="E385" s="25">
        <v>24</v>
      </c>
      <c r="F385" s="25" t="s">
        <v>739</v>
      </c>
      <c r="G385" s="25" t="s">
        <v>1426</v>
      </c>
    </row>
    <row r="386" spans="1:9" x14ac:dyDescent="0.45">
      <c r="A386" s="25" t="str">
        <f t="shared" si="13"/>
        <v/>
      </c>
      <c r="B386" s="25">
        <v>10016250</v>
      </c>
      <c r="C386" s="25">
        <v>0</v>
      </c>
      <c r="D386" s="25">
        <v>16</v>
      </c>
      <c r="E386" s="25">
        <v>25</v>
      </c>
      <c r="F386" s="25" t="s">
        <v>739</v>
      </c>
      <c r="G386" s="25" t="s">
        <v>1427</v>
      </c>
    </row>
    <row r="387" spans="1:9" x14ac:dyDescent="0.45">
      <c r="A387" s="25" t="str">
        <f t="shared" si="13"/>
        <v/>
      </c>
      <c r="B387" s="25">
        <v>10016260</v>
      </c>
      <c r="C387" s="25">
        <v>0</v>
      </c>
      <c r="D387" s="25">
        <v>16</v>
      </c>
      <c r="E387" s="25">
        <v>26</v>
      </c>
      <c r="F387" s="25" t="s">
        <v>739</v>
      </c>
      <c r="G387" s="25" t="s">
        <v>1428</v>
      </c>
    </row>
    <row r="388" spans="1:9" x14ac:dyDescent="0.45">
      <c r="A388" s="25" t="str">
        <f t="shared" si="13"/>
        <v/>
      </c>
      <c r="B388" s="25">
        <v>10016270</v>
      </c>
      <c r="C388" s="25">
        <v>0</v>
      </c>
      <c r="D388" s="25">
        <v>16</v>
      </c>
      <c r="E388" s="25">
        <v>27</v>
      </c>
      <c r="F388" s="25" t="s">
        <v>739</v>
      </c>
      <c r="G388" s="25" t="s">
        <v>1429</v>
      </c>
    </row>
    <row r="389" spans="1:9" x14ac:dyDescent="0.45">
      <c r="A389" s="23">
        <f t="shared" si="13"/>
        <v>10017010</v>
      </c>
      <c r="B389" s="23">
        <v>10017010</v>
      </c>
      <c r="C389" s="23">
        <v>0</v>
      </c>
      <c r="D389" s="23">
        <v>17</v>
      </c>
      <c r="E389" s="23">
        <v>1</v>
      </c>
      <c r="F389" s="23" t="s">
        <v>767</v>
      </c>
      <c r="G389" s="23" t="s">
        <v>1430</v>
      </c>
      <c r="I389" s="21">
        <v>100015</v>
      </c>
    </row>
    <row r="390" spans="1:9" x14ac:dyDescent="0.45">
      <c r="A390" s="23" t="str">
        <f t="shared" si="13"/>
        <v/>
      </c>
      <c r="B390" s="23">
        <v>10017020</v>
      </c>
      <c r="C390" s="23">
        <v>0</v>
      </c>
      <c r="D390" s="23">
        <v>17</v>
      </c>
      <c r="E390" s="23">
        <v>2</v>
      </c>
      <c r="F390" s="23" t="s">
        <v>767</v>
      </c>
      <c r="G390" s="23" t="s">
        <v>1431</v>
      </c>
    </row>
    <row r="391" spans="1:9" x14ac:dyDescent="0.45">
      <c r="A391" s="23" t="str">
        <f t="shared" si="13"/>
        <v/>
      </c>
      <c r="B391" s="23">
        <v>10017030</v>
      </c>
      <c r="C391" s="23">
        <v>0</v>
      </c>
      <c r="D391" s="23">
        <v>17</v>
      </c>
      <c r="E391" s="23">
        <v>3</v>
      </c>
      <c r="F391" s="23" t="s">
        <v>767</v>
      </c>
      <c r="G391" s="23" t="s">
        <v>1432</v>
      </c>
    </row>
    <row r="392" spans="1:9" x14ac:dyDescent="0.45">
      <c r="A392" s="23" t="str">
        <f t="shared" si="13"/>
        <v/>
      </c>
      <c r="B392" s="23">
        <v>10017040</v>
      </c>
      <c r="C392" s="23">
        <v>0</v>
      </c>
      <c r="D392" s="23">
        <v>17</v>
      </c>
      <c r="E392" s="23">
        <v>4</v>
      </c>
      <c r="F392" s="23" t="s">
        <v>767</v>
      </c>
      <c r="G392" s="23" t="s">
        <v>1433</v>
      </c>
    </row>
    <row r="393" spans="1:9" x14ac:dyDescent="0.45">
      <c r="A393" s="23" t="str">
        <f t="shared" si="13"/>
        <v/>
      </c>
      <c r="B393" s="23">
        <v>10017050</v>
      </c>
      <c r="C393" s="23">
        <v>0</v>
      </c>
      <c r="D393" s="23">
        <v>17</v>
      </c>
      <c r="E393" s="23">
        <v>5</v>
      </c>
      <c r="F393" s="23" t="s">
        <v>767</v>
      </c>
      <c r="G393" s="23" t="s">
        <v>1434</v>
      </c>
    </row>
    <row r="394" spans="1:9" x14ac:dyDescent="0.45">
      <c r="A394" s="23" t="str">
        <f t="shared" si="13"/>
        <v/>
      </c>
      <c r="B394" s="23">
        <v>10017060</v>
      </c>
      <c r="C394" s="23">
        <v>0</v>
      </c>
      <c r="D394" s="23">
        <v>17</v>
      </c>
      <c r="E394" s="23">
        <v>6</v>
      </c>
      <c r="F394" s="23" t="s">
        <v>767</v>
      </c>
      <c r="G394" s="23" t="s">
        <v>1435</v>
      </c>
    </row>
    <row r="395" spans="1:9" x14ac:dyDescent="0.45">
      <c r="A395" s="23" t="str">
        <f t="shared" si="13"/>
        <v/>
      </c>
      <c r="B395" s="23">
        <v>10017070</v>
      </c>
      <c r="C395" s="23">
        <v>0</v>
      </c>
      <c r="D395" s="23">
        <v>17</v>
      </c>
      <c r="E395" s="23">
        <v>7</v>
      </c>
      <c r="F395" s="23" t="s">
        <v>767</v>
      </c>
      <c r="G395" s="23" t="s">
        <v>1436</v>
      </c>
    </row>
    <row r="396" spans="1:9" x14ac:dyDescent="0.45">
      <c r="A396" s="23" t="str">
        <f t="shared" si="13"/>
        <v/>
      </c>
      <c r="B396" s="23">
        <v>10017080</v>
      </c>
      <c r="C396" s="23">
        <v>0</v>
      </c>
      <c r="D396" s="23">
        <v>17</v>
      </c>
      <c r="E396" s="23">
        <v>8</v>
      </c>
      <c r="F396" s="23" t="s">
        <v>767</v>
      </c>
      <c r="G396" s="23" t="s">
        <v>1437</v>
      </c>
    </row>
    <row r="397" spans="1:9" x14ac:dyDescent="0.45">
      <c r="A397" s="23" t="str">
        <f t="shared" si="13"/>
        <v/>
      </c>
      <c r="B397" s="23">
        <v>10017090</v>
      </c>
      <c r="C397" s="23">
        <v>0</v>
      </c>
      <c r="D397" s="23">
        <v>17</v>
      </c>
      <c r="E397" s="23">
        <v>9</v>
      </c>
      <c r="F397" s="23" t="s">
        <v>767</v>
      </c>
      <c r="G397" s="23" t="s">
        <v>1438</v>
      </c>
    </row>
    <row r="398" spans="1:9" x14ac:dyDescent="0.45">
      <c r="A398" s="23" t="str">
        <f t="shared" si="13"/>
        <v/>
      </c>
      <c r="B398" s="23">
        <v>10017100</v>
      </c>
      <c r="C398" s="23">
        <v>0</v>
      </c>
      <c r="D398" s="23">
        <v>17</v>
      </c>
      <c r="E398" s="23">
        <v>10</v>
      </c>
      <c r="F398" s="23" t="s">
        <v>767</v>
      </c>
      <c r="G398" s="23" t="s">
        <v>1439</v>
      </c>
    </row>
    <row r="399" spans="1:9" x14ac:dyDescent="0.45">
      <c r="A399" s="23" t="str">
        <f t="shared" si="13"/>
        <v/>
      </c>
      <c r="B399" s="23">
        <v>10017110</v>
      </c>
      <c r="C399" s="23">
        <v>0</v>
      </c>
      <c r="D399" s="23">
        <v>17</v>
      </c>
      <c r="E399" s="23">
        <v>11</v>
      </c>
      <c r="F399" s="23" t="s">
        <v>767</v>
      </c>
      <c r="G399" s="23" t="s">
        <v>1440</v>
      </c>
    </row>
    <row r="400" spans="1:9" x14ac:dyDescent="0.45">
      <c r="A400" s="23" t="str">
        <f t="shared" si="13"/>
        <v/>
      </c>
      <c r="B400" s="23">
        <v>10017120</v>
      </c>
      <c r="C400" s="23">
        <v>0</v>
      </c>
      <c r="D400" s="23">
        <v>17</v>
      </c>
      <c r="E400" s="23">
        <v>12</v>
      </c>
      <c r="F400" s="23" t="s">
        <v>767</v>
      </c>
      <c r="G400" s="23" t="s">
        <v>1441</v>
      </c>
    </row>
    <row r="401" spans="1:9" x14ac:dyDescent="0.45">
      <c r="A401" s="23" t="str">
        <f t="shared" si="13"/>
        <v/>
      </c>
      <c r="B401" s="23">
        <v>10017130</v>
      </c>
      <c r="C401" s="23">
        <v>0</v>
      </c>
      <c r="D401" s="23">
        <v>17</v>
      </c>
      <c r="E401" s="23">
        <v>13</v>
      </c>
      <c r="F401" s="23" t="s">
        <v>767</v>
      </c>
      <c r="G401" s="23" t="s">
        <v>1442</v>
      </c>
    </row>
    <row r="402" spans="1:9" x14ac:dyDescent="0.45">
      <c r="A402" s="23" t="str">
        <f t="shared" si="13"/>
        <v/>
      </c>
      <c r="B402" s="23">
        <v>10017140</v>
      </c>
      <c r="C402" s="23">
        <v>0</v>
      </c>
      <c r="D402" s="23">
        <v>17</v>
      </c>
      <c r="E402" s="23">
        <v>14</v>
      </c>
      <c r="F402" s="23" t="s">
        <v>767</v>
      </c>
      <c r="G402" s="23" t="s">
        <v>1443</v>
      </c>
    </row>
    <row r="403" spans="1:9" x14ac:dyDescent="0.45">
      <c r="A403" s="23" t="str">
        <f t="shared" si="13"/>
        <v/>
      </c>
      <c r="B403" s="23">
        <v>10017150</v>
      </c>
      <c r="C403" s="23">
        <v>0</v>
      </c>
      <c r="D403" s="23">
        <v>17</v>
      </c>
      <c r="E403" s="23">
        <v>15</v>
      </c>
      <c r="F403" s="23" t="s">
        <v>767</v>
      </c>
      <c r="G403" s="23" t="s">
        <v>1444</v>
      </c>
    </row>
    <row r="404" spans="1:9" x14ac:dyDescent="0.45">
      <c r="A404" s="23" t="str">
        <f t="shared" si="13"/>
        <v/>
      </c>
      <c r="B404" s="23">
        <v>10017160</v>
      </c>
      <c r="C404" s="23">
        <v>0</v>
      </c>
      <c r="D404" s="23">
        <v>17</v>
      </c>
      <c r="E404" s="23">
        <v>16</v>
      </c>
      <c r="F404" s="23" t="s">
        <v>767</v>
      </c>
      <c r="G404" s="23" t="s">
        <v>1445</v>
      </c>
    </row>
    <row r="405" spans="1:9" x14ac:dyDescent="0.45">
      <c r="A405" s="23" t="str">
        <f t="shared" si="13"/>
        <v/>
      </c>
      <c r="B405" s="23">
        <v>10017170</v>
      </c>
      <c r="C405" s="23">
        <v>0</v>
      </c>
      <c r="D405" s="23">
        <v>17</v>
      </c>
      <c r="E405" s="23">
        <v>17</v>
      </c>
      <c r="F405" s="23" t="s">
        <v>767</v>
      </c>
      <c r="G405" s="23" t="s">
        <v>1446</v>
      </c>
    </row>
    <row r="406" spans="1:9" x14ac:dyDescent="0.45">
      <c r="A406" s="23" t="str">
        <f t="shared" si="13"/>
        <v/>
      </c>
      <c r="B406" s="23">
        <v>10017180</v>
      </c>
      <c r="C406" s="23">
        <v>0</v>
      </c>
      <c r="D406" s="23">
        <v>17</v>
      </c>
      <c r="E406" s="23">
        <v>18</v>
      </c>
      <c r="F406" s="23" t="s">
        <v>767</v>
      </c>
      <c r="G406" s="23" t="s">
        <v>1447</v>
      </c>
    </row>
    <row r="407" spans="1:9" x14ac:dyDescent="0.45">
      <c r="A407" s="23" t="str">
        <f t="shared" si="13"/>
        <v/>
      </c>
      <c r="B407" s="23">
        <v>10017190</v>
      </c>
      <c r="C407" s="23">
        <v>0</v>
      </c>
      <c r="D407" s="23">
        <v>17</v>
      </c>
      <c r="E407" s="23">
        <v>19</v>
      </c>
      <c r="F407" s="23" t="s">
        <v>767</v>
      </c>
      <c r="G407" s="23" t="s">
        <v>1448</v>
      </c>
    </row>
    <row r="408" spans="1:9" x14ac:dyDescent="0.45">
      <c r="A408" s="23" t="str">
        <f t="shared" si="13"/>
        <v/>
      </c>
      <c r="B408" s="23">
        <v>10017200</v>
      </c>
      <c r="C408" s="23">
        <v>0</v>
      </c>
      <c r="D408" s="23">
        <v>17</v>
      </c>
      <c r="E408" s="23">
        <v>20</v>
      </c>
      <c r="F408" s="23" t="s">
        <v>767</v>
      </c>
      <c r="G408" s="23" t="s">
        <v>1449</v>
      </c>
    </row>
    <row r="409" spans="1:9" x14ac:dyDescent="0.45">
      <c r="A409" s="23" t="str">
        <f t="shared" si="13"/>
        <v/>
      </c>
      <c r="B409" s="23">
        <v>10017210</v>
      </c>
      <c r="C409" s="23">
        <v>0</v>
      </c>
      <c r="D409" s="23">
        <v>17</v>
      </c>
      <c r="E409" s="23">
        <v>21</v>
      </c>
      <c r="F409" s="23" t="s">
        <v>767</v>
      </c>
      <c r="G409" s="23" t="s">
        <v>1450</v>
      </c>
    </row>
    <row r="410" spans="1:9" x14ac:dyDescent="0.45">
      <c r="A410" s="23" t="str">
        <f t="shared" si="13"/>
        <v/>
      </c>
      <c r="B410" s="23">
        <v>10017220</v>
      </c>
      <c r="C410" s="23">
        <v>0</v>
      </c>
      <c r="D410" s="23">
        <v>17</v>
      </c>
      <c r="E410" s="23">
        <v>22</v>
      </c>
      <c r="F410" s="23" t="s">
        <v>767</v>
      </c>
      <c r="G410" s="23" t="s">
        <v>1451</v>
      </c>
    </row>
    <row r="411" spans="1:9" x14ac:dyDescent="0.45">
      <c r="A411" s="23" t="str">
        <f t="shared" si="13"/>
        <v/>
      </c>
      <c r="B411" s="23">
        <v>10017230</v>
      </c>
      <c r="C411" s="23">
        <v>0</v>
      </c>
      <c r="D411" s="23">
        <v>17</v>
      </c>
      <c r="E411" s="23">
        <v>23</v>
      </c>
      <c r="F411" s="23" t="s">
        <v>767</v>
      </c>
      <c r="G411" s="23" t="s">
        <v>1452</v>
      </c>
    </row>
    <row r="412" spans="1:9" x14ac:dyDescent="0.45">
      <c r="A412" s="23" t="str">
        <f t="shared" si="13"/>
        <v/>
      </c>
      <c r="B412" s="23">
        <v>10017240</v>
      </c>
      <c r="C412" s="23">
        <v>0</v>
      </c>
      <c r="D412" s="23">
        <v>17</v>
      </c>
      <c r="E412" s="23">
        <v>24</v>
      </c>
      <c r="F412" s="23" t="s">
        <v>767</v>
      </c>
      <c r="G412" s="23" t="s">
        <v>1453</v>
      </c>
    </row>
    <row r="413" spans="1:9" x14ac:dyDescent="0.45">
      <c r="A413" s="25">
        <f t="shared" ref="A413:A454" si="14">IF(F413=F412,"",B413)</f>
        <v>10018010</v>
      </c>
      <c r="B413" s="25">
        <v>10018010</v>
      </c>
      <c r="C413" s="25">
        <v>0</v>
      </c>
      <c r="D413" s="25">
        <v>18</v>
      </c>
      <c r="E413" s="25">
        <v>1</v>
      </c>
      <c r="F413" s="25" t="s">
        <v>795</v>
      </c>
      <c r="G413" s="25" t="s">
        <v>1454</v>
      </c>
      <c r="I413" s="21">
        <v>100015</v>
      </c>
    </row>
    <row r="414" spans="1:9" x14ac:dyDescent="0.45">
      <c r="A414" s="25" t="str">
        <f t="shared" si="14"/>
        <v/>
      </c>
      <c r="B414" s="25">
        <v>10018020</v>
      </c>
      <c r="C414" s="25">
        <v>0</v>
      </c>
      <c r="D414" s="25">
        <v>18</v>
      </c>
      <c r="E414" s="25">
        <v>2</v>
      </c>
      <c r="F414" s="25" t="s">
        <v>795</v>
      </c>
      <c r="G414" s="25" t="s">
        <v>1076</v>
      </c>
    </row>
    <row r="415" spans="1:9" x14ac:dyDescent="0.45">
      <c r="A415" s="25" t="str">
        <f t="shared" si="14"/>
        <v/>
      </c>
      <c r="B415" s="25">
        <v>10018030</v>
      </c>
      <c r="C415" s="25">
        <v>0</v>
      </c>
      <c r="D415" s="25">
        <v>18</v>
      </c>
      <c r="E415" s="25">
        <v>3</v>
      </c>
      <c r="F415" s="25" t="s">
        <v>795</v>
      </c>
      <c r="G415" s="25" t="s">
        <v>1455</v>
      </c>
    </row>
    <row r="416" spans="1:9" x14ac:dyDescent="0.45">
      <c r="A416" s="25" t="str">
        <f t="shared" si="14"/>
        <v/>
      </c>
      <c r="B416" s="25">
        <v>10018040</v>
      </c>
      <c r="C416" s="25">
        <v>0</v>
      </c>
      <c r="D416" s="25">
        <v>18</v>
      </c>
      <c r="E416" s="25">
        <v>4</v>
      </c>
      <c r="F416" s="25" t="s">
        <v>795</v>
      </c>
      <c r="G416" s="25" t="s">
        <v>1456</v>
      </c>
    </row>
    <row r="417" spans="1:7" x14ac:dyDescent="0.45">
      <c r="A417" s="25" t="str">
        <f t="shared" si="14"/>
        <v/>
      </c>
      <c r="B417" s="25">
        <v>10018050</v>
      </c>
      <c r="C417" s="25">
        <v>0</v>
      </c>
      <c r="D417" s="25">
        <v>18</v>
      </c>
      <c r="E417" s="25">
        <v>5</v>
      </c>
      <c r="F417" s="25" t="s">
        <v>795</v>
      </c>
      <c r="G417" s="25" t="s">
        <v>1457</v>
      </c>
    </row>
    <row r="418" spans="1:7" x14ac:dyDescent="0.45">
      <c r="A418" s="25" t="str">
        <f t="shared" si="14"/>
        <v/>
      </c>
      <c r="B418" s="25">
        <v>10018060</v>
      </c>
      <c r="C418" s="25">
        <v>0</v>
      </c>
      <c r="D418" s="25">
        <v>18</v>
      </c>
      <c r="E418" s="25">
        <v>6</v>
      </c>
      <c r="F418" s="25" t="s">
        <v>795</v>
      </c>
      <c r="G418" s="25" t="s">
        <v>1458</v>
      </c>
    </row>
    <row r="419" spans="1:7" x14ac:dyDescent="0.45">
      <c r="A419" s="25" t="str">
        <f t="shared" si="14"/>
        <v/>
      </c>
      <c r="B419" s="25">
        <v>10018070</v>
      </c>
      <c r="C419" s="25">
        <v>0</v>
      </c>
      <c r="D419" s="25">
        <v>18</v>
      </c>
      <c r="E419" s="25">
        <v>7</v>
      </c>
      <c r="F419" s="25" t="s">
        <v>795</v>
      </c>
      <c r="G419" s="25" t="s">
        <v>1459</v>
      </c>
    </row>
    <row r="420" spans="1:7" x14ac:dyDescent="0.45">
      <c r="A420" s="25" t="str">
        <f t="shared" si="14"/>
        <v/>
      </c>
      <c r="B420" s="25">
        <v>10018080</v>
      </c>
      <c r="C420" s="25">
        <v>0</v>
      </c>
      <c r="D420" s="25">
        <v>18</v>
      </c>
      <c r="E420" s="25">
        <v>8</v>
      </c>
      <c r="F420" s="25" t="s">
        <v>795</v>
      </c>
      <c r="G420" s="25" t="s">
        <v>1460</v>
      </c>
    </row>
    <row r="421" spans="1:7" x14ac:dyDescent="0.45">
      <c r="A421" s="25" t="str">
        <f t="shared" si="14"/>
        <v/>
      </c>
      <c r="B421" s="25">
        <v>10018090</v>
      </c>
      <c r="C421" s="25">
        <v>0</v>
      </c>
      <c r="D421" s="25">
        <v>18</v>
      </c>
      <c r="E421" s="25">
        <v>9</v>
      </c>
      <c r="F421" s="25" t="s">
        <v>795</v>
      </c>
      <c r="G421" s="25" t="s">
        <v>1461</v>
      </c>
    </row>
    <row r="422" spans="1:7" x14ac:dyDescent="0.45">
      <c r="A422" s="25" t="str">
        <f t="shared" si="14"/>
        <v/>
      </c>
      <c r="B422" s="25">
        <v>10018100</v>
      </c>
      <c r="C422" s="25">
        <v>0</v>
      </c>
      <c r="D422" s="25">
        <v>18</v>
      </c>
      <c r="E422" s="25">
        <v>10</v>
      </c>
      <c r="F422" s="25" t="s">
        <v>795</v>
      </c>
      <c r="G422" s="25" t="s">
        <v>1462</v>
      </c>
    </row>
    <row r="423" spans="1:7" x14ac:dyDescent="0.45">
      <c r="A423" s="25" t="str">
        <f t="shared" si="14"/>
        <v/>
      </c>
      <c r="B423" s="25">
        <v>10018110</v>
      </c>
      <c r="C423" s="25">
        <v>0</v>
      </c>
      <c r="D423" s="25">
        <v>18</v>
      </c>
      <c r="E423" s="25">
        <v>11</v>
      </c>
      <c r="F423" s="25" t="s">
        <v>795</v>
      </c>
      <c r="G423" s="25" t="s">
        <v>1463</v>
      </c>
    </row>
    <row r="424" spans="1:7" x14ac:dyDescent="0.45">
      <c r="A424" s="25" t="str">
        <f t="shared" si="14"/>
        <v/>
      </c>
      <c r="B424" s="25">
        <v>10018120</v>
      </c>
      <c r="C424" s="25">
        <v>0</v>
      </c>
      <c r="D424" s="25">
        <v>18</v>
      </c>
      <c r="E424" s="25">
        <v>12</v>
      </c>
      <c r="F424" s="25" t="s">
        <v>795</v>
      </c>
      <c r="G424" s="25" t="s">
        <v>1464</v>
      </c>
    </row>
    <row r="425" spans="1:7" x14ac:dyDescent="0.45">
      <c r="A425" s="25" t="str">
        <f t="shared" si="14"/>
        <v/>
      </c>
      <c r="B425" s="25">
        <v>10018130</v>
      </c>
      <c r="C425" s="25">
        <v>0</v>
      </c>
      <c r="D425" s="25">
        <v>18</v>
      </c>
      <c r="E425" s="25">
        <v>13</v>
      </c>
      <c r="F425" s="25" t="s">
        <v>795</v>
      </c>
      <c r="G425" s="25" t="s">
        <v>1465</v>
      </c>
    </row>
    <row r="426" spans="1:7" x14ac:dyDescent="0.45">
      <c r="A426" s="25" t="str">
        <f t="shared" si="14"/>
        <v/>
      </c>
      <c r="B426" s="25">
        <v>10018140</v>
      </c>
      <c r="C426" s="25">
        <v>0</v>
      </c>
      <c r="D426" s="25">
        <v>18</v>
      </c>
      <c r="E426" s="25">
        <v>14</v>
      </c>
      <c r="F426" s="25" t="s">
        <v>795</v>
      </c>
      <c r="G426" s="25" t="s">
        <v>1466</v>
      </c>
    </row>
    <row r="427" spans="1:7" x14ac:dyDescent="0.45">
      <c r="A427" s="25" t="str">
        <f t="shared" si="14"/>
        <v/>
      </c>
      <c r="B427" s="25">
        <v>10018150</v>
      </c>
      <c r="C427" s="25">
        <v>0</v>
      </c>
      <c r="D427" s="25">
        <v>18</v>
      </c>
      <c r="E427" s="25">
        <v>15</v>
      </c>
      <c r="F427" s="25" t="s">
        <v>795</v>
      </c>
      <c r="G427" s="25" t="s">
        <v>1467</v>
      </c>
    </row>
    <row r="428" spans="1:7" x14ac:dyDescent="0.45">
      <c r="A428" s="25" t="str">
        <f t="shared" si="14"/>
        <v/>
      </c>
      <c r="B428" s="25">
        <v>10018160</v>
      </c>
      <c r="C428" s="25">
        <v>0</v>
      </c>
      <c r="D428" s="25">
        <v>18</v>
      </c>
      <c r="E428" s="25">
        <v>16</v>
      </c>
      <c r="F428" s="25" t="s">
        <v>795</v>
      </c>
      <c r="G428" s="25" t="s">
        <v>1468</v>
      </c>
    </row>
    <row r="429" spans="1:7" x14ac:dyDescent="0.45">
      <c r="A429" s="25" t="str">
        <f t="shared" si="14"/>
        <v/>
      </c>
      <c r="B429" s="25">
        <v>10018170</v>
      </c>
      <c r="C429" s="25">
        <v>0</v>
      </c>
      <c r="D429" s="25">
        <v>18</v>
      </c>
      <c r="E429" s="25">
        <v>17</v>
      </c>
      <c r="F429" s="25" t="s">
        <v>795</v>
      </c>
      <c r="G429" s="25" t="s">
        <v>1469</v>
      </c>
    </row>
    <row r="430" spans="1:7" x14ac:dyDescent="0.45">
      <c r="A430" s="25" t="str">
        <f t="shared" si="14"/>
        <v/>
      </c>
      <c r="B430" s="25">
        <v>10018180</v>
      </c>
      <c r="C430" s="25">
        <v>0</v>
      </c>
      <c r="D430" s="25">
        <v>18</v>
      </c>
      <c r="E430" s="25">
        <v>18</v>
      </c>
      <c r="F430" s="25" t="s">
        <v>795</v>
      </c>
      <c r="G430" s="25" t="s">
        <v>1470</v>
      </c>
    </row>
    <row r="431" spans="1:7" x14ac:dyDescent="0.45">
      <c r="A431" s="25" t="str">
        <f t="shared" si="14"/>
        <v/>
      </c>
      <c r="B431" s="25">
        <v>10018190</v>
      </c>
      <c r="C431" s="25">
        <v>0</v>
      </c>
      <c r="D431" s="25">
        <v>18</v>
      </c>
      <c r="E431" s="25">
        <v>19</v>
      </c>
      <c r="F431" s="25" t="s">
        <v>795</v>
      </c>
      <c r="G431" s="25" t="s">
        <v>1471</v>
      </c>
    </row>
    <row r="432" spans="1:7" x14ac:dyDescent="0.45">
      <c r="A432" s="25" t="str">
        <f t="shared" si="14"/>
        <v/>
      </c>
      <c r="B432" s="25">
        <v>10018200</v>
      </c>
      <c r="C432" s="25">
        <v>0</v>
      </c>
      <c r="D432" s="25">
        <v>18</v>
      </c>
      <c r="E432" s="25">
        <v>20</v>
      </c>
      <c r="F432" s="25" t="s">
        <v>795</v>
      </c>
      <c r="G432" s="25" t="s">
        <v>1472</v>
      </c>
    </row>
    <row r="433" spans="1:7" x14ac:dyDescent="0.45">
      <c r="A433" s="25" t="str">
        <f t="shared" si="14"/>
        <v/>
      </c>
      <c r="B433" s="25">
        <v>10018210</v>
      </c>
      <c r="C433" s="25">
        <v>0</v>
      </c>
      <c r="D433" s="25">
        <v>18</v>
      </c>
      <c r="E433" s="25">
        <v>21</v>
      </c>
      <c r="F433" s="25" t="s">
        <v>795</v>
      </c>
      <c r="G433" s="25" t="s">
        <v>1473</v>
      </c>
    </row>
    <row r="434" spans="1:7" x14ac:dyDescent="0.45">
      <c r="A434" s="25" t="str">
        <f t="shared" si="14"/>
        <v/>
      </c>
      <c r="B434" s="25">
        <v>10018220</v>
      </c>
      <c r="C434" s="25">
        <v>0</v>
      </c>
      <c r="D434" s="25">
        <v>18</v>
      </c>
      <c r="E434" s="25">
        <v>22</v>
      </c>
      <c r="F434" s="25" t="s">
        <v>795</v>
      </c>
      <c r="G434" s="25" t="s">
        <v>1474</v>
      </c>
    </row>
    <row r="435" spans="1:7" x14ac:dyDescent="0.45">
      <c r="A435" s="25" t="str">
        <f t="shared" si="14"/>
        <v/>
      </c>
      <c r="B435" s="25">
        <v>10018230</v>
      </c>
      <c r="C435" s="25">
        <v>0</v>
      </c>
      <c r="D435" s="25">
        <v>18</v>
      </c>
      <c r="E435" s="25">
        <v>23</v>
      </c>
      <c r="F435" s="25" t="s">
        <v>795</v>
      </c>
      <c r="G435" s="25" t="s">
        <v>1475</v>
      </c>
    </row>
    <row r="436" spans="1:7" x14ac:dyDescent="0.45">
      <c r="A436" s="25" t="str">
        <f t="shared" si="14"/>
        <v/>
      </c>
      <c r="B436" s="25">
        <v>10018240</v>
      </c>
      <c r="C436" s="25">
        <v>0</v>
      </c>
      <c r="D436" s="25">
        <v>18</v>
      </c>
      <c r="E436" s="25">
        <v>24</v>
      </c>
      <c r="F436" s="25" t="s">
        <v>795</v>
      </c>
      <c r="G436" s="25" t="s">
        <v>1476</v>
      </c>
    </row>
    <row r="437" spans="1:7" x14ac:dyDescent="0.45">
      <c r="A437" s="25" t="str">
        <f t="shared" si="14"/>
        <v/>
      </c>
      <c r="B437" s="25">
        <v>10018250</v>
      </c>
      <c r="C437" s="25">
        <v>0</v>
      </c>
      <c r="D437" s="25">
        <v>18</v>
      </c>
      <c r="E437" s="25">
        <v>25</v>
      </c>
      <c r="F437" s="25" t="s">
        <v>795</v>
      </c>
      <c r="G437" s="25" t="s">
        <v>1477</v>
      </c>
    </row>
    <row r="438" spans="1:7" x14ac:dyDescent="0.45">
      <c r="A438" s="25" t="str">
        <f t="shared" si="14"/>
        <v/>
      </c>
      <c r="B438" s="25">
        <v>10018260</v>
      </c>
      <c r="C438" s="25">
        <v>0</v>
      </c>
      <c r="D438" s="25">
        <v>18</v>
      </c>
      <c r="E438" s="25">
        <v>26</v>
      </c>
      <c r="F438" s="25" t="s">
        <v>795</v>
      </c>
      <c r="G438" s="25" t="s">
        <v>1478</v>
      </c>
    </row>
    <row r="439" spans="1:7" x14ac:dyDescent="0.45">
      <c r="A439" s="25" t="str">
        <f t="shared" si="14"/>
        <v/>
      </c>
      <c r="B439" s="25">
        <v>10018270</v>
      </c>
      <c r="C439" s="25">
        <v>0</v>
      </c>
      <c r="D439" s="25">
        <v>18</v>
      </c>
      <c r="E439" s="25">
        <v>27</v>
      </c>
      <c r="F439" s="25" t="s">
        <v>795</v>
      </c>
      <c r="G439" s="25" t="s">
        <v>1479</v>
      </c>
    </row>
    <row r="440" spans="1:7" x14ac:dyDescent="0.45">
      <c r="A440" s="25" t="str">
        <f t="shared" si="14"/>
        <v/>
      </c>
      <c r="B440" s="25">
        <v>10018280</v>
      </c>
      <c r="C440" s="25">
        <v>0</v>
      </c>
      <c r="D440" s="25">
        <v>18</v>
      </c>
      <c r="E440" s="25">
        <v>28</v>
      </c>
      <c r="F440" s="25" t="s">
        <v>795</v>
      </c>
      <c r="G440" s="25" t="s">
        <v>1480</v>
      </c>
    </row>
    <row r="441" spans="1:7" x14ac:dyDescent="0.45">
      <c r="A441" s="25" t="str">
        <f t="shared" si="14"/>
        <v/>
      </c>
      <c r="B441" s="25">
        <v>10018290</v>
      </c>
      <c r="C441" s="25">
        <v>0</v>
      </c>
      <c r="D441" s="25">
        <v>18</v>
      </c>
      <c r="E441" s="25">
        <v>29</v>
      </c>
      <c r="F441" s="25" t="s">
        <v>795</v>
      </c>
      <c r="G441" s="25" t="s">
        <v>1481</v>
      </c>
    </row>
    <row r="442" spans="1:7" x14ac:dyDescent="0.45">
      <c r="A442" s="25" t="str">
        <f t="shared" si="14"/>
        <v/>
      </c>
      <c r="B442" s="25">
        <v>10018300</v>
      </c>
      <c r="C442" s="25">
        <v>0</v>
      </c>
      <c r="D442" s="25">
        <v>18</v>
      </c>
      <c r="E442" s="25">
        <v>30</v>
      </c>
      <c r="F442" s="25" t="s">
        <v>795</v>
      </c>
      <c r="G442" s="25" t="s">
        <v>1482</v>
      </c>
    </row>
    <row r="443" spans="1:7" x14ac:dyDescent="0.45">
      <c r="A443" s="25" t="str">
        <f t="shared" si="14"/>
        <v/>
      </c>
      <c r="B443" s="25">
        <v>10018310</v>
      </c>
      <c r="C443" s="25">
        <v>0</v>
      </c>
      <c r="D443" s="25">
        <v>18</v>
      </c>
      <c r="E443" s="25">
        <v>31</v>
      </c>
      <c r="F443" s="25" t="s">
        <v>795</v>
      </c>
      <c r="G443" s="25" t="s">
        <v>1483</v>
      </c>
    </row>
    <row r="444" spans="1:7" x14ac:dyDescent="0.45">
      <c r="A444" s="25" t="str">
        <f t="shared" si="14"/>
        <v/>
      </c>
      <c r="B444" s="25">
        <v>10018320</v>
      </c>
      <c r="C444" s="25">
        <v>0</v>
      </c>
      <c r="D444" s="25">
        <v>18</v>
      </c>
      <c r="E444" s="25">
        <v>32</v>
      </c>
      <c r="F444" s="25" t="s">
        <v>795</v>
      </c>
      <c r="G444" s="25" t="s">
        <v>1484</v>
      </c>
    </row>
    <row r="445" spans="1:7" x14ac:dyDescent="0.45">
      <c r="A445" s="25" t="str">
        <f t="shared" si="14"/>
        <v/>
      </c>
      <c r="B445" s="25">
        <v>10018330</v>
      </c>
      <c r="C445" s="25">
        <v>0</v>
      </c>
      <c r="D445" s="25">
        <v>18</v>
      </c>
      <c r="E445" s="25">
        <v>33</v>
      </c>
      <c r="F445" s="25" t="s">
        <v>795</v>
      </c>
      <c r="G445" s="25" t="s">
        <v>1485</v>
      </c>
    </row>
    <row r="446" spans="1:7" x14ac:dyDescent="0.45">
      <c r="A446" s="25" t="str">
        <f t="shared" si="14"/>
        <v/>
      </c>
      <c r="B446" s="25">
        <v>10018340</v>
      </c>
      <c r="C446" s="25">
        <v>0</v>
      </c>
      <c r="D446" s="25">
        <v>18</v>
      </c>
      <c r="E446" s="25">
        <v>34</v>
      </c>
      <c r="F446" s="25" t="s">
        <v>795</v>
      </c>
      <c r="G446" s="25" t="s">
        <v>1486</v>
      </c>
    </row>
    <row r="447" spans="1:7" x14ac:dyDescent="0.45">
      <c r="A447" s="25" t="str">
        <f t="shared" si="14"/>
        <v/>
      </c>
      <c r="B447" s="25">
        <v>10018350</v>
      </c>
      <c r="C447" s="25">
        <v>0</v>
      </c>
      <c r="D447" s="25">
        <v>18</v>
      </c>
      <c r="E447" s="25">
        <v>35</v>
      </c>
      <c r="F447" s="25" t="s">
        <v>795</v>
      </c>
      <c r="G447" s="25" t="s">
        <v>1487</v>
      </c>
    </row>
    <row r="448" spans="1:7" x14ac:dyDescent="0.45">
      <c r="A448" s="25" t="str">
        <f t="shared" si="14"/>
        <v/>
      </c>
      <c r="B448" s="25">
        <v>10018360</v>
      </c>
      <c r="C448" s="25">
        <v>0</v>
      </c>
      <c r="D448" s="25">
        <v>18</v>
      </c>
      <c r="E448" s="25">
        <v>36</v>
      </c>
      <c r="F448" s="25" t="s">
        <v>795</v>
      </c>
      <c r="G448" s="25" t="s">
        <v>1488</v>
      </c>
    </row>
    <row r="449" spans="1:9" x14ac:dyDescent="0.45">
      <c r="A449" s="25" t="str">
        <f t="shared" si="14"/>
        <v/>
      </c>
      <c r="B449" s="25">
        <v>10018370</v>
      </c>
      <c r="C449" s="25">
        <v>0</v>
      </c>
      <c r="D449" s="25">
        <v>18</v>
      </c>
      <c r="E449" s="25">
        <v>37</v>
      </c>
      <c r="F449" s="25" t="s">
        <v>795</v>
      </c>
      <c r="G449" s="25" t="s">
        <v>1489</v>
      </c>
    </row>
    <row r="450" spans="1:9" x14ac:dyDescent="0.45">
      <c r="A450" s="25" t="str">
        <f t="shared" si="14"/>
        <v/>
      </c>
      <c r="B450" s="25">
        <v>10018380</v>
      </c>
      <c r="C450" s="25">
        <v>0</v>
      </c>
      <c r="D450" s="25">
        <v>18</v>
      </c>
      <c r="E450" s="25">
        <v>38</v>
      </c>
      <c r="F450" s="25" t="s">
        <v>795</v>
      </c>
      <c r="G450" s="25" t="s">
        <v>1490</v>
      </c>
    </row>
    <row r="451" spans="1:9" x14ac:dyDescent="0.45">
      <c r="A451" s="25" t="str">
        <f t="shared" si="14"/>
        <v/>
      </c>
      <c r="B451" s="25">
        <v>10018390</v>
      </c>
      <c r="C451" s="25">
        <v>0</v>
      </c>
      <c r="D451" s="25">
        <v>18</v>
      </c>
      <c r="E451" s="25">
        <v>39</v>
      </c>
      <c r="F451" s="25" t="s">
        <v>795</v>
      </c>
      <c r="G451" s="25" t="s">
        <v>1491</v>
      </c>
    </row>
    <row r="452" spans="1:9" x14ac:dyDescent="0.45">
      <c r="A452" s="25" t="str">
        <f t="shared" si="14"/>
        <v/>
      </c>
      <c r="B452" s="25">
        <v>10018400</v>
      </c>
      <c r="C452" s="25">
        <v>0</v>
      </c>
      <c r="D452" s="25">
        <v>18</v>
      </c>
      <c r="E452" s="25">
        <v>40</v>
      </c>
      <c r="F452" s="25" t="s">
        <v>795</v>
      </c>
      <c r="G452" s="25" t="s">
        <v>1492</v>
      </c>
    </row>
    <row r="453" spans="1:9" x14ac:dyDescent="0.45">
      <c r="A453" s="25" t="str">
        <f t="shared" si="14"/>
        <v/>
      </c>
      <c r="B453" s="25">
        <v>10018410</v>
      </c>
      <c r="C453" s="25">
        <v>0</v>
      </c>
      <c r="D453" s="25">
        <v>18</v>
      </c>
      <c r="E453" s="25">
        <v>41</v>
      </c>
      <c r="F453" s="25" t="s">
        <v>795</v>
      </c>
      <c r="G453" s="25" t="s">
        <v>1493</v>
      </c>
    </row>
    <row r="454" spans="1:9" x14ac:dyDescent="0.45">
      <c r="A454" s="25">
        <f t="shared" si="14"/>
        <v>10019010</v>
      </c>
      <c r="B454" s="26">
        <v>10019010</v>
      </c>
      <c r="C454" s="26">
        <v>0</v>
      </c>
      <c r="D454" s="26">
        <v>19</v>
      </c>
      <c r="E454" s="26">
        <v>1</v>
      </c>
      <c r="F454" s="26" t="s">
        <v>850</v>
      </c>
      <c r="G454" s="26" t="s">
        <v>854</v>
      </c>
      <c r="I454" s="21">
        <v>100015</v>
      </c>
    </row>
    <row r="455" spans="1:9" x14ac:dyDescent="0.45">
      <c r="A455" s="26" t="str">
        <f t="shared" ref="A455:A473" si="15">IF(F455=F454,"",B455)</f>
        <v/>
      </c>
      <c r="B455" s="26">
        <v>10019020</v>
      </c>
      <c r="C455" s="26">
        <v>0</v>
      </c>
      <c r="D455" s="26">
        <v>19</v>
      </c>
      <c r="E455" s="26">
        <v>2</v>
      </c>
      <c r="F455" s="26" t="s">
        <v>850</v>
      </c>
      <c r="G455" s="26" t="s">
        <v>1494</v>
      </c>
    </row>
    <row r="456" spans="1:9" x14ac:dyDescent="0.45">
      <c r="A456" s="26" t="str">
        <f t="shared" si="15"/>
        <v/>
      </c>
      <c r="B456" s="26">
        <v>10019030</v>
      </c>
      <c r="C456" s="26">
        <v>0</v>
      </c>
      <c r="D456" s="26">
        <v>19</v>
      </c>
      <c r="E456" s="26">
        <v>3</v>
      </c>
      <c r="F456" s="26" t="s">
        <v>850</v>
      </c>
      <c r="G456" s="26" t="s">
        <v>1495</v>
      </c>
    </row>
    <row r="457" spans="1:9" x14ac:dyDescent="0.45">
      <c r="A457" s="26" t="str">
        <f t="shared" si="15"/>
        <v/>
      </c>
      <c r="B457" s="26">
        <v>10019040</v>
      </c>
      <c r="C457" s="26">
        <v>0</v>
      </c>
      <c r="D457" s="26">
        <v>19</v>
      </c>
      <c r="E457" s="26">
        <v>4</v>
      </c>
      <c r="F457" s="26" t="s">
        <v>850</v>
      </c>
      <c r="G457" s="26" t="s">
        <v>1496</v>
      </c>
    </row>
    <row r="458" spans="1:9" x14ac:dyDescent="0.45">
      <c r="A458" s="26" t="str">
        <f t="shared" si="15"/>
        <v/>
      </c>
      <c r="B458" s="26">
        <v>10019050</v>
      </c>
      <c r="C458" s="26">
        <v>0</v>
      </c>
      <c r="D458" s="26">
        <v>19</v>
      </c>
      <c r="E458" s="26">
        <v>5</v>
      </c>
      <c r="F458" s="26" t="s">
        <v>850</v>
      </c>
      <c r="G458" s="26" t="s">
        <v>1497</v>
      </c>
    </row>
    <row r="459" spans="1:9" x14ac:dyDescent="0.45">
      <c r="A459" s="26" t="str">
        <f t="shared" si="15"/>
        <v/>
      </c>
      <c r="B459" s="26">
        <v>10019060</v>
      </c>
      <c r="C459" s="26">
        <v>0</v>
      </c>
      <c r="D459" s="26">
        <v>19</v>
      </c>
      <c r="E459" s="26">
        <v>6</v>
      </c>
      <c r="F459" s="26" t="s">
        <v>850</v>
      </c>
      <c r="G459" s="26" t="s">
        <v>1498</v>
      </c>
    </row>
    <row r="460" spans="1:9" x14ac:dyDescent="0.45">
      <c r="A460" s="26" t="str">
        <f t="shared" si="15"/>
        <v/>
      </c>
      <c r="B460" s="26">
        <v>10019070</v>
      </c>
      <c r="C460" s="26">
        <v>0</v>
      </c>
      <c r="D460" s="26">
        <v>19</v>
      </c>
      <c r="E460" s="26">
        <v>7</v>
      </c>
      <c r="F460" s="26" t="s">
        <v>850</v>
      </c>
      <c r="G460" s="26" t="s">
        <v>1499</v>
      </c>
    </row>
    <row r="461" spans="1:9" x14ac:dyDescent="0.45">
      <c r="A461" s="26" t="str">
        <f t="shared" si="15"/>
        <v/>
      </c>
      <c r="B461" s="26">
        <v>10019080</v>
      </c>
      <c r="C461" s="26">
        <v>0</v>
      </c>
      <c r="D461" s="26">
        <v>19</v>
      </c>
      <c r="E461" s="26">
        <v>8</v>
      </c>
      <c r="F461" s="26" t="s">
        <v>850</v>
      </c>
      <c r="G461" s="26" t="s">
        <v>1500</v>
      </c>
    </row>
    <row r="462" spans="1:9" x14ac:dyDescent="0.45">
      <c r="A462" s="26" t="str">
        <f t="shared" si="15"/>
        <v/>
      </c>
      <c r="B462" s="26">
        <v>10019090</v>
      </c>
      <c r="C462" s="26">
        <v>0</v>
      </c>
      <c r="D462" s="26">
        <v>19</v>
      </c>
      <c r="E462" s="26">
        <v>9</v>
      </c>
      <c r="F462" s="26" t="s">
        <v>850</v>
      </c>
      <c r="G462" s="26" t="s">
        <v>1501</v>
      </c>
    </row>
    <row r="463" spans="1:9" x14ac:dyDescent="0.45">
      <c r="A463" s="26" t="str">
        <f t="shared" si="15"/>
        <v/>
      </c>
      <c r="B463" s="26">
        <v>10019100</v>
      </c>
      <c r="C463" s="26">
        <v>0</v>
      </c>
      <c r="D463" s="26">
        <v>19</v>
      </c>
      <c r="E463" s="26">
        <v>10</v>
      </c>
      <c r="F463" s="26" t="s">
        <v>850</v>
      </c>
      <c r="G463" s="26" t="s">
        <v>1502</v>
      </c>
    </row>
    <row r="464" spans="1:9" x14ac:dyDescent="0.45">
      <c r="A464" s="26" t="str">
        <f t="shared" si="15"/>
        <v/>
      </c>
      <c r="B464" s="26">
        <v>10019110</v>
      </c>
      <c r="C464" s="26">
        <v>0</v>
      </c>
      <c r="D464" s="26">
        <v>19</v>
      </c>
      <c r="E464" s="26">
        <v>11</v>
      </c>
      <c r="F464" s="26" t="s">
        <v>850</v>
      </c>
      <c r="G464" s="26" t="s">
        <v>1503</v>
      </c>
    </row>
    <row r="465" spans="1:9" x14ac:dyDescent="0.45">
      <c r="A465" s="26" t="str">
        <f t="shared" si="15"/>
        <v/>
      </c>
      <c r="B465" s="26">
        <v>10019120</v>
      </c>
      <c r="C465" s="26">
        <v>0</v>
      </c>
      <c r="D465" s="26">
        <v>19</v>
      </c>
      <c r="E465" s="26">
        <v>12</v>
      </c>
      <c r="F465" s="26" t="s">
        <v>850</v>
      </c>
      <c r="G465" s="26" t="s">
        <v>1504</v>
      </c>
    </row>
    <row r="466" spans="1:9" x14ac:dyDescent="0.45">
      <c r="A466" s="26" t="str">
        <f t="shared" si="15"/>
        <v/>
      </c>
      <c r="B466" s="26">
        <v>10019130</v>
      </c>
      <c r="C466" s="26">
        <v>0</v>
      </c>
      <c r="D466" s="26">
        <v>19</v>
      </c>
      <c r="E466" s="26">
        <v>13</v>
      </c>
      <c r="F466" s="26" t="s">
        <v>850</v>
      </c>
      <c r="G466" s="26" t="s">
        <v>1505</v>
      </c>
    </row>
    <row r="467" spans="1:9" x14ac:dyDescent="0.45">
      <c r="A467" s="26" t="str">
        <f t="shared" si="15"/>
        <v/>
      </c>
      <c r="B467" s="26">
        <v>10019140</v>
      </c>
      <c r="C467" s="26">
        <v>0</v>
      </c>
      <c r="D467" s="26">
        <v>19</v>
      </c>
      <c r="E467" s="26">
        <v>14</v>
      </c>
      <c r="F467" s="26" t="s">
        <v>850</v>
      </c>
      <c r="G467" s="26" t="s">
        <v>1506</v>
      </c>
    </row>
    <row r="468" spans="1:9" x14ac:dyDescent="0.45">
      <c r="A468" s="26" t="str">
        <f t="shared" si="15"/>
        <v/>
      </c>
      <c r="B468" s="26">
        <v>10019150</v>
      </c>
      <c r="C468" s="26">
        <v>0</v>
      </c>
      <c r="D468" s="26">
        <v>19</v>
      </c>
      <c r="E468" s="26">
        <v>15</v>
      </c>
      <c r="F468" s="26" t="s">
        <v>850</v>
      </c>
      <c r="G468" s="26" t="s">
        <v>1507</v>
      </c>
    </row>
    <row r="469" spans="1:9" x14ac:dyDescent="0.45">
      <c r="A469" s="26" t="str">
        <f t="shared" si="15"/>
        <v/>
      </c>
      <c r="B469" s="26">
        <v>10019160</v>
      </c>
      <c r="C469" s="26">
        <v>0</v>
      </c>
      <c r="D469" s="26">
        <v>19</v>
      </c>
      <c r="E469" s="26">
        <v>16</v>
      </c>
      <c r="F469" s="26" t="s">
        <v>850</v>
      </c>
      <c r="G469" s="26" t="s">
        <v>1508</v>
      </c>
    </row>
    <row r="470" spans="1:9" x14ac:dyDescent="0.45">
      <c r="A470" s="26" t="str">
        <f t="shared" si="15"/>
        <v/>
      </c>
      <c r="B470" s="26">
        <v>10019170</v>
      </c>
      <c r="C470" s="26">
        <v>0</v>
      </c>
      <c r="D470" s="26">
        <v>19</v>
      </c>
      <c r="E470" s="26">
        <v>17</v>
      </c>
      <c r="F470" s="26" t="s">
        <v>850</v>
      </c>
      <c r="G470" s="26" t="s">
        <v>1509</v>
      </c>
    </row>
    <row r="471" spans="1:9" x14ac:dyDescent="0.45">
      <c r="A471" s="26" t="str">
        <f t="shared" si="15"/>
        <v/>
      </c>
      <c r="B471" s="26">
        <v>10019180</v>
      </c>
      <c r="C471" s="26">
        <v>0</v>
      </c>
      <c r="D471" s="26">
        <v>19</v>
      </c>
      <c r="E471" s="26">
        <v>18</v>
      </c>
      <c r="F471" s="26" t="s">
        <v>850</v>
      </c>
      <c r="G471" s="26" t="s">
        <v>1510</v>
      </c>
    </row>
    <row r="472" spans="1:9" x14ac:dyDescent="0.45">
      <c r="A472" s="26" t="str">
        <f t="shared" si="15"/>
        <v/>
      </c>
      <c r="B472" s="26">
        <v>10019190</v>
      </c>
      <c r="C472" s="26">
        <v>0</v>
      </c>
      <c r="D472" s="26">
        <v>19</v>
      </c>
      <c r="E472" s="26">
        <v>19</v>
      </c>
      <c r="F472" s="26" t="s">
        <v>850</v>
      </c>
      <c r="G472" s="26" t="s">
        <v>1511</v>
      </c>
    </row>
    <row r="473" spans="1:9" x14ac:dyDescent="0.45">
      <c r="A473" s="26" t="str">
        <f t="shared" si="15"/>
        <v/>
      </c>
      <c r="B473" s="26">
        <v>10019200</v>
      </c>
      <c r="C473" s="26">
        <v>0</v>
      </c>
      <c r="D473" s="26">
        <v>19</v>
      </c>
      <c r="E473" s="26">
        <v>20</v>
      </c>
      <c r="F473" s="26" t="s">
        <v>850</v>
      </c>
      <c r="G473" s="26" t="s">
        <v>1512</v>
      </c>
    </row>
    <row r="474" spans="1:9" x14ac:dyDescent="0.45">
      <c r="A474" s="26" t="str">
        <f t="shared" ref="A474:A537" si="16">IF(F474=F473,"",B474)</f>
        <v/>
      </c>
      <c r="B474" s="26">
        <v>10019210</v>
      </c>
      <c r="C474" s="26">
        <v>0</v>
      </c>
      <c r="D474" s="26">
        <v>19</v>
      </c>
      <c r="E474" s="26">
        <v>21</v>
      </c>
      <c r="F474" s="26" t="s">
        <v>850</v>
      </c>
      <c r="G474" s="26" t="s">
        <v>1513</v>
      </c>
    </row>
    <row r="475" spans="1:9" x14ac:dyDescent="0.45">
      <c r="A475" s="26" t="str">
        <f t="shared" si="16"/>
        <v/>
      </c>
      <c r="B475" s="26">
        <v>10019220</v>
      </c>
      <c r="C475" s="26">
        <v>0</v>
      </c>
      <c r="D475" s="26">
        <v>19</v>
      </c>
      <c r="E475" s="26">
        <v>22</v>
      </c>
      <c r="F475" s="26" t="s">
        <v>850</v>
      </c>
      <c r="G475" s="26" t="s">
        <v>1514</v>
      </c>
    </row>
    <row r="476" spans="1:9" x14ac:dyDescent="0.45">
      <c r="A476" s="23">
        <f t="shared" si="16"/>
        <v>10020010</v>
      </c>
      <c r="B476" s="23">
        <v>10020010</v>
      </c>
      <c r="C476" s="23">
        <v>0</v>
      </c>
      <c r="D476" s="23">
        <v>20</v>
      </c>
      <c r="E476" s="23">
        <v>1</v>
      </c>
      <c r="F476" s="23" t="s">
        <v>878</v>
      </c>
      <c r="G476" s="23" t="s">
        <v>1515</v>
      </c>
      <c r="I476" s="21">
        <v>100015</v>
      </c>
    </row>
    <row r="477" spans="1:9" x14ac:dyDescent="0.45">
      <c r="A477" s="23" t="str">
        <f t="shared" si="16"/>
        <v/>
      </c>
      <c r="B477" s="23">
        <v>10020020</v>
      </c>
      <c r="C477" s="23">
        <v>0</v>
      </c>
      <c r="D477" s="23">
        <v>20</v>
      </c>
      <c r="E477" s="23">
        <v>2</v>
      </c>
      <c r="F477" s="23" t="s">
        <v>878</v>
      </c>
      <c r="G477" s="23" t="s">
        <v>1516</v>
      </c>
    </row>
    <row r="478" spans="1:9" x14ac:dyDescent="0.45">
      <c r="A478" s="23" t="str">
        <f t="shared" si="16"/>
        <v/>
      </c>
      <c r="B478" s="23">
        <v>10020030</v>
      </c>
      <c r="C478" s="23">
        <v>0</v>
      </c>
      <c r="D478" s="23">
        <v>20</v>
      </c>
      <c r="E478" s="23">
        <v>3</v>
      </c>
      <c r="F478" s="23" t="s">
        <v>878</v>
      </c>
      <c r="G478" s="23" t="s">
        <v>1517</v>
      </c>
    </row>
    <row r="479" spans="1:9" x14ac:dyDescent="0.45">
      <c r="A479" s="23" t="str">
        <f t="shared" si="16"/>
        <v/>
      </c>
      <c r="B479" s="23">
        <v>10020040</v>
      </c>
      <c r="C479" s="23">
        <v>0</v>
      </c>
      <c r="D479" s="23">
        <v>20</v>
      </c>
      <c r="E479" s="23">
        <v>4</v>
      </c>
      <c r="F479" s="23" t="s">
        <v>878</v>
      </c>
      <c r="G479" s="23" t="s">
        <v>1518</v>
      </c>
    </row>
    <row r="480" spans="1:9" x14ac:dyDescent="0.45">
      <c r="A480" s="23" t="str">
        <f t="shared" si="16"/>
        <v/>
      </c>
      <c r="B480" s="23">
        <v>10020050</v>
      </c>
      <c r="C480" s="23">
        <v>0</v>
      </c>
      <c r="D480" s="23">
        <v>20</v>
      </c>
      <c r="E480" s="23">
        <v>5</v>
      </c>
      <c r="F480" s="23" t="s">
        <v>878</v>
      </c>
      <c r="G480" s="23" t="s">
        <v>1519</v>
      </c>
    </row>
    <row r="481" spans="1:7" x14ac:dyDescent="0.45">
      <c r="A481" s="23" t="str">
        <f t="shared" si="16"/>
        <v/>
      </c>
      <c r="B481" s="23">
        <v>10020060</v>
      </c>
      <c r="C481" s="23">
        <v>0</v>
      </c>
      <c r="D481" s="23">
        <v>20</v>
      </c>
      <c r="E481" s="23">
        <v>6</v>
      </c>
      <c r="F481" s="23" t="s">
        <v>878</v>
      </c>
      <c r="G481" s="23" t="s">
        <v>1520</v>
      </c>
    </row>
    <row r="482" spans="1:7" x14ac:dyDescent="0.45">
      <c r="A482" s="23" t="str">
        <f t="shared" si="16"/>
        <v/>
      </c>
      <c r="B482" s="23">
        <v>10020070</v>
      </c>
      <c r="C482" s="23">
        <v>0</v>
      </c>
      <c r="D482" s="23">
        <v>20</v>
      </c>
      <c r="E482" s="23">
        <v>7</v>
      </c>
      <c r="F482" s="23" t="s">
        <v>878</v>
      </c>
      <c r="G482" s="23" t="s">
        <v>1521</v>
      </c>
    </row>
    <row r="483" spans="1:7" x14ac:dyDescent="0.45">
      <c r="A483" s="23" t="str">
        <f t="shared" si="16"/>
        <v/>
      </c>
      <c r="B483" s="23">
        <v>10020080</v>
      </c>
      <c r="C483" s="23">
        <v>0</v>
      </c>
      <c r="D483" s="23">
        <v>20</v>
      </c>
      <c r="E483" s="23">
        <v>8</v>
      </c>
      <c r="F483" s="23" t="s">
        <v>878</v>
      </c>
      <c r="G483" s="23" t="s">
        <v>1091</v>
      </c>
    </row>
    <row r="484" spans="1:7" x14ac:dyDescent="0.45">
      <c r="A484" s="23" t="str">
        <f t="shared" si="16"/>
        <v/>
      </c>
      <c r="B484" s="23">
        <v>10020090</v>
      </c>
      <c r="C484" s="23">
        <v>0</v>
      </c>
      <c r="D484" s="23">
        <v>20</v>
      </c>
      <c r="E484" s="23">
        <v>9</v>
      </c>
      <c r="F484" s="23" t="s">
        <v>878</v>
      </c>
      <c r="G484" s="23" t="s">
        <v>1522</v>
      </c>
    </row>
    <row r="485" spans="1:7" x14ac:dyDescent="0.45">
      <c r="A485" s="23" t="str">
        <f t="shared" si="16"/>
        <v/>
      </c>
      <c r="B485" s="23">
        <v>10020100</v>
      </c>
      <c r="C485" s="23">
        <v>0</v>
      </c>
      <c r="D485" s="23">
        <v>20</v>
      </c>
      <c r="E485" s="23">
        <v>10</v>
      </c>
      <c r="F485" s="23" t="s">
        <v>878</v>
      </c>
      <c r="G485" s="23" t="s">
        <v>1523</v>
      </c>
    </row>
    <row r="486" spans="1:7" x14ac:dyDescent="0.45">
      <c r="A486" s="23" t="str">
        <f t="shared" si="16"/>
        <v/>
      </c>
      <c r="B486" s="23">
        <v>10020110</v>
      </c>
      <c r="C486" s="23">
        <v>0</v>
      </c>
      <c r="D486" s="23">
        <v>20</v>
      </c>
      <c r="E486" s="23">
        <v>11</v>
      </c>
      <c r="F486" s="23" t="s">
        <v>878</v>
      </c>
      <c r="G486" s="23" t="s">
        <v>1524</v>
      </c>
    </row>
    <row r="487" spans="1:7" x14ac:dyDescent="0.45">
      <c r="A487" s="23" t="str">
        <f t="shared" si="16"/>
        <v/>
      </c>
      <c r="B487" s="23">
        <v>10020120</v>
      </c>
      <c r="C487" s="23">
        <v>0</v>
      </c>
      <c r="D487" s="23">
        <v>20</v>
      </c>
      <c r="E487" s="23">
        <v>12</v>
      </c>
      <c r="F487" s="23" t="s">
        <v>878</v>
      </c>
      <c r="G487" s="23" t="s">
        <v>1525</v>
      </c>
    </row>
    <row r="488" spans="1:7" x14ac:dyDescent="0.45">
      <c r="A488" s="23" t="str">
        <f t="shared" si="16"/>
        <v/>
      </c>
      <c r="B488" s="23">
        <v>10020130</v>
      </c>
      <c r="C488" s="23">
        <v>0</v>
      </c>
      <c r="D488" s="23">
        <v>20</v>
      </c>
      <c r="E488" s="23">
        <v>13</v>
      </c>
      <c r="F488" s="23" t="s">
        <v>878</v>
      </c>
      <c r="G488" s="23" t="s">
        <v>1526</v>
      </c>
    </row>
    <row r="489" spans="1:7" x14ac:dyDescent="0.45">
      <c r="A489" s="23" t="str">
        <f t="shared" si="16"/>
        <v/>
      </c>
      <c r="B489" s="23">
        <v>10020140</v>
      </c>
      <c r="C489" s="23">
        <v>0</v>
      </c>
      <c r="D489" s="23">
        <v>20</v>
      </c>
      <c r="E489" s="23">
        <v>14</v>
      </c>
      <c r="F489" s="23" t="s">
        <v>878</v>
      </c>
      <c r="G489" s="23" t="s">
        <v>1527</v>
      </c>
    </row>
    <row r="490" spans="1:7" x14ac:dyDescent="0.45">
      <c r="A490" s="23" t="str">
        <f t="shared" si="16"/>
        <v/>
      </c>
      <c r="B490" s="23">
        <v>10020150</v>
      </c>
      <c r="C490" s="23">
        <v>0</v>
      </c>
      <c r="D490" s="23">
        <v>20</v>
      </c>
      <c r="E490" s="23">
        <v>15</v>
      </c>
      <c r="F490" s="23" t="s">
        <v>878</v>
      </c>
      <c r="G490" s="23" t="s">
        <v>1528</v>
      </c>
    </row>
    <row r="491" spans="1:7" x14ac:dyDescent="0.45">
      <c r="A491" s="23" t="str">
        <f t="shared" si="16"/>
        <v/>
      </c>
      <c r="B491" s="23">
        <v>10020160</v>
      </c>
      <c r="C491" s="23">
        <v>0</v>
      </c>
      <c r="D491" s="23">
        <v>20</v>
      </c>
      <c r="E491" s="23">
        <v>16</v>
      </c>
      <c r="F491" s="23" t="s">
        <v>878</v>
      </c>
      <c r="G491" s="23" t="s">
        <v>1529</v>
      </c>
    </row>
    <row r="492" spans="1:7" x14ac:dyDescent="0.45">
      <c r="A492" s="23" t="str">
        <f t="shared" si="16"/>
        <v/>
      </c>
      <c r="B492" s="23">
        <v>10020170</v>
      </c>
      <c r="C492" s="23">
        <v>0</v>
      </c>
      <c r="D492" s="23">
        <v>20</v>
      </c>
      <c r="E492" s="23">
        <v>17</v>
      </c>
      <c r="F492" s="23" t="s">
        <v>878</v>
      </c>
      <c r="G492" s="23" t="s">
        <v>1530</v>
      </c>
    </row>
    <row r="493" spans="1:7" x14ac:dyDescent="0.45">
      <c r="A493" s="23" t="str">
        <f t="shared" si="16"/>
        <v/>
      </c>
      <c r="B493" s="23">
        <v>10020180</v>
      </c>
      <c r="C493" s="23">
        <v>0</v>
      </c>
      <c r="D493" s="23">
        <v>20</v>
      </c>
      <c r="E493" s="23">
        <v>18</v>
      </c>
      <c r="F493" s="23" t="s">
        <v>878</v>
      </c>
      <c r="G493" s="23" t="s">
        <v>1531</v>
      </c>
    </row>
    <row r="494" spans="1:7" x14ac:dyDescent="0.45">
      <c r="A494" s="23" t="str">
        <f t="shared" si="16"/>
        <v/>
      </c>
      <c r="B494" s="23">
        <v>10020190</v>
      </c>
      <c r="C494" s="23">
        <v>0</v>
      </c>
      <c r="D494" s="23">
        <v>20</v>
      </c>
      <c r="E494" s="23">
        <v>19</v>
      </c>
      <c r="F494" s="23" t="s">
        <v>878</v>
      </c>
      <c r="G494" s="23" t="s">
        <v>1532</v>
      </c>
    </row>
    <row r="495" spans="1:7" x14ac:dyDescent="0.45">
      <c r="A495" s="23" t="str">
        <f t="shared" si="16"/>
        <v/>
      </c>
      <c r="B495" s="23">
        <v>10020200</v>
      </c>
      <c r="C495" s="23">
        <v>0</v>
      </c>
      <c r="D495" s="23">
        <v>20</v>
      </c>
      <c r="E495" s="23">
        <v>20</v>
      </c>
      <c r="F495" s="23" t="s">
        <v>878</v>
      </c>
      <c r="G495" s="23" t="s">
        <v>1078</v>
      </c>
    </row>
    <row r="496" spans="1:7" x14ac:dyDescent="0.45">
      <c r="A496" s="23" t="str">
        <f t="shared" si="16"/>
        <v/>
      </c>
      <c r="B496" s="23">
        <v>10020210</v>
      </c>
      <c r="C496" s="23">
        <v>0</v>
      </c>
      <c r="D496" s="23">
        <v>20</v>
      </c>
      <c r="E496" s="23">
        <v>21</v>
      </c>
      <c r="F496" s="23" t="s">
        <v>878</v>
      </c>
      <c r="G496" s="23" t="s">
        <v>1533</v>
      </c>
    </row>
    <row r="497" spans="1:7" x14ac:dyDescent="0.45">
      <c r="A497" s="23" t="str">
        <f t="shared" si="16"/>
        <v/>
      </c>
      <c r="B497" s="23">
        <v>10020220</v>
      </c>
      <c r="C497" s="23">
        <v>0</v>
      </c>
      <c r="D497" s="23">
        <v>20</v>
      </c>
      <c r="E497" s="23">
        <v>22</v>
      </c>
      <c r="F497" s="23" t="s">
        <v>878</v>
      </c>
      <c r="G497" s="23" t="s">
        <v>1534</v>
      </c>
    </row>
    <row r="498" spans="1:7" x14ac:dyDescent="0.45">
      <c r="A498" s="23" t="str">
        <f t="shared" si="16"/>
        <v/>
      </c>
      <c r="B498" s="23">
        <v>10020230</v>
      </c>
      <c r="C498" s="23">
        <v>0</v>
      </c>
      <c r="D498" s="23">
        <v>20</v>
      </c>
      <c r="E498" s="23">
        <v>23</v>
      </c>
      <c r="F498" s="23" t="s">
        <v>878</v>
      </c>
      <c r="G498" s="23" t="s">
        <v>1535</v>
      </c>
    </row>
    <row r="499" spans="1:7" x14ac:dyDescent="0.45">
      <c r="A499" s="23" t="str">
        <f t="shared" si="16"/>
        <v/>
      </c>
      <c r="B499" s="23">
        <v>10020240</v>
      </c>
      <c r="C499" s="23">
        <v>0</v>
      </c>
      <c r="D499" s="23">
        <v>20</v>
      </c>
      <c r="E499" s="23">
        <v>24</v>
      </c>
      <c r="F499" s="23" t="s">
        <v>878</v>
      </c>
      <c r="G499" s="23" t="s">
        <v>1095</v>
      </c>
    </row>
    <row r="500" spans="1:7" x14ac:dyDescent="0.45">
      <c r="A500" s="23" t="str">
        <f t="shared" si="16"/>
        <v/>
      </c>
      <c r="B500" s="23">
        <v>10020250</v>
      </c>
      <c r="C500" s="23">
        <v>0</v>
      </c>
      <c r="D500" s="23">
        <v>20</v>
      </c>
      <c r="E500" s="23">
        <v>25</v>
      </c>
      <c r="F500" s="23" t="s">
        <v>878</v>
      </c>
      <c r="G500" s="23" t="s">
        <v>1087</v>
      </c>
    </row>
    <row r="501" spans="1:7" x14ac:dyDescent="0.45">
      <c r="A501" s="23" t="str">
        <f t="shared" si="16"/>
        <v/>
      </c>
      <c r="B501" s="23">
        <v>10020260</v>
      </c>
      <c r="C501" s="23">
        <v>0</v>
      </c>
      <c r="D501" s="23">
        <v>20</v>
      </c>
      <c r="E501" s="23">
        <v>26</v>
      </c>
      <c r="F501" s="23" t="s">
        <v>878</v>
      </c>
      <c r="G501" s="23" t="s">
        <v>1090</v>
      </c>
    </row>
    <row r="502" spans="1:7" x14ac:dyDescent="0.45">
      <c r="A502" s="23" t="str">
        <f t="shared" si="16"/>
        <v/>
      </c>
      <c r="B502" s="23">
        <v>10020270</v>
      </c>
      <c r="C502" s="23">
        <v>0</v>
      </c>
      <c r="D502" s="23">
        <v>20</v>
      </c>
      <c r="E502" s="23">
        <v>27</v>
      </c>
      <c r="F502" s="23" t="s">
        <v>878</v>
      </c>
      <c r="G502" s="23" t="s">
        <v>1536</v>
      </c>
    </row>
    <row r="503" spans="1:7" x14ac:dyDescent="0.45">
      <c r="A503" s="23" t="str">
        <f t="shared" si="16"/>
        <v/>
      </c>
      <c r="B503" s="23">
        <v>10020280</v>
      </c>
      <c r="C503" s="23">
        <v>0</v>
      </c>
      <c r="D503" s="23">
        <v>20</v>
      </c>
      <c r="E503" s="23">
        <v>28</v>
      </c>
      <c r="F503" s="23" t="s">
        <v>878</v>
      </c>
      <c r="G503" s="23" t="s">
        <v>1537</v>
      </c>
    </row>
    <row r="504" spans="1:7" x14ac:dyDescent="0.45">
      <c r="A504" s="23" t="str">
        <f t="shared" si="16"/>
        <v/>
      </c>
      <c r="B504" s="23">
        <v>10020290</v>
      </c>
      <c r="C504" s="23">
        <v>0</v>
      </c>
      <c r="D504" s="23">
        <v>20</v>
      </c>
      <c r="E504" s="23">
        <v>29</v>
      </c>
      <c r="F504" s="23" t="s">
        <v>878</v>
      </c>
      <c r="G504" s="23" t="s">
        <v>1538</v>
      </c>
    </row>
    <row r="505" spans="1:7" x14ac:dyDescent="0.45">
      <c r="A505" s="23" t="str">
        <f t="shared" si="16"/>
        <v/>
      </c>
      <c r="B505" s="23">
        <v>10020300</v>
      </c>
      <c r="C505" s="23">
        <v>0</v>
      </c>
      <c r="D505" s="23">
        <v>20</v>
      </c>
      <c r="E505" s="23">
        <v>30</v>
      </c>
      <c r="F505" s="23" t="s">
        <v>878</v>
      </c>
      <c r="G505" s="23" t="s">
        <v>1539</v>
      </c>
    </row>
    <row r="506" spans="1:7" x14ac:dyDescent="0.45">
      <c r="A506" s="23" t="str">
        <f t="shared" si="16"/>
        <v/>
      </c>
      <c r="B506" s="23">
        <v>10020310</v>
      </c>
      <c r="C506" s="23">
        <v>0</v>
      </c>
      <c r="D506" s="23">
        <v>20</v>
      </c>
      <c r="E506" s="23">
        <v>31</v>
      </c>
      <c r="F506" s="23" t="s">
        <v>878</v>
      </c>
      <c r="G506" s="23" t="s">
        <v>1540</v>
      </c>
    </row>
    <row r="507" spans="1:7" x14ac:dyDescent="0.45">
      <c r="A507" s="23" t="str">
        <f t="shared" si="16"/>
        <v/>
      </c>
      <c r="B507" s="23">
        <v>10020320</v>
      </c>
      <c r="C507" s="23">
        <v>0</v>
      </c>
      <c r="D507" s="23">
        <v>20</v>
      </c>
      <c r="E507" s="23">
        <v>32</v>
      </c>
      <c r="F507" s="23" t="s">
        <v>878</v>
      </c>
      <c r="G507" s="23" t="s">
        <v>1104</v>
      </c>
    </row>
    <row r="508" spans="1:7" x14ac:dyDescent="0.45">
      <c r="A508" s="23" t="str">
        <f t="shared" si="16"/>
        <v/>
      </c>
      <c r="B508" s="23">
        <v>10020330</v>
      </c>
      <c r="C508" s="23">
        <v>0</v>
      </c>
      <c r="D508" s="23">
        <v>20</v>
      </c>
      <c r="E508" s="23">
        <v>33</v>
      </c>
      <c r="F508" s="23" t="s">
        <v>878</v>
      </c>
      <c r="G508" s="23" t="s">
        <v>1541</v>
      </c>
    </row>
    <row r="509" spans="1:7" x14ac:dyDescent="0.45">
      <c r="A509" s="23" t="str">
        <f t="shared" si="16"/>
        <v/>
      </c>
      <c r="B509" s="23">
        <v>10020340</v>
      </c>
      <c r="C509" s="23">
        <v>0</v>
      </c>
      <c r="D509" s="23">
        <v>20</v>
      </c>
      <c r="E509" s="23">
        <v>34</v>
      </c>
      <c r="F509" s="23" t="s">
        <v>878</v>
      </c>
      <c r="G509" s="23" t="s">
        <v>1542</v>
      </c>
    </row>
    <row r="510" spans="1:7" x14ac:dyDescent="0.45">
      <c r="A510" s="23" t="str">
        <f t="shared" si="16"/>
        <v/>
      </c>
      <c r="B510" s="23">
        <v>10020350</v>
      </c>
      <c r="C510" s="23">
        <v>0</v>
      </c>
      <c r="D510" s="23">
        <v>20</v>
      </c>
      <c r="E510" s="23">
        <v>35</v>
      </c>
      <c r="F510" s="23" t="s">
        <v>878</v>
      </c>
      <c r="G510" s="23" t="s">
        <v>1543</v>
      </c>
    </row>
    <row r="511" spans="1:7" x14ac:dyDescent="0.45">
      <c r="A511" s="23" t="str">
        <f t="shared" si="16"/>
        <v/>
      </c>
      <c r="B511" s="23">
        <v>10020360</v>
      </c>
      <c r="C511" s="23">
        <v>0</v>
      </c>
      <c r="D511" s="23">
        <v>20</v>
      </c>
      <c r="E511" s="23">
        <v>36</v>
      </c>
      <c r="F511" s="23" t="s">
        <v>878</v>
      </c>
      <c r="G511" s="23" t="s">
        <v>1544</v>
      </c>
    </row>
    <row r="512" spans="1:7" x14ac:dyDescent="0.45">
      <c r="A512" s="23" t="str">
        <f t="shared" si="16"/>
        <v/>
      </c>
      <c r="B512" s="23">
        <v>10020370</v>
      </c>
      <c r="C512" s="23">
        <v>0</v>
      </c>
      <c r="D512" s="23">
        <v>20</v>
      </c>
      <c r="E512" s="23">
        <v>37</v>
      </c>
      <c r="F512" s="23" t="s">
        <v>878</v>
      </c>
      <c r="G512" s="23" t="s">
        <v>1545</v>
      </c>
    </row>
    <row r="513" spans="1:7" x14ac:dyDescent="0.45">
      <c r="A513" s="23" t="str">
        <f t="shared" si="16"/>
        <v/>
      </c>
      <c r="B513" s="23">
        <v>10020380</v>
      </c>
      <c r="C513" s="23">
        <v>0</v>
      </c>
      <c r="D513" s="23">
        <v>20</v>
      </c>
      <c r="E513" s="23">
        <v>38</v>
      </c>
      <c r="F513" s="23" t="s">
        <v>878</v>
      </c>
      <c r="G513" s="23" t="s">
        <v>1116</v>
      </c>
    </row>
    <row r="514" spans="1:7" x14ac:dyDescent="0.45">
      <c r="A514" s="23" t="str">
        <f t="shared" si="16"/>
        <v/>
      </c>
      <c r="B514" s="23">
        <v>10020390</v>
      </c>
      <c r="C514" s="23">
        <v>0</v>
      </c>
      <c r="D514" s="23">
        <v>20</v>
      </c>
      <c r="E514" s="23">
        <v>39</v>
      </c>
      <c r="F514" s="23" t="s">
        <v>878</v>
      </c>
      <c r="G514" s="23" t="s">
        <v>1546</v>
      </c>
    </row>
    <row r="515" spans="1:7" x14ac:dyDescent="0.45">
      <c r="A515" s="23" t="str">
        <f t="shared" si="16"/>
        <v/>
      </c>
      <c r="B515" s="23">
        <v>10020400</v>
      </c>
      <c r="C515" s="23">
        <v>0</v>
      </c>
      <c r="D515" s="23">
        <v>20</v>
      </c>
      <c r="E515" s="23">
        <v>40</v>
      </c>
      <c r="F515" s="23" t="s">
        <v>878</v>
      </c>
      <c r="G515" s="23" t="s">
        <v>1547</v>
      </c>
    </row>
    <row r="516" spans="1:7" x14ac:dyDescent="0.45">
      <c r="A516" s="23" t="str">
        <f t="shared" si="16"/>
        <v/>
      </c>
      <c r="B516" s="23">
        <v>10020410</v>
      </c>
      <c r="C516" s="23">
        <v>0</v>
      </c>
      <c r="D516" s="23">
        <v>20</v>
      </c>
      <c r="E516" s="23">
        <v>41</v>
      </c>
      <c r="F516" s="23" t="s">
        <v>878</v>
      </c>
      <c r="G516" s="23" t="s">
        <v>1115</v>
      </c>
    </row>
    <row r="517" spans="1:7" x14ac:dyDescent="0.45">
      <c r="A517" s="23" t="str">
        <f t="shared" si="16"/>
        <v/>
      </c>
      <c r="B517" s="23">
        <v>10020420</v>
      </c>
      <c r="C517" s="23">
        <v>0</v>
      </c>
      <c r="D517" s="23">
        <v>20</v>
      </c>
      <c r="E517" s="23">
        <v>42</v>
      </c>
      <c r="F517" s="23" t="s">
        <v>878</v>
      </c>
      <c r="G517" s="23" t="s">
        <v>1548</v>
      </c>
    </row>
    <row r="518" spans="1:7" x14ac:dyDescent="0.45">
      <c r="A518" s="23" t="str">
        <f t="shared" si="16"/>
        <v/>
      </c>
      <c r="B518" s="23">
        <v>10020430</v>
      </c>
      <c r="C518" s="23">
        <v>0</v>
      </c>
      <c r="D518" s="23">
        <v>20</v>
      </c>
      <c r="E518" s="23">
        <v>43</v>
      </c>
      <c r="F518" s="23" t="s">
        <v>878</v>
      </c>
      <c r="G518" s="23" t="s">
        <v>1549</v>
      </c>
    </row>
    <row r="519" spans="1:7" x14ac:dyDescent="0.45">
      <c r="A519" s="23" t="str">
        <f t="shared" si="16"/>
        <v/>
      </c>
      <c r="B519" s="23">
        <v>10020440</v>
      </c>
      <c r="C519" s="23">
        <v>0</v>
      </c>
      <c r="D519" s="23">
        <v>20</v>
      </c>
      <c r="E519" s="23">
        <v>44</v>
      </c>
      <c r="F519" s="23" t="s">
        <v>878</v>
      </c>
      <c r="G519" s="23" t="s">
        <v>1126</v>
      </c>
    </row>
    <row r="520" spans="1:7" x14ac:dyDescent="0.45">
      <c r="A520" s="23" t="str">
        <f t="shared" si="16"/>
        <v/>
      </c>
      <c r="B520" s="23">
        <v>10020450</v>
      </c>
      <c r="C520" s="23">
        <v>0</v>
      </c>
      <c r="D520" s="23">
        <v>20</v>
      </c>
      <c r="E520" s="23">
        <v>45</v>
      </c>
      <c r="F520" s="23" t="s">
        <v>878</v>
      </c>
      <c r="G520" s="23" t="s">
        <v>1550</v>
      </c>
    </row>
    <row r="521" spans="1:7" x14ac:dyDescent="0.45">
      <c r="A521" s="23" t="str">
        <f t="shared" si="16"/>
        <v/>
      </c>
      <c r="B521" s="23">
        <v>10020460</v>
      </c>
      <c r="C521" s="23">
        <v>0</v>
      </c>
      <c r="D521" s="23">
        <v>20</v>
      </c>
      <c r="E521" s="23">
        <v>46</v>
      </c>
      <c r="F521" s="23" t="s">
        <v>878</v>
      </c>
      <c r="G521" s="23" t="s">
        <v>1551</v>
      </c>
    </row>
    <row r="522" spans="1:7" x14ac:dyDescent="0.45">
      <c r="A522" s="23" t="str">
        <f t="shared" si="16"/>
        <v/>
      </c>
      <c r="B522" s="23">
        <v>10020470</v>
      </c>
      <c r="C522" s="23">
        <v>0</v>
      </c>
      <c r="D522" s="23">
        <v>20</v>
      </c>
      <c r="E522" s="23">
        <v>47</v>
      </c>
      <c r="F522" s="23" t="s">
        <v>878</v>
      </c>
      <c r="G522" s="23" t="s">
        <v>1552</v>
      </c>
    </row>
    <row r="523" spans="1:7" x14ac:dyDescent="0.45">
      <c r="A523" s="23" t="str">
        <f t="shared" si="16"/>
        <v/>
      </c>
      <c r="B523" s="23">
        <v>10020480</v>
      </c>
      <c r="C523" s="23">
        <v>0</v>
      </c>
      <c r="D523" s="23">
        <v>20</v>
      </c>
      <c r="E523" s="23">
        <v>48</v>
      </c>
      <c r="F523" s="23" t="s">
        <v>878</v>
      </c>
      <c r="G523" s="23" t="s">
        <v>1553</v>
      </c>
    </row>
    <row r="524" spans="1:7" x14ac:dyDescent="0.45">
      <c r="A524" s="23" t="str">
        <f t="shared" si="16"/>
        <v/>
      </c>
      <c r="B524" s="23">
        <v>10020490</v>
      </c>
      <c r="C524" s="23">
        <v>0</v>
      </c>
      <c r="D524" s="23">
        <v>20</v>
      </c>
      <c r="E524" s="23">
        <v>49</v>
      </c>
      <c r="F524" s="23" t="s">
        <v>878</v>
      </c>
      <c r="G524" s="23" t="s">
        <v>1554</v>
      </c>
    </row>
    <row r="525" spans="1:7" x14ac:dyDescent="0.45">
      <c r="A525" s="23" t="str">
        <f t="shared" si="16"/>
        <v/>
      </c>
      <c r="B525" s="23">
        <v>10020500</v>
      </c>
      <c r="C525" s="23">
        <v>0</v>
      </c>
      <c r="D525" s="23">
        <v>20</v>
      </c>
      <c r="E525" s="23">
        <v>50</v>
      </c>
      <c r="F525" s="23" t="s">
        <v>878</v>
      </c>
      <c r="G525" s="23" t="s">
        <v>1135</v>
      </c>
    </row>
    <row r="526" spans="1:7" x14ac:dyDescent="0.45">
      <c r="A526" s="23" t="str">
        <f t="shared" si="16"/>
        <v/>
      </c>
      <c r="B526" s="23">
        <v>10020510</v>
      </c>
      <c r="C526" s="23">
        <v>0</v>
      </c>
      <c r="D526" s="23">
        <v>20</v>
      </c>
      <c r="E526" s="23">
        <v>51</v>
      </c>
      <c r="F526" s="23" t="s">
        <v>878</v>
      </c>
      <c r="G526" s="23" t="s">
        <v>1555</v>
      </c>
    </row>
    <row r="527" spans="1:7" x14ac:dyDescent="0.45">
      <c r="A527" s="23" t="str">
        <f t="shared" si="16"/>
        <v/>
      </c>
      <c r="B527" s="23">
        <v>10020520</v>
      </c>
      <c r="C527" s="23">
        <v>0</v>
      </c>
      <c r="D527" s="23">
        <v>20</v>
      </c>
      <c r="E527" s="23">
        <v>52</v>
      </c>
      <c r="F527" s="23" t="s">
        <v>878</v>
      </c>
      <c r="G527" s="23" t="s">
        <v>1556</v>
      </c>
    </row>
    <row r="528" spans="1:7" x14ac:dyDescent="0.45">
      <c r="A528" s="23" t="str">
        <f t="shared" si="16"/>
        <v/>
      </c>
      <c r="B528" s="23">
        <v>10020530</v>
      </c>
      <c r="C528" s="23">
        <v>0</v>
      </c>
      <c r="D528" s="23">
        <v>20</v>
      </c>
      <c r="E528" s="23">
        <v>53</v>
      </c>
      <c r="F528" s="23" t="s">
        <v>878</v>
      </c>
      <c r="G528" s="23" t="s">
        <v>1557</v>
      </c>
    </row>
    <row r="529" spans="1:7" x14ac:dyDescent="0.45">
      <c r="A529" s="23" t="str">
        <f t="shared" si="16"/>
        <v/>
      </c>
      <c r="B529" s="23">
        <v>10020540</v>
      </c>
      <c r="C529" s="23">
        <v>0</v>
      </c>
      <c r="D529" s="23">
        <v>20</v>
      </c>
      <c r="E529" s="23">
        <v>54</v>
      </c>
      <c r="F529" s="23" t="s">
        <v>878</v>
      </c>
      <c r="G529" s="23" t="s">
        <v>1558</v>
      </c>
    </row>
    <row r="530" spans="1:7" x14ac:dyDescent="0.45">
      <c r="A530" s="23" t="str">
        <f t="shared" si="16"/>
        <v/>
      </c>
      <c r="B530" s="23">
        <v>10020550</v>
      </c>
      <c r="C530" s="23">
        <v>0</v>
      </c>
      <c r="D530" s="23">
        <v>20</v>
      </c>
      <c r="E530" s="23">
        <v>55</v>
      </c>
      <c r="F530" s="23" t="s">
        <v>878</v>
      </c>
      <c r="G530" s="23" t="s">
        <v>1142</v>
      </c>
    </row>
    <row r="531" spans="1:7" x14ac:dyDescent="0.45">
      <c r="A531" s="23" t="str">
        <f t="shared" si="16"/>
        <v/>
      </c>
      <c r="B531" s="23">
        <v>10020560</v>
      </c>
      <c r="C531" s="23">
        <v>0</v>
      </c>
      <c r="D531" s="23">
        <v>20</v>
      </c>
      <c r="E531" s="23">
        <v>56</v>
      </c>
      <c r="F531" s="23" t="s">
        <v>878</v>
      </c>
      <c r="G531" s="23" t="s">
        <v>1145</v>
      </c>
    </row>
    <row r="532" spans="1:7" x14ac:dyDescent="0.45">
      <c r="A532" s="23" t="str">
        <f t="shared" si="16"/>
        <v/>
      </c>
      <c r="B532" s="23">
        <v>10020570</v>
      </c>
      <c r="C532" s="23">
        <v>0</v>
      </c>
      <c r="D532" s="23">
        <v>20</v>
      </c>
      <c r="E532" s="23">
        <v>57</v>
      </c>
      <c r="F532" s="23" t="s">
        <v>878</v>
      </c>
      <c r="G532" s="23" t="s">
        <v>1559</v>
      </c>
    </row>
    <row r="533" spans="1:7" x14ac:dyDescent="0.45">
      <c r="A533" s="23" t="str">
        <f t="shared" si="16"/>
        <v/>
      </c>
      <c r="B533" s="23">
        <v>10020580</v>
      </c>
      <c r="C533" s="23">
        <v>0</v>
      </c>
      <c r="D533" s="23">
        <v>20</v>
      </c>
      <c r="E533" s="23">
        <v>58</v>
      </c>
      <c r="F533" s="23" t="s">
        <v>878</v>
      </c>
      <c r="G533" s="23" t="s">
        <v>1560</v>
      </c>
    </row>
    <row r="534" spans="1:7" x14ac:dyDescent="0.45">
      <c r="A534" s="23" t="str">
        <f t="shared" si="16"/>
        <v/>
      </c>
      <c r="B534" s="23">
        <v>10020590</v>
      </c>
      <c r="C534" s="23">
        <v>0</v>
      </c>
      <c r="D534" s="23">
        <v>20</v>
      </c>
      <c r="E534" s="23">
        <v>59</v>
      </c>
      <c r="F534" s="23" t="s">
        <v>878</v>
      </c>
      <c r="G534" s="23" t="s">
        <v>1561</v>
      </c>
    </row>
    <row r="535" spans="1:7" x14ac:dyDescent="0.45">
      <c r="A535" s="23" t="str">
        <f t="shared" si="16"/>
        <v/>
      </c>
      <c r="B535" s="23">
        <v>10020600</v>
      </c>
      <c r="C535" s="23">
        <v>0</v>
      </c>
      <c r="D535" s="23">
        <v>20</v>
      </c>
      <c r="E535" s="23">
        <v>60</v>
      </c>
      <c r="F535" s="23" t="s">
        <v>878</v>
      </c>
      <c r="G535" s="23" t="s">
        <v>1562</v>
      </c>
    </row>
    <row r="536" spans="1:7" x14ac:dyDescent="0.45">
      <c r="A536" s="23" t="str">
        <f t="shared" si="16"/>
        <v/>
      </c>
      <c r="B536" s="23">
        <v>10020610</v>
      </c>
      <c r="C536" s="23">
        <v>0</v>
      </c>
      <c r="D536" s="23">
        <v>20</v>
      </c>
      <c r="E536" s="23">
        <v>61</v>
      </c>
      <c r="F536" s="23" t="s">
        <v>878</v>
      </c>
      <c r="G536" s="23" t="s">
        <v>1563</v>
      </c>
    </row>
    <row r="537" spans="1:7" x14ac:dyDescent="0.45">
      <c r="A537" s="23" t="str">
        <f t="shared" si="16"/>
        <v/>
      </c>
      <c r="B537" s="23">
        <v>10020620</v>
      </c>
      <c r="C537" s="23">
        <v>0</v>
      </c>
      <c r="D537" s="23">
        <v>20</v>
      </c>
      <c r="E537" s="23">
        <v>62</v>
      </c>
      <c r="F537" s="23" t="s">
        <v>878</v>
      </c>
      <c r="G537" s="23" t="s">
        <v>1157</v>
      </c>
    </row>
    <row r="538" spans="1:7" x14ac:dyDescent="0.45">
      <c r="A538" s="23" t="str">
        <f t="shared" ref="A538:A601" si="17">IF(F538=F537,"",B538)</f>
        <v/>
      </c>
      <c r="B538" s="23">
        <v>10020630</v>
      </c>
      <c r="C538" s="23">
        <v>0</v>
      </c>
      <c r="D538" s="23">
        <v>20</v>
      </c>
      <c r="E538" s="23">
        <v>63</v>
      </c>
      <c r="F538" s="23" t="s">
        <v>878</v>
      </c>
      <c r="G538" s="23" t="s">
        <v>1564</v>
      </c>
    </row>
    <row r="539" spans="1:7" x14ac:dyDescent="0.45">
      <c r="A539" s="23" t="str">
        <f t="shared" si="17"/>
        <v/>
      </c>
      <c r="B539" s="23">
        <v>10020640</v>
      </c>
      <c r="C539" s="23">
        <v>0</v>
      </c>
      <c r="D539" s="23">
        <v>20</v>
      </c>
      <c r="E539" s="23">
        <v>64</v>
      </c>
      <c r="F539" s="23" t="s">
        <v>878</v>
      </c>
      <c r="G539" s="23" t="s">
        <v>1565</v>
      </c>
    </row>
    <row r="540" spans="1:7" x14ac:dyDescent="0.45">
      <c r="A540" s="23" t="str">
        <f t="shared" si="17"/>
        <v/>
      </c>
      <c r="B540" s="23">
        <v>10020650</v>
      </c>
      <c r="C540" s="23">
        <v>0</v>
      </c>
      <c r="D540" s="23">
        <v>20</v>
      </c>
      <c r="E540" s="23">
        <v>65</v>
      </c>
      <c r="F540" s="23" t="s">
        <v>878</v>
      </c>
      <c r="G540" s="23" t="s">
        <v>1566</v>
      </c>
    </row>
    <row r="541" spans="1:7" x14ac:dyDescent="0.45">
      <c r="A541" s="23" t="str">
        <f t="shared" si="17"/>
        <v/>
      </c>
      <c r="B541" s="23">
        <v>10020660</v>
      </c>
      <c r="C541" s="23">
        <v>0</v>
      </c>
      <c r="D541" s="23">
        <v>20</v>
      </c>
      <c r="E541" s="23">
        <v>66</v>
      </c>
      <c r="F541" s="23" t="s">
        <v>878</v>
      </c>
      <c r="G541" s="23" t="s">
        <v>1567</v>
      </c>
    </row>
    <row r="542" spans="1:7" x14ac:dyDescent="0.45">
      <c r="A542" s="23" t="str">
        <f t="shared" si="17"/>
        <v/>
      </c>
      <c r="B542" s="23">
        <v>10020670</v>
      </c>
      <c r="C542" s="23">
        <v>0</v>
      </c>
      <c r="D542" s="23">
        <v>20</v>
      </c>
      <c r="E542" s="23">
        <v>67</v>
      </c>
      <c r="F542" s="23" t="s">
        <v>878</v>
      </c>
      <c r="G542" s="23" t="s">
        <v>1568</v>
      </c>
    </row>
    <row r="543" spans="1:7" x14ac:dyDescent="0.45">
      <c r="A543" s="23" t="str">
        <f t="shared" si="17"/>
        <v/>
      </c>
      <c r="B543" s="23">
        <v>10020680</v>
      </c>
      <c r="C543" s="23">
        <v>0</v>
      </c>
      <c r="D543" s="23">
        <v>20</v>
      </c>
      <c r="E543" s="23">
        <v>68</v>
      </c>
      <c r="F543" s="23" t="s">
        <v>878</v>
      </c>
      <c r="G543" s="23" t="s">
        <v>1166</v>
      </c>
    </row>
    <row r="544" spans="1:7" x14ac:dyDescent="0.45">
      <c r="A544" s="23" t="str">
        <f t="shared" si="17"/>
        <v/>
      </c>
      <c r="B544" s="23">
        <v>10020690</v>
      </c>
      <c r="C544" s="23">
        <v>0</v>
      </c>
      <c r="D544" s="23">
        <v>20</v>
      </c>
      <c r="E544" s="23">
        <v>69</v>
      </c>
      <c r="F544" s="23" t="s">
        <v>878</v>
      </c>
      <c r="G544" s="23" t="s">
        <v>1569</v>
      </c>
    </row>
    <row r="545" spans="1:7" x14ac:dyDescent="0.45">
      <c r="A545" s="23" t="str">
        <f t="shared" si="17"/>
        <v/>
      </c>
      <c r="B545" s="23">
        <v>10020700</v>
      </c>
      <c r="C545" s="23">
        <v>0</v>
      </c>
      <c r="D545" s="23">
        <v>20</v>
      </c>
      <c r="E545" s="23">
        <v>70</v>
      </c>
      <c r="F545" s="23" t="s">
        <v>878</v>
      </c>
      <c r="G545" s="23" t="s">
        <v>1570</v>
      </c>
    </row>
    <row r="546" spans="1:7" x14ac:dyDescent="0.45">
      <c r="A546" s="23" t="str">
        <f t="shared" si="17"/>
        <v/>
      </c>
      <c r="B546" s="23">
        <v>10020710</v>
      </c>
      <c r="C546" s="23">
        <v>0</v>
      </c>
      <c r="D546" s="23">
        <v>20</v>
      </c>
      <c r="E546" s="23">
        <v>71</v>
      </c>
      <c r="F546" s="23" t="s">
        <v>878</v>
      </c>
      <c r="G546" s="23" t="s">
        <v>1165</v>
      </c>
    </row>
    <row r="547" spans="1:7" x14ac:dyDescent="0.45">
      <c r="A547" s="23" t="str">
        <f t="shared" si="17"/>
        <v/>
      </c>
      <c r="B547" s="23">
        <v>10020720</v>
      </c>
      <c r="C547" s="23">
        <v>0</v>
      </c>
      <c r="D547" s="23">
        <v>20</v>
      </c>
      <c r="E547" s="23">
        <v>72</v>
      </c>
      <c r="F547" s="23" t="s">
        <v>878</v>
      </c>
      <c r="G547" s="23" t="s">
        <v>1571</v>
      </c>
    </row>
    <row r="548" spans="1:7" x14ac:dyDescent="0.45">
      <c r="A548" s="23" t="str">
        <f t="shared" si="17"/>
        <v/>
      </c>
      <c r="B548" s="23">
        <v>10020730</v>
      </c>
      <c r="C548" s="23">
        <v>0</v>
      </c>
      <c r="D548" s="23">
        <v>20</v>
      </c>
      <c r="E548" s="23">
        <v>73</v>
      </c>
      <c r="F548" s="23" t="s">
        <v>878</v>
      </c>
      <c r="G548" s="23" t="s">
        <v>1572</v>
      </c>
    </row>
    <row r="549" spans="1:7" x14ac:dyDescent="0.45">
      <c r="A549" s="23" t="str">
        <f t="shared" si="17"/>
        <v/>
      </c>
      <c r="B549" s="23">
        <v>10020740</v>
      </c>
      <c r="C549" s="23">
        <v>0</v>
      </c>
      <c r="D549" s="23">
        <v>20</v>
      </c>
      <c r="E549" s="23">
        <v>74</v>
      </c>
      <c r="F549" s="23" t="s">
        <v>878</v>
      </c>
      <c r="G549" s="23" t="s">
        <v>1175</v>
      </c>
    </row>
    <row r="550" spans="1:7" x14ac:dyDescent="0.45">
      <c r="A550" s="23" t="str">
        <f t="shared" si="17"/>
        <v/>
      </c>
      <c r="B550" s="23">
        <v>10020750</v>
      </c>
      <c r="C550" s="23">
        <v>0</v>
      </c>
      <c r="D550" s="23">
        <v>20</v>
      </c>
      <c r="E550" s="23">
        <v>75</v>
      </c>
      <c r="F550" s="23" t="s">
        <v>878</v>
      </c>
      <c r="G550" s="23" t="s">
        <v>1573</v>
      </c>
    </row>
    <row r="551" spans="1:7" x14ac:dyDescent="0.45">
      <c r="A551" s="23" t="str">
        <f t="shared" si="17"/>
        <v/>
      </c>
      <c r="B551" s="23">
        <v>10020760</v>
      </c>
      <c r="C551" s="23">
        <v>0</v>
      </c>
      <c r="D551" s="23">
        <v>20</v>
      </c>
      <c r="E551" s="23">
        <v>76</v>
      </c>
      <c r="F551" s="23" t="s">
        <v>878</v>
      </c>
      <c r="G551" s="23" t="s">
        <v>1574</v>
      </c>
    </row>
    <row r="552" spans="1:7" x14ac:dyDescent="0.45">
      <c r="A552" s="23" t="str">
        <f t="shared" si="17"/>
        <v/>
      </c>
      <c r="B552" s="23">
        <v>10020770</v>
      </c>
      <c r="C552" s="23">
        <v>0</v>
      </c>
      <c r="D552" s="23">
        <v>20</v>
      </c>
      <c r="E552" s="23">
        <v>77</v>
      </c>
      <c r="F552" s="23" t="s">
        <v>878</v>
      </c>
      <c r="G552" s="23" t="s">
        <v>1575</v>
      </c>
    </row>
    <row r="553" spans="1:7" x14ac:dyDescent="0.45">
      <c r="A553" s="23" t="str">
        <f t="shared" si="17"/>
        <v/>
      </c>
      <c r="B553" s="23">
        <v>10020780</v>
      </c>
      <c r="C553" s="23">
        <v>0</v>
      </c>
      <c r="D553" s="23">
        <v>20</v>
      </c>
      <c r="E553" s="23">
        <v>78</v>
      </c>
      <c r="F553" s="23" t="s">
        <v>878</v>
      </c>
      <c r="G553" s="23" t="s">
        <v>1576</v>
      </c>
    </row>
    <row r="554" spans="1:7" x14ac:dyDescent="0.45">
      <c r="A554" s="23" t="str">
        <f t="shared" si="17"/>
        <v/>
      </c>
      <c r="B554" s="23">
        <v>10020790</v>
      </c>
      <c r="C554" s="23">
        <v>0</v>
      </c>
      <c r="D554" s="23">
        <v>20</v>
      </c>
      <c r="E554" s="23">
        <v>79</v>
      </c>
      <c r="F554" s="23" t="s">
        <v>878</v>
      </c>
      <c r="G554" s="23" t="s">
        <v>1577</v>
      </c>
    </row>
    <row r="555" spans="1:7" x14ac:dyDescent="0.45">
      <c r="A555" s="23" t="str">
        <f t="shared" si="17"/>
        <v/>
      </c>
      <c r="B555" s="23">
        <v>10020800</v>
      </c>
      <c r="C555" s="23">
        <v>0</v>
      </c>
      <c r="D555" s="23">
        <v>20</v>
      </c>
      <c r="E555" s="23">
        <v>80</v>
      </c>
      <c r="F555" s="23" t="s">
        <v>878</v>
      </c>
      <c r="G555" s="23" t="s">
        <v>1183</v>
      </c>
    </row>
    <row r="556" spans="1:7" x14ac:dyDescent="0.45">
      <c r="A556" s="23" t="str">
        <f t="shared" si="17"/>
        <v/>
      </c>
      <c r="B556" s="23">
        <v>10020810</v>
      </c>
      <c r="C556" s="23">
        <v>0</v>
      </c>
      <c r="D556" s="23">
        <v>20</v>
      </c>
      <c r="E556" s="23">
        <v>81</v>
      </c>
      <c r="F556" s="23" t="s">
        <v>878</v>
      </c>
      <c r="G556" s="23" t="s">
        <v>1578</v>
      </c>
    </row>
    <row r="557" spans="1:7" x14ac:dyDescent="0.45">
      <c r="A557" s="23" t="str">
        <f t="shared" si="17"/>
        <v/>
      </c>
      <c r="B557" s="23">
        <v>10020820</v>
      </c>
      <c r="C557" s="23">
        <v>0</v>
      </c>
      <c r="D557" s="23">
        <v>20</v>
      </c>
      <c r="E557" s="23">
        <v>82</v>
      </c>
      <c r="F557" s="23" t="s">
        <v>878</v>
      </c>
      <c r="G557" s="23" t="s">
        <v>1579</v>
      </c>
    </row>
    <row r="558" spans="1:7" x14ac:dyDescent="0.45">
      <c r="A558" s="23" t="str">
        <f t="shared" si="17"/>
        <v/>
      </c>
      <c r="B558" s="23">
        <v>10020830</v>
      </c>
      <c r="C558" s="23">
        <v>0</v>
      </c>
      <c r="D558" s="23">
        <v>20</v>
      </c>
      <c r="E558" s="23">
        <v>83</v>
      </c>
      <c r="F558" s="23" t="s">
        <v>878</v>
      </c>
      <c r="G558" s="23" t="s">
        <v>1580</v>
      </c>
    </row>
    <row r="559" spans="1:7" x14ac:dyDescent="0.45">
      <c r="A559" s="23" t="str">
        <f t="shared" si="17"/>
        <v/>
      </c>
      <c r="B559" s="23">
        <v>10020840</v>
      </c>
      <c r="C559" s="23">
        <v>0</v>
      </c>
      <c r="D559" s="23">
        <v>20</v>
      </c>
      <c r="E559" s="23">
        <v>84</v>
      </c>
      <c r="F559" s="23" t="s">
        <v>878</v>
      </c>
      <c r="G559" s="23" t="s">
        <v>1581</v>
      </c>
    </row>
    <row r="560" spans="1:7" x14ac:dyDescent="0.45">
      <c r="A560" s="23" t="str">
        <f t="shared" si="17"/>
        <v/>
      </c>
      <c r="B560" s="23">
        <v>10021010</v>
      </c>
      <c r="C560" s="23">
        <v>0</v>
      </c>
      <c r="D560" s="23">
        <v>21</v>
      </c>
      <c r="E560" s="23">
        <v>85</v>
      </c>
      <c r="F560" s="23" t="s">
        <v>878</v>
      </c>
      <c r="G560" s="23" t="s">
        <v>1190</v>
      </c>
    </row>
    <row r="561" spans="1:7" x14ac:dyDescent="0.45">
      <c r="A561" s="23" t="str">
        <f t="shared" si="17"/>
        <v/>
      </c>
      <c r="B561" s="23">
        <v>10021020</v>
      </c>
      <c r="C561" s="23">
        <v>0</v>
      </c>
      <c r="D561" s="23">
        <v>21</v>
      </c>
      <c r="E561" s="23">
        <v>86</v>
      </c>
      <c r="F561" s="23" t="s">
        <v>878</v>
      </c>
      <c r="G561" s="23" t="s">
        <v>1193</v>
      </c>
    </row>
    <row r="562" spans="1:7" x14ac:dyDescent="0.45">
      <c r="A562" s="23" t="str">
        <f t="shared" si="17"/>
        <v/>
      </c>
      <c r="B562" s="23">
        <v>10021030</v>
      </c>
      <c r="C562" s="23">
        <v>0</v>
      </c>
      <c r="D562" s="23">
        <v>21</v>
      </c>
      <c r="E562" s="23">
        <v>87</v>
      </c>
      <c r="F562" s="23" t="s">
        <v>878</v>
      </c>
      <c r="G562" s="23" t="s">
        <v>1582</v>
      </c>
    </row>
    <row r="563" spans="1:7" x14ac:dyDescent="0.45">
      <c r="A563" s="23" t="str">
        <f t="shared" si="17"/>
        <v/>
      </c>
      <c r="B563" s="23">
        <v>10021040</v>
      </c>
      <c r="C563" s="23">
        <v>0</v>
      </c>
      <c r="D563" s="23">
        <v>21</v>
      </c>
      <c r="E563" s="23">
        <v>88</v>
      </c>
      <c r="F563" s="23" t="s">
        <v>878</v>
      </c>
      <c r="G563" s="23" t="s">
        <v>1583</v>
      </c>
    </row>
    <row r="564" spans="1:7" x14ac:dyDescent="0.45">
      <c r="A564" s="23" t="str">
        <f t="shared" si="17"/>
        <v/>
      </c>
      <c r="B564" s="23">
        <v>10021050</v>
      </c>
      <c r="C564" s="23">
        <v>0</v>
      </c>
      <c r="D564" s="23">
        <v>21</v>
      </c>
      <c r="E564" s="23">
        <v>89</v>
      </c>
      <c r="F564" s="23" t="s">
        <v>878</v>
      </c>
      <c r="G564" s="23" t="s">
        <v>1584</v>
      </c>
    </row>
    <row r="565" spans="1:7" x14ac:dyDescent="0.45">
      <c r="A565" s="23" t="str">
        <f t="shared" si="17"/>
        <v/>
      </c>
      <c r="B565" s="23">
        <v>10021060</v>
      </c>
      <c r="C565" s="23">
        <v>0</v>
      </c>
      <c r="D565" s="23">
        <v>21</v>
      </c>
      <c r="E565" s="23">
        <v>90</v>
      </c>
      <c r="F565" s="23" t="s">
        <v>878</v>
      </c>
      <c r="G565" s="23" t="s">
        <v>1585</v>
      </c>
    </row>
    <row r="566" spans="1:7" x14ac:dyDescent="0.45">
      <c r="A566" s="23" t="str">
        <f t="shared" si="17"/>
        <v/>
      </c>
      <c r="B566" s="23">
        <v>10022010</v>
      </c>
      <c r="C566" s="23">
        <v>0</v>
      </c>
      <c r="D566" s="23">
        <v>22</v>
      </c>
      <c r="E566" s="23">
        <v>91</v>
      </c>
      <c r="F566" s="23" t="s">
        <v>878</v>
      </c>
      <c r="G566" s="23" t="s">
        <v>1586</v>
      </c>
    </row>
    <row r="567" spans="1:7" x14ac:dyDescent="0.45">
      <c r="A567" s="23" t="str">
        <f t="shared" si="17"/>
        <v/>
      </c>
      <c r="B567" s="23">
        <v>10022020</v>
      </c>
      <c r="C567" s="23">
        <v>0</v>
      </c>
      <c r="D567" s="23">
        <v>22</v>
      </c>
      <c r="E567" s="23">
        <v>92</v>
      </c>
      <c r="F567" s="23" t="s">
        <v>878</v>
      </c>
      <c r="G567" s="23" t="s">
        <v>1201</v>
      </c>
    </row>
    <row r="568" spans="1:7" x14ac:dyDescent="0.45">
      <c r="A568" s="23" t="str">
        <f t="shared" si="17"/>
        <v/>
      </c>
      <c r="B568" s="23">
        <v>10022030</v>
      </c>
      <c r="C568" s="23">
        <v>0</v>
      </c>
      <c r="D568" s="23">
        <v>22</v>
      </c>
      <c r="E568" s="23">
        <v>93</v>
      </c>
      <c r="F568" s="23" t="s">
        <v>878</v>
      </c>
      <c r="G568" s="23" t="s">
        <v>1587</v>
      </c>
    </row>
    <row r="569" spans="1:7" x14ac:dyDescent="0.45">
      <c r="A569" s="23" t="str">
        <f t="shared" si="17"/>
        <v/>
      </c>
      <c r="B569" s="23">
        <v>10022040</v>
      </c>
      <c r="C569" s="23">
        <v>0</v>
      </c>
      <c r="D569" s="23">
        <v>22</v>
      </c>
      <c r="E569" s="23">
        <v>94</v>
      </c>
      <c r="F569" s="23" t="s">
        <v>878</v>
      </c>
      <c r="G569" s="23" t="s">
        <v>1588</v>
      </c>
    </row>
    <row r="570" spans="1:7" x14ac:dyDescent="0.45">
      <c r="A570" s="23" t="str">
        <f t="shared" si="17"/>
        <v/>
      </c>
      <c r="B570" s="23">
        <v>10022050</v>
      </c>
      <c r="C570" s="23">
        <v>0</v>
      </c>
      <c r="D570" s="23">
        <v>22</v>
      </c>
      <c r="E570" s="23">
        <v>95</v>
      </c>
      <c r="F570" s="23" t="s">
        <v>878</v>
      </c>
      <c r="G570" s="23" t="s">
        <v>1589</v>
      </c>
    </row>
    <row r="571" spans="1:7" x14ac:dyDescent="0.45">
      <c r="A571" s="23" t="str">
        <f t="shared" si="17"/>
        <v/>
      </c>
      <c r="B571" s="23">
        <v>10022060</v>
      </c>
      <c r="C571" s="23">
        <v>0</v>
      </c>
      <c r="D571" s="23">
        <v>22</v>
      </c>
      <c r="E571" s="23">
        <v>96</v>
      </c>
      <c r="F571" s="23" t="s">
        <v>878</v>
      </c>
      <c r="G571" s="23" t="s">
        <v>1590</v>
      </c>
    </row>
    <row r="572" spans="1:7" x14ac:dyDescent="0.45">
      <c r="A572" s="23" t="str">
        <f t="shared" si="17"/>
        <v/>
      </c>
      <c r="B572" s="23">
        <v>10023010</v>
      </c>
      <c r="C572" s="23">
        <v>0</v>
      </c>
      <c r="D572" s="23">
        <v>23</v>
      </c>
      <c r="E572" s="23">
        <v>97</v>
      </c>
      <c r="F572" s="23" t="s">
        <v>878</v>
      </c>
      <c r="G572" s="23" t="s">
        <v>1591</v>
      </c>
    </row>
    <row r="573" spans="1:7" x14ac:dyDescent="0.45">
      <c r="A573" s="23" t="str">
        <f t="shared" si="17"/>
        <v/>
      </c>
      <c r="B573" s="23">
        <v>10023020</v>
      </c>
      <c r="C573" s="23">
        <v>0</v>
      </c>
      <c r="D573" s="23">
        <v>23</v>
      </c>
      <c r="E573" s="23">
        <v>98</v>
      </c>
      <c r="F573" s="23" t="s">
        <v>878</v>
      </c>
      <c r="G573" s="23" t="s">
        <v>1210</v>
      </c>
    </row>
    <row r="574" spans="1:7" x14ac:dyDescent="0.45">
      <c r="A574" s="23" t="str">
        <f t="shared" si="17"/>
        <v/>
      </c>
      <c r="B574" s="23">
        <v>10023030</v>
      </c>
      <c r="C574" s="23">
        <v>0</v>
      </c>
      <c r="D574" s="23">
        <v>23</v>
      </c>
      <c r="E574" s="23">
        <v>99</v>
      </c>
      <c r="F574" s="23" t="s">
        <v>878</v>
      </c>
      <c r="G574" s="23" t="s">
        <v>1592</v>
      </c>
    </row>
    <row r="575" spans="1:7" x14ac:dyDescent="0.45">
      <c r="A575" s="23" t="str">
        <f t="shared" si="17"/>
        <v/>
      </c>
      <c r="B575" s="23">
        <v>10023040</v>
      </c>
      <c r="C575" s="23">
        <v>0</v>
      </c>
      <c r="D575" s="23">
        <v>23</v>
      </c>
      <c r="E575" s="23">
        <v>100</v>
      </c>
      <c r="F575" s="23" t="s">
        <v>878</v>
      </c>
      <c r="G575" s="23" t="s">
        <v>1593</v>
      </c>
    </row>
    <row r="576" spans="1:7" x14ac:dyDescent="0.45">
      <c r="A576" s="23" t="str">
        <f t="shared" si="17"/>
        <v/>
      </c>
      <c r="B576" s="23">
        <v>10023050</v>
      </c>
      <c r="C576" s="23">
        <v>0</v>
      </c>
      <c r="D576" s="23">
        <v>23</v>
      </c>
      <c r="E576" s="23">
        <v>101</v>
      </c>
      <c r="F576" s="23" t="s">
        <v>878</v>
      </c>
      <c r="G576" s="23" t="s">
        <v>1209</v>
      </c>
    </row>
    <row r="577" spans="1:7" x14ac:dyDescent="0.45">
      <c r="A577" s="23" t="str">
        <f t="shared" si="17"/>
        <v/>
      </c>
      <c r="B577" s="23">
        <v>10023060</v>
      </c>
      <c r="C577" s="23">
        <v>0</v>
      </c>
      <c r="D577" s="23">
        <v>23</v>
      </c>
      <c r="E577" s="23">
        <v>102</v>
      </c>
      <c r="F577" s="23" t="s">
        <v>878</v>
      </c>
      <c r="G577" s="23" t="s">
        <v>1594</v>
      </c>
    </row>
    <row r="578" spans="1:7" x14ac:dyDescent="0.45">
      <c r="A578" s="23" t="str">
        <f t="shared" si="17"/>
        <v/>
      </c>
      <c r="B578" s="23">
        <v>10024010</v>
      </c>
      <c r="C578" s="23">
        <v>0</v>
      </c>
      <c r="D578" s="23">
        <v>24</v>
      </c>
      <c r="E578" s="23">
        <v>103</v>
      </c>
      <c r="F578" s="23" t="s">
        <v>878</v>
      </c>
      <c r="G578" s="23" t="s">
        <v>1595</v>
      </c>
    </row>
    <row r="579" spans="1:7" x14ac:dyDescent="0.45">
      <c r="A579" s="23" t="str">
        <f t="shared" si="17"/>
        <v/>
      </c>
      <c r="B579" s="23">
        <v>10024020</v>
      </c>
      <c r="C579" s="23">
        <v>0</v>
      </c>
      <c r="D579" s="23">
        <v>24</v>
      </c>
      <c r="E579" s="23">
        <v>104</v>
      </c>
      <c r="F579" s="23" t="s">
        <v>878</v>
      </c>
      <c r="G579" s="23" t="s">
        <v>1219</v>
      </c>
    </row>
    <row r="580" spans="1:7" x14ac:dyDescent="0.45">
      <c r="A580" s="23" t="str">
        <f t="shared" si="17"/>
        <v/>
      </c>
      <c r="B580" s="23">
        <v>10024030</v>
      </c>
      <c r="C580" s="23">
        <v>0</v>
      </c>
      <c r="D580" s="23">
        <v>24</v>
      </c>
      <c r="E580" s="23">
        <v>105</v>
      </c>
      <c r="F580" s="23" t="s">
        <v>878</v>
      </c>
      <c r="G580" s="23" t="s">
        <v>1596</v>
      </c>
    </row>
    <row r="581" spans="1:7" x14ac:dyDescent="0.45">
      <c r="A581" s="23" t="str">
        <f t="shared" si="17"/>
        <v/>
      </c>
      <c r="B581" s="23">
        <v>10024040</v>
      </c>
      <c r="C581" s="23">
        <v>0</v>
      </c>
      <c r="D581" s="23">
        <v>24</v>
      </c>
      <c r="E581" s="23">
        <v>106</v>
      </c>
      <c r="F581" s="23" t="s">
        <v>878</v>
      </c>
      <c r="G581" s="23" t="s">
        <v>1597</v>
      </c>
    </row>
    <row r="582" spans="1:7" x14ac:dyDescent="0.45">
      <c r="A582" s="23" t="str">
        <f t="shared" si="17"/>
        <v/>
      </c>
      <c r="B582" s="23">
        <v>10024050</v>
      </c>
      <c r="C582" s="23">
        <v>0</v>
      </c>
      <c r="D582" s="23">
        <v>24</v>
      </c>
      <c r="E582" s="23">
        <v>107</v>
      </c>
      <c r="F582" s="23" t="s">
        <v>878</v>
      </c>
      <c r="G582" s="23" t="s">
        <v>1598</v>
      </c>
    </row>
    <row r="583" spans="1:7" x14ac:dyDescent="0.45">
      <c r="A583" s="23" t="str">
        <f t="shared" si="17"/>
        <v/>
      </c>
      <c r="B583" s="23">
        <v>10024060</v>
      </c>
      <c r="C583" s="23">
        <v>0</v>
      </c>
      <c r="D583" s="23">
        <v>24</v>
      </c>
      <c r="E583" s="23">
        <v>108</v>
      </c>
      <c r="F583" s="23" t="s">
        <v>878</v>
      </c>
      <c r="G583" s="23" t="s">
        <v>1599</v>
      </c>
    </row>
    <row r="584" spans="1:7" x14ac:dyDescent="0.45">
      <c r="A584" s="23" t="str">
        <f t="shared" si="17"/>
        <v/>
      </c>
      <c r="B584" s="23">
        <v>10025010</v>
      </c>
      <c r="C584" s="23">
        <v>0</v>
      </c>
      <c r="D584" s="23">
        <v>25</v>
      </c>
      <c r="E584" s="23">
        <v>109</v>
      </c>
      <c r="F584" s="23" t="s">
        <v>878</v>
      </c>
      <c r="G584" s="23" t="s">
        <v>1600</v>
      </c>
    </row>
    <row r="585" spans="1:7" x14ac:dyDescent="0.45">
      <c r="A585" s="23" t="str">
        <f t="shared" si="17"/>
        <v/>
      </c>
      <c r="B585" s="23">
        <v>10025020</v>
      </c>
      <c r="C585" s="23">
        <v>0</v>
      </c>
      <c r="D585" s="23">
        <v>25</v>
      </c>
      <c r="E585" s="23">
        <v>110</v>
      </c>
      <c r="F585" s="23" t="s">
        <v>878</v>
      </c>
      <c r="G585" s="23" t="s">
        <v>1228</v>
      </c>
    </row>
    <row r="586" spans="1:7" x14ac:dyDescent="0.45">
      <c r="A586" s="23" t="str">
        <f t="shared" si="17"/>
        <v/>
      </c>
      <c r="B586" s="23">
        <v>10025030</v>
      </c>
      <c r="C586" s="23">
        <v>0</v>
      </c>
      <c r="D586" s="23">
        <v>25</v>
      </c>
      <c r="E586" s="23">
        <v>111</v>
      </c>
      <c r="F586" s="23" t="s">
        <v>878</v>
      </c>
      <c r="G586" s="23" t="s">
        <v>1227</v>
      </c>
    </row>
    <row r="587" spans="1:7" x14ac:dyDescent="0.45">
      <c r="A587" s="23" t="str">
        <f t="shared" si="17"/>
        <v/>
      </c>
      <c r="B587" s="23">
        <v>10025040</v>
      </c>
      <c r="C587" s="23">
        <v>0</v>
      </c>
      <c r="D587" s="23">
        <v>25</v>
      </c>
      <c r="E587" s="23">
        <v>112</v>
      </c>
      <c r="F587" s="23" t="s">
        <v>878</v>
      </c>
      <c r="G587" s="23" t="s">
        <v>1601</v>
      </c>
    </row>
    <row r="588" spans="1:7" x14ac:dyDescent="0.45">
      <c r="A588" s="23" t="str">
        <f t="shared" si="17"/>
        <v/>
      </c>
      <c r="B588" s="23">
        <v>10025050</v>
      </c>
      <c r="C588" s="23">
        <v>0</v>
      </c>
      <c r="D588" s="23">
        <v>25</v>
      </c>
      <c r="E588" s="23">
        <v>113</v>
      </c>
      <c r="F588" s="23" t="s">
        <v>878</v>
      </c>
      <c r="G588" s="23" t="s">
        <v>1602</v>
      </c>
    </row>
    <row r="589" spans="1:7" x14ac:dyDescent="0.45">
      <c r="A589" s="23" t="str">
        <f t="shared" si="17"/>
        <v/>
      </c>
      <c r="B589" s="23">
        <v>10025060</v>
      </c>
      <c r="C589" s="23">
        <v>0</v>
      </c>
      <c r="D589" s="23">
        <v>25</v>
      </c>
      <c r="E589" s="23">
        <v>114</v>
      </c>
      <c r="F589" s="23" t="s">
        <v>878</v>
      </c>
      <c r="G589" s="23" t="s">
        <v>1603</v>
      </c>
    </row>
    <row r="590" spans="1:7" x14ac:dyDescent="0.45">
      <c r="A590" s="23" t="str">
        <f t="shared" si="17"/>
        <v/>
      </c>
      <c r="B590" s="23">
        <v>10026010</v>
      </c>
      <c r="C590" s="23">
        <v>0</v>
      </c>
      <c r="D590" s="23">
        <v>26</v>
      </c>
      <c r="E590" s="23">
        <v>115</v>
      </c>
      <c r="F590" s="23" t="s">
        <v>878</v>
      </c>
      <c r="G590" s="23" t="s">
        <v>1235</v>
      </c>
    </row>
    <row r="591" spans="1:7" x14ac:dyDescent="0.45">
      <c r="A591" s="23" t="str">
        <f t="shared" si="17"/>
        <v/>
      </c>
      <c r="B591" s="23">
        <v>10026020</v>
      </c>
      <c r="C591" s="23">
        <v>0</v>
      </c>
      <c r="D591" s="23">
        <v>26</v>
      </c>
      <c r="E591" s="23">
        <v>116</v>
      </c>
      <c r="F591" s="23" t="s">
        <v>878</v>
      </c>
      <c r="G591" s="23" t="s">
        <v>1238</v>
      </c>
    </row>
    <row r="592" spans="1:7" x14ac:dyDescent="0.45">
      <c r="A592" s="23" t="str">
        <f t="shared" si="17"/>
        <v/>
      </c>
      <c r="B592" s="23">
        <v>10026030</v>
      </c>
      <c r="C592" s="23">
        <v>0</v>
      </c>
      <c r="D592" s="23">
        <v>26</v>
      </c>
      <c r="E592" s="23">
        <v>117</v>
      </c>
      <c r="F592" s="23" t="s">
        <v>878</v>
      </c>
      <c r="G592" s="23" t="s">
        <v>1604</v>
      </c>
    </row>
    <row r="593" spans="1:7" x14ac:dyDescent="0.45">
      <c r="A593" s="23" t="str">
        <f t="shared" si="17"/>
        <v/>
      </c>
      <c r="B593" s="23">
        <v>10026040</v>
      </c>
      <c r="C593" s="23">
        <v>0</v>
      </c>
      <c r="D593" s="23">
        <v>26</v>
      </c>
      <c r="E593" s="23">
        <v>118</v>
      </c>
      <c r="F593" s="23" t="s">
        <v>878</v>
      </c>
      <c r="G593" s="23" t="s">
        <v>1605</v>
      </c>
    </row>
    <row r="594" spans="1:7" x14ac:dyDescent="0.45">
      <c r="A594" s="23" t="str">
        <f t="shared" si="17"/>
        <v/>
      </c>
      <c r="B594" s="23">
        <v>10026050</v>
      </c>
      <c r="C594" s="23">
        <v>0</v>
      </c>
      <c r="D594" s="23">
        <v>26</v>
      </c>
      <c r="E594" s="23">
        <v>119</v>
      </c>
      <c r="F594" s="23" t="s">
        <v>878</v>
      </c>
      <c r="G594" s="23" t="s">
        <v>1606</v>
      </c>
    </row>
    <row r="595" spans="1:7" x14ac:dyDescent="0.45">
      <c r="A595" s="23" t="str">
        <f t="shared" si="17"/>
        <v/>
      </c>
      <c r="B595" s="23">
        <v>10026060</v>
      </c>
      <c r="C595" s="23">
        <v>0</v>
      </c>
      <c r="D595" s="23">
        <v>26</v>
      </c>
      <c r="E595" s="23">
        <v>120</v>
      </c>
      <c r="F595" s="23" t="s">
        <v>878</v>
      </c>
      <c r="G595" s="23" t="s">
        <v>1607</v>
      </c>
    </row>
    <row r="596" spans="1:7" x14ac:dyDescent="0.45">
      <c r="A596" s="23" t="str">
        <f t="shared" si="17"/>
        <v/>
      </c>
      <c r="B596" s="23">
        <v>10027010</v>
      </c>
      <c r="C596" s="23">
        <v>0</v>
      </c>
      <c r="D596" s="23">
        <v>27</v>
      </c>
      <c r="E596" s="23">
        <v>121</v>
      </c>
      <c r="F596" s="23" t="s">
        <v>878</v>
      </c>
      <c r="G596" s="23" t="s">
        <v>1608</v>
      </c>
    </row>
    <row r="597" spans="1:7" x14ac:dyDescent="0.45">
      <c r="A597" s="23" t="str">
        <f t="shared" si="17"/>
        <v/>
      </c>
      <c r="B597" s="23">
        <v>10027020</v>
      </c>
      <c r="C597" s="23">
        <v>0</v>
      </c>
      <c r="D597" s="23">
        <v>27</v>
      </c>
      <c r="E597" s="23">
        <v>122</v>
      </c>
      <c r="F597" s="23" t="s">
        <v>878</v>
      </c>
      <c r="G597" s="23" t="s">
        <v>1246</v>
      </c>
    </row>
    <row r="598" spans="1:7" x14ac:dyDescent="0.45">
      <c r="A598" s="23" t="str">
        <f t="shared" si="17"/>
        <v/>
      </c>
      <c r="B598" s="23">
        <v>10027030</v>
      </c>
      <c r="C598" s="23">
        <v>0</v>
      </c>
      <c r="D598" s="23">
        <v>27</v>
      </c>
      <c r="E598" s="23">
        <v>123</v>
      </c>
      <c r="F598" s="23" t="s">
        <v>878</v>
      </c>
      <c r="G598" s="23" t="s">
        <v>1609</v>
      </c>
    </row>
    <row r="599" spans="1:7" x14ac:dyDescent="0.45">
      <c r="A599" s="23" t="str">
        <f t="shared" si="17"/>
        <v/>
      </c>
      <c r="B599" s="23">
        <v>10027040</v>
      </c>
      <c r="C599" s="23">
        <v>0</v>
      </c>
      <c r="D599" s="23">
        <v>27</v>
      </c>
      <c r="E599" s="23">
        <v>124</v>
      </c>
      <c r="F599" s="23" t="s">
        <v>878</v>
      </c>
      <c r="G599" s="23" t="s">
        <v>1610</v>
      </c>
    </row>
    <row r="600" spans="1:7" x14ac:dyDescent="0.45">
      <c r="A600" s="23" t="str">
        <f t="shared" si="17"/>
        <v/>
      </c>
      <c r="B600" s="23">
        <v>10027050</v>
      </c>
      <c r="C600" s="23">
        <v>0</v>
      </c>
      <c r="D600" s="23">
        <v>27</v>
      </c>
      <c r="E600" s="23">
        <v>125</v>
      </c>
      <c r="F600" s="23" t="s">
        <v>878</v>
      </c>
      <c r="G600" s="23" t="s">
        <v>1611</v>
      </c>
    </row>
    <row r="601" spans="1:7" x14ac:dyDescent="0.45">
      <c r="A601" s="23" t="str">
        <f t="shared" si="17"/>
        <v/>
      </c>
      <c r="B601" s="23">
        <v>10027060</v>
      </c>
      <c r="C601" s="23">
        <v>0</v>
      </c>
      <c r="D601" s="23">
        <v>27</v>
      </c>
      <c r="E601" s="23">
        <v>126</v>
      </c>
      <c r="F601" s="23" t="s">
        <v>878</v>
      </c>
      <c r="G601" s="23" t="s">
        <v>1612</v>
      </c>
    </row>
    <row r="602" spans="1:7" x14ac:dyDescent="0.45">
      <c r="A602" s="23" t="str">
        <f t="shared" ref="A602:A619" si="18">IF(F602=F601,"",B602)</f>
        <v/>
      </c>
      <c r="B602" s="23">
        <v>10028010</v>
      </c>
      <c r="C602" s="23">
        <v>0</v>
      </c>
      <c r="D602" s="23">
        <v>28</v>
      </c>
      <c r="E602" s="23">
        <v>127</v>
      </c>
      <c r="F602" s="23" t="s">
        <v>878</v>
      </c>
      <c r="G602" s="23" t="s">
        <v>1613</v>
      </c>
    </row>
    <row r="603" spans="1:7" x14ac:dyDescent="0.45">
      <c r="A603" s="23" t="str">
        <f t="shared" si="18"/>
        <v/>
      </c>
      <c r="B603" s="23">
        <v>10028020</v>
      </c>
      <c r="C603" s="23">
        <v>0</v>
      </c>
      <c r="D603" s="23">
        <v>28</v>
      </c>
      <c r="E603" s="23">
        <v>128</v>
      </c>
      <c r="F603" s="23" t="s">
        <v>878</v>
      </c>
      <c r="G603" s="23" t="s">
        <v>1255</v>
      </c>
    </row>
    <row r="604" spans="1:7" x14ac:dyDescent="0.45">
      <c r="A604" s="23" t="str">
        <f t="shared" si="18"/>
        <v/>
      </c>
      <c r="B604" s="23">
        <v>10028030</v>
      </c>
      <c r="C604" s="23">
        <v>0</v>
      </c>
      <c r="D604" s="23">
        <v>28</v>
      </c>
      <c r="E604" s="23">
        <v>129</v>
      </c>
      <c r="F604" s="23" t="s">
        <v>878</v>
      </c>
      <c r="G604" s="23" t="s">
        <v>1614</v>
      </c>
    </row>
    <row r="605" spans="1:7" x14ac:dyDescent="0.45">
      <c r="A605" s="23" t="str">
        <f t="shared" si="18"/>
        <v/>
      </c>
      <c r="B605" s="23">
        <v>10028040</v>
      </c>
      <c r="C605" s="23">
        <v>0</v>
      </c>
      <c r="D605" s="23">
        <v>28</v>
      </c>
      <c r="E605" s="23">
        <v>130</v>
      </c>
      <c r="F605" s="23" t="s">
        <v>878</v>
      </c>
      <c r="G605" s="23" t="s">
        <v>1615</v>
      </c>
    </row>
    <row r="606" spans="1:7" x14ac:dyDescent="0.45">
      <c r="A606" s="23" t="str">
        <f t="shared" si="18"/>
        <v/>
      </c>
      <c r="B606" s="23">
        <v>10028050</v>
      </c>
      <c r="C606" s="23">
        <v>0</v>
      </c>
      <c r="D606" s="23">
        <v>28</v>
      </c>
      <c r="E606" s="23">
        <v>131</v>
      </c>
      <c r="F606" s="23" t="s">
        <v>878</v>
      </c>
      <c r="G606" s="23" t="s">
        <v>1254</v>
      </c>
    </row>
    <row r="607" spans="1:7" x14ac:dyDescent="0.45">
      <c r="A607" s="23" t="str">
        <f t="shared" si="18"/>
        <v/>
      </c>
      <c r="B607" s="23">
        <v>10028060</v>
      </c>
      <c r="C607" s="23">
        <v>0</v>
      </c>
      <c r="D607" s="23">
        <v>28</v>
      </c>
      <c r="E607" s="23">
        <v>132</v>
      </c>
      <c r="F607" s="23" t="s">
        <v>878</v>
      </c>
      <c r="G607" s="23" t="s">
        <v>1616</v>
      </c>
    </row>
    <row r="608" spans="1:7" x14ac:dyDescent="0.45">
      <c r="A608" s="23" t="str">
        <f t="shared" si="18"/>
        <v/>
      </c>
      <c r="B608" s="23">
        <v>10029010</v>
      </c>
      <c r="C608" s="23">
        <v>0</v>
      </c>
      <c r="D608" s="23">
        <v>29</v>
      </c>
      <c r="E608" s="23">
        <v>133</v>
      </c>
      <c r="F608" s="23" t="s">
        <v>878</v>
      </c>
      <c r="G608" s="23" t="s">
        <v>1617</v>
      </c>
    </row>
    <row r="609" spans="1:9" x14ac:dyDescent="0.45">
      <c r="A609" s="23" t="str">
        <f t="shared" si="18"/>
        <v/>
      </c>
      <c r="B609" s="23">
        <v>10029020</v>
      </c>
      <c r="C609" s="23">
        <v>0</v>
      </c>
      <c r="D609" s="23">
        <v>29</v>
      </c>
      <c r="E609" s="23">
        <v>134</v>
      </c>
      <c r="F609" s="23" t="s">
        <v>878</v>
      </c>
      <c r="G609" s="23" t="s">
        <v>1264</v>
      </c>
    </row>
    <row r="610" spans="1:9" x14ac:dyDescent="0.45">
      <c r="A610" s="23" t="str">
        <f t="shared" si="18"/>
        <v/>
      </c>
      <c r="B610" s="23">
        <v>10029030</v>
      </c>
      <c r="C610" s="23">
        <v>0</v>
      </c>
      <c r="D610" s="23">
        <v>29</v>
      </c>
      <c r="E610" s="23">
        <v>135</v>
      </c>
      <c r="F610" s="23" t="s">
        <v>878</v>
      </c>
      <c r="G610" s="23" t="s">
        <v>1618</v>
      </c>
    </row>
    <row r="611" spans="1:9" x14ac:dyDescent="0.45">
      <c r="A611" s="23" t="str">
        <f t="shared" si="18"/>
        <v/>
      </c>
      <c r="B611" s="23">
        <v>10029040</v>
      </c>
      <c r="C611" s="23">
        <v>0</v>
      </c>
      <c r="D611" s="23">
        <v>29</v>
      </c>
      <c r="E611" s="23">
        <v>136</v>
      </c>
      <c r="F611" s="23" t="s">
        <v>878</v>
      </c>
      <c r="G611" s="23" t="s">
        <v>1619</v>
      </c>
    </row>
    <row r="612" spans="1:9" x14ac:dyDescent="0.45">
      <c r="A612" s="23" t="str">
        <f t="shared" si="18"/>
        <v/>
      </c>
      <c r="B612" s="23">
        <v>10029050</v>
      </c>
      <c r="C612" s="23">
        <v>0</v>
      </c>
      <c r="D612" s="23">
        <v>29</v>
      </c>
      <c r="E612" s="23">
        <v>137</v>
      </c>
      <c r="F612" s="23" t="s">
        <v>878</v>
      </c>
      <c r="G612" s="23" t="s">
        <v>1620</v>
      </c>
    </row>
    <row r="613" spans="1:9" x14ac:dyDescent="0.45">
      <c r="A613" s="23" t="str">
        <f t="shared" si="18"/>
        <v/>
      </c>
      <c r="B613" s="23">
        <v>10029060</v>
      </c>
      <c r="C613" s="23">
        <v>0</v>
      </c>
      <c r="D613" s="23">
        <v>29</v>
      </c>
      <c r="E613" s="23">
        <v>138</v>
      </c>
      <c r="F613" s="23" t="s">
        <v>878</v>
      </c>
      <c r="G613" s="23" t="s">
        <v>1621</v>
      </c>
    </row>
    <row r="614" spans="1:9" x14ac:dyDescent="0.45">
      <c r="A614" s="23" t="str">
        <f t="shared" si="18"/>
        <v/>
      </c>
      <c r="B614" s="23">
        <v>10030010</v>
      </c>
      <c r="C614" s="23">
        <v>0</v>
      </c>
      <c r="D614" s="23">
        <v>30</v>
      </c>
      <c r="E614" s="23">
        <v>139</v>
      </c>
      <c r="F614" s="23" t="s">
        <v>878</v>
      </c>
      <c r="G614" s="23" t="s">
        <v>1622</v>
      </c>
    </row>
    <row r="615" spans="1:9" x14ac:dyDescent="0.45">
      <c r="A615" s="23" t="str">
        <f t="shared" si="18"/>
        <v/>
      </c>
      <c r="B615" s="23">
        <v>10030020</v>
      </c>
      <c r="C615" s="23">
        <v>0</v>
      </c>
      <c r="D615" s="23">
        <v>30</v>
      </c>
      <c r="E615" s="23">
        <v>140</v>
      </c>
      <c r="F615" s="23" t="s">
        <v>878</v>
      </c>
      <c r="G615" s="23" t="s">
        <v>1623</v>
      </c>
    </row>
    <row r="616" spans="1:9" x14ac:dyDescent="0.45">
      <c r="A616" s="23" t="str">
        <f t="shared" si="18"/>
        <v/>
      </c>
      <c r="B616" s="23">
        <v>10030030</v>
      </c>
      <c r="C616" s="23">
        <v>0</v>
      </c>
      <c r="D616" s="23">
        <v>30</v>
      </c>
      <c r="E616" s="23">
        <v>141</v>
      </c>
      <c r="F616" s="23" t="s">
        <v>878</v>
      </c>
      <c r="G616" s="23" t="s">
        <v>1624</v>
      </c>
    </row>
    <row r="617" spans="1:9" x14ac:dyDescent="0.45">
      <c r="A617" s="23" t="str">
        <f t="shared" si="18"/>
        <v/>
      </c>
      <c r="B617" s="23">
        <v>10030040</v>
      </c>
      <c r="C617" s="23">
        <v>0</v>
      </c>
      <c r="D617" s="23">
        <v>30</v>
      </c>
      <c r="E617" s="23">
        <v>142</v>
      </c>
      <c r="F617" s="23" t="s">
        <v>878</v>
      </c>
      <c r="G617" s="23" t="s">
        <v>1625</v>
      </c>
    </row>
    <row r="618" spans="1:9" x14ac:dyDescent="0.45">
      <c r="A618" s="23" t="str">
        <f t="shared" si="18"/>
        <v/>
      </c>
      <c r="B618" s="23">
        <v>10030050</v>
      </c>
      <c r="C618" s="23">
        <v>0</v>
      </c>
      <c r="D618" s="23">
        <v>30</v>
      </c>
      <c r="E618" s="23">
        <v>143</v>
      </c>
      <c r="F618" s="23" t="s">
        <v>878</v>
      </c>
      <c r="G618" s="23" t="s">
        <v>1626</v>
      </c>
    </row>
    <row r="619" spans="1:9" x14ac:dyDescent="0.45">
      <c r="A619" s="23" t="str">
        <f t="shared" si="18"/>
        <v/>
      </c>
      <c r="B619" s="23">
        <v>10030060</v>
      </c>
      <c r="C619" s="23">
        <v>0</v>
      </c>
      <c r="D619" s="23">
        <v>30</v>
      </c>
      <c r="E619" s="23">
        <v>144</v>
      </c>
      <c r="F619" s="23" t="s">
        <v>878</v>
      </c>
      <c r="G619" s="23" t="s">
        <v>1627</v>
      </c>
    </row>
    <row r="620" spans="1:9" x14ac:dyDescent="0.45">
      <c r="A620" s="20">
        <v>10033010</v>
      </c>
      <c r="B620" s="20">
        <v>10033010</v>
      </c>
      <c r="C620" s="20">
        <v>0</v>
      </c>
      <c r="D620" s="20">
        <v>33</v>
      </c>
      <c r="E620" s="20">
        <v>1</v>
      </c>
      <c r="F620" s="4" t="s">
        <v>3157</v>
      </c>
      <c r="G620" s="62" t="s">
        <v>3175</v>
      </c>
      <c r="I620" s="21">
        <v>100015</v>
      </c>
    </row>
    <row r="621" spans="1:9" x14ac:dyDescent="0.45">
      <c r="B621" s="20">
        <v>10033020</v>
      </c>
      <c r="C621" s="20">
        <v>0</v>
      </c>
      <c r="D621" s="20">
        <v>33</v>
      </c>
      <c r="E621" s="20">
        <v>2</v>
      </c>
      <c r="F621" s="62" t="s">
        <v>3175</v>
      </c>
      <c r="G621" s="20" t="s">
        <v>3158</v>
      </c>
    </row>
    <row r="622" spans="1:9" x14ac:dyDescent="0.45">
      <c r="B622" s="20">
        <v>10033030</v>
      </c>
      <c r="C622" s="20">
        <v>0</v>
      </c>
      <c r="D622" s="20">
        <v>33</v>
      </c>
      <c r="E622" s="20">
        <v>3</v>
      </c>
      <c r="F622" s="20" t="s">
        <v>3158</v>
      </c>
      <c r="G622" s="20" t="s">
        <v>3159</v>
      </c>
    </row>
    <row r="623" spans="1:9" x14ac:dyDescent="0.45">
      <c r="B623" s="20">
        <v>10033040</v>
      </c>
      <c r="C623" s="20">
        <v>0</v>
      </c>
      <c r="D623" s="20">
        <v>33</v>
      </c>
      <c r="E623" s="20">
        <v>4</v>
      </c>
      <c r="F623" s="20" t="s">
        <v>3159</v>
      </c>
      <c r="G623" s="20" t="s">
        <v>3160</v>
      </c>
    </row>
    <row r="624" spans="1:9" x14ac:dyDescent="0.45">
      <c r="B624" s="20">
        <v>10033050</v>
      </c>
      <c r="C624" s="20">
        <v>0</v>
      </c>
      <c r="D624" s="20">
        <v>33</v>
      </c>
      <c r="E624" s="20">
        <v>5</v>
      </c>
      <c r="F624" s="20" t="s">
        <v>3160</v>
      </c>
      <c r="G624" s="20" t="s">
        <v>3161</v>
      </c>
    </row>
    <row r="625" spans="1:9" x14ac:dyDescent="0.45">
      <c r="B625" s="20">
        <v>10033060</v>
      </c>
      <c r="C625" s="20">
        <v>0</v>
      </c>
      <c r="D625" s="20">
        <v>33</v>
      </c>
      <c r="E625" s="20">
        <v>6</v>
      </c>
      <c r="F625" s="20" t="s">
        <v>3161</v>
      </c>
      <c r="G625" s="20" t="s">
        <v>3162</v>
      </c>
    </row>
    <row r="626" spans="1:9" x14ac:dyDescent="0.45">
      <c r="B626" s="20">
        <v>10033070</v>
      </c>
      <c r="C626" s="20">
        <v>0</v>
      </c>
      <c r="D626" s="20">
        <v>33</v>
      </c>
      <c r="E626" s="20">
        <v>7</v>
      </c>
      <c r="F626" s="20" t="s">
        <v>3162</v>
      </c>
      <c r="G626" s="20" t="s">
        <v>3163</v>
      </c>
    </row>
    <row r="627" spans="1:9" x14ac:dyDescent="0.45">
      <c r="B627" s="20">
        <v>10033080</v>
      </c>
      <c r="C627" s="20">
        <v>0</v>
      </c>
      <c r="D627" s="20">
        <v>33</v>
      </c>
      <c r="E627" s="20">
        <v>8</v>
      </c>
      <c r="F627" s="20" t="s">
        <v>3163</v>
      </c>
      <c r="G627" s="20" t="s">
        <v>3164</v>
      </c>
    </row>
    <row r="628" spans="1:9" x14ac:dyDescent="0.45">
      <c r="B628" s="20">
        <v>10033090</v>
      </c>
      <c r="C628" s="20">
        <v>0</v>
      </c>
      <c r="D628" s="20">
        <v>33</v>
      </c>
      <c r="E628" s="20">
        <v>9</v>
      </c>
      <c r="F628" s="20" t="s">
        <v>3164</v>
      </c>
      <c r="G628" s="20" t="s">
        <v>3165</v>
      </c>
    </row>
    <row r="629" spans="1:9" x14ac:dyDescent="0.45">
      <c r="B629" s="20">
        <v>10033100</v>
      </c>
      <c r="C629" s="20">
        <v>0</v>
      </c>
      <c r="D629" s="20">
        <v>33</v>
      </c>
      <c r="E629" s="20">
        <v>10</v>
      </c>
      <c r="F629" s="20" t="s">
        <v>3165</v>
      </c>
      <c r="G629" s="20" t="s">
        <v>3166</v>
      </c>
    </row>
    <row r="630" spans="1:9" x14ac:dyDescent="0.45">
      <c r="B630" s="20">
        <v>10033110</v>
      </c>
      <c r="C630" s="20">
        <v>0</v>
      </c>
      <c r="D630" s="20">
        <v>33</v>
      </c>
      <c r="E630" s="20">
        <v>11</v>
      </c>
      <c r="F630" s="20" t="s">
        <v>3166</v>
      </c>
      <c r="G630" s="20" t="s">
        <v>3167</v>
      </c>
    </row>
    <row r="631" spans="1:9" x14ac:dyDescent="0.45">
      <c r="B631" s="20">
        <v>10033120</v>
      </c>
      <c r="C631" s="20">
        <v>0</v>
      </c>
      <c r="D631" s="20">
        <v>33</v>
      </c>
      <c r="E631" s="20">
        <v>12</v>
      </c>
      <c r="F631" s="20" t="s">
        <v>3167</v>
      </c>
      <c r="G631" s="20" t="s">
        <v>3168</v>
      </c>
    </row>
    <row r="632" spans="1:9" x14ac:dyDescent="0.45">
      <c r="B632" s="20">
        <v>10033130</v>
      </c>
      <c r="C632" s="20">
        <v>0</v>
      </c>
      <c r="D632" s="20">
        <v>33</v>
      </c>
      <c r="E632" s="20">
        <v>13</v>
      </c>
      <c r="F632" s="20" t="s">
        <v>3168</v>
      </c>
      <c r="G632" s="20" t="s">
        <v>3169</v>
      </c>
    </row>
    <row r="633" spans="1:9" x14ac:dyDescent="0.45">
      <c r="B633" s="20">
        <v>10033140</v>
      </c>
      <c r="C633" s="20">
        <v>0</v>
      </c>
      <c r="D633" s="20">
        <v>33</v>
      </c>
      <c r="E633" s="20">
        <v>14</v>
      </c>
      <c r="F633" s="20" t="s">
        <v>3169</v>
      </c>
      <c r="G633" s="20" t="s">
        <v>3170</v>
      </c>
    </row>
    <row r="634" spans="1:9" x14ac:dyDescent="0.45">
      <c r="B634" s="20">
        <v>10033150</v>
      </c>
      <c r="C634" s="20">
        <v>0</v>
      </c>
      <c r="D634" s="20">
        <v>33</v>
      </c>
      <c r="E634" s="20">
        <v>15</v>
      </c>
      <c r="F634" s="20" t="s">
        <v>3170</v>
      </c>
      <c r="G634" s="20" t="s">
        <v>3171</v>
      </c>
    </row>
    <row r="635" spans="1:9" x14ac:dyDescent="0.45">
      <c r="B635" s="20">
        <v>10033160</v>
      </c>
      <c r="C635" s="20">
        <v>0</v>
      </c>
      <c r="D635" s="20">
        <v>33</v>
      </c>
      <c r="E635" s="20">
        <v>16</v>
      </c>
      <c r="F635" s="20" t="s">
        <v>3171</v>
      </c>
      <c r="G635" s="20" t="s">
        <v>3172</v>
      </c>
    </row>
    <row r="636" spans="1:9" x14ac:dyDescent="0.45">
      <c r="B636" s="20">
        <v>10033170</v>
      </c>
      <c r="C636" s="20">
        <v>0</v>
      </c>
      <c r="D636" s="20">
        <v>33</v>
      </c>
      <c r="E636" s="20">
        <v>17</v>
      </c>
      <c r="F636" s="20" t="s">
        <v>3172</v>
      </c>
      <c r="G636" s="20" t="s">
        <v>3173</v>
      </c>
    </row>
    <row r="637" spans="1:9" x14ac:dyDescent="0.45">
      <c r="B637" s="20">
        <v>10033180</v>
      </c>
      <c r="C637" s="20">
        <v>0</v>
      </c>
      <c r="D637" s="20">
        <v>33</v>
      </c>
      <c r="E637" s="20">
        <v>18</v>
      </c>
      <c r="F637" s="20" t="s">
        <v>3173</v>
      </c>
      <c r="G637" s="20" t="s">
        <v>3174</v>
      </c>
    </row>
    <row r="638" spans="1:9" x14ac:dyDescent="0.45">
      <c r="A638" s="20">
        <v>10034010</v>
      </c>
      <c r="B638" s="20">
        <v>10034010</v>
      </c>
      <c r="C638" s="20">
        <v>0</v>
      </c>
      <c r="D638" s="20">
        <v>34</v>
      </c>
      <c r="E638" s="20">
        <v>1</v>
      </c>
      <c r="F638" s="4" t="s">
        <v>3176</v>
      </c>
      <c r="G638" s="4" t="s">
        <v>3176</v>
      </c>
      <c r="I638" s="21">
        <v>100015</v>
      </c>
    </row>
    <row r="639" spans="1:9" x14ac:dyDescent="0.45">
      <c r="B639" s="20">
        <v>10034020</v>
      </c>
      <c r="C639" s="20">
        <v>0</v>
      </c>
      <c r="D639" s="20">
        <v>34</v>
      </c>
      <c r="E639" s="20">
        <v>2</v>
      </c>
      <c r="F639" s="62" t="s">
        <v>3177</v>
      </c>
      <c r="G639" s="62" t="s">
        <v>3177</v>
      </c>
    </row>
    <row r="640" spans="1:9" x14ac:dyDescent="0.45">
      <c r="B640" s="20">
        <v>10034030</v>
      </c>
      <c r="C640" s="20">
        <v>0</v>
      </c>
      <c r="D640" s="20">
        <v>34</v>
      </c>
      <c r="E640" s="20">
        <v>3</v>
      </c>
      <c r="F640" s="20" t="s">
        <v>3178</v>
      </c>
      <c r="G640" s="20" t="s">
        <v>3178</v>
      </c>
    </row>
    <row r="641" spans="2:7" x14ac:dyDescent="0.45">
      <c r="B641" s="20">
        <v>10034040</v>
      </c>
      <c r="C641" s="20">
        <v>0</v>
      </c>
      <c r="D641" s="20">
        <v>34</v>
      </c>
      <c r="E641" s="20">
        <v>4</v>
      </c>
      <c r="F641" s="20" t="s">
        <v>3179</v>
      </c>
      <c r="G641" s="20" t="s">
        <v>3179</v>
      </c>
    </row>
    <row r="642" spans="2:7" x14ac:dyDescent="0.45">
      <c r="B642" s="20">
        <v>10034050</v>
      </c>
      <c r="C642" s="20">
        <v>0</v>
      </c>
      <c r="D642" s="20">
        <v>34</v>
      </c>
      <c r="E642" s="20">
        <v>5</v>
      </c>
      <c r="F642" s="20" t="s">
        <v>3180</v>
      </c>
      <c r="G642" s="20" t="s">
        <v>3180</v>
      </c>
    </row>
    <row r="643" spans="2:7" x14ac:dyDescent="0.45">
      <c r="B643" s="20">
        <v>10034060</v>
      </c>
      <c r="C643" s="20">
        <v>0</v>
      </c>
      <c r="D643" s="20">
        <v>34</v>
      </c>
      <c r="E643" s="20">
        <v>6</v>
      </c>
      <c r="F643" s="20" t="s">
        <v>3181</v>
      </c>
      <c r="G643" s="20" t="s">
        <v>3181</v>
      </c>
    </row>
    <row r="644" spans="2:7" x14ac:dyDescent="0.45">
      <c r="B644" s="20">
        <v>10034070</v>
      </c>
      <c r="C644" s="20">
        <v>0</v>
      </c>
      <c r="D644" s="20">
        <v>34</v>
      </c>
      <c r="E644" s="20">
        <v>7</v>
      </c>
      <c r="F644" s="20" t="s">
        <v>3182</v>
      </c>
      <c r="G644" s="20" t="s">
        <v>3182</v>
      </c>
    </row>
    <row r="645" spans="2:7" x14ac:dyDescent="0.45">
      <c r="B645" s="20">
        <v>10034080</v>
      </c>
      <c r="C645" s="20">
        <v>0</v>
      </c>
      <c r="D645" s="20">
        <v>34</v>
      </c>
      <c r="E645" s="20">
        <v>8</v>
      </c>
      <c r="F645" s="20" t="s">
        <v>3183</v>
      </c>
      <c r="G645" s="20" t="s">
        <v>3183</v>
      </c>
    </row>
    <row r="646" spans="2:7" x14ac:dyDescent="0.45">
      <c r="B646" s="20">
        <v>10034090</v>
      </c>
      <c r="C646" s="20">
        <v>0</v>
      </c>
      <c r="D646" s="20">
        <v>34</v>
      </c>
      <c r="E646" s="20">
        <v>9</v>
      </c>
      <c r="F646" s="20" t="s">
        <v>3184</v>
      </c>
      <c r="G646" s="20" t="s">
        <v>3184</v>
      </c>
    </row>
    <row r="647" spans="2:7" x14ac:dyDescent="0.45">
      <c r="B647" s="20">
        <v>10034100</v>
      </c>
      <c r="C647" s="20">
        <v>0</v>
      </c>
      <c r="D647" s="20">
        <v>34</v>
      </c>
      <c r="E647" s="20">
        <v>10</v>
      </c>
      <c r="F647" s="20" t="s">
        <v>3185</v>
      </c>
      <c r="G647" s="20" t="s">
        <v>3185</v>
      </c>
    </row>
    <row r="648" spans="2:7" x14ac:dyDescent="0.45">
      <c r="B648" s="20">
        <v>10034110</v>
      </c>
      <c r="C648" s="20">
        <v>0</v>
      </c>
      <c r="D648" s="20">
        <v>34</v>
      </c>
      <c r="E648" s="20">
        <v>11</v>
      </c>
      <c r="F648" s="20" t="s">
        <v>3186</v>
      </c>
      <c r="G648" s="20" t="s">
        <v>3186</v>
      </c>
    </row>
    <row r="649" spans="2:7" x14ac:dyDescent="0.45">
      <c r="B649" s="20">
        <v>10034120</v>
      </c>
      <c r="C649" s="20">
        <v>0</v>
      </c>
      <c r="D649" s="20">
        <v>34</v>
      </c>
      <c r="E649" s="20">
        <v>12</v>
      </c>
      <c r="F649" s="20" t="s">
        <v>3187</v>
      </c>
      <c r="G649" s="20" t="s">
        <v>3187</v>
      </c>
    </row>
    <row r="650" spans="2:7" x14ac:dyDescent="0.45">
      <c r="B650" s="20">
        <v>10034130</v>
      </c>
      <c r="C650" s="20">
        <v>0</v>
      </c>
      <c r="D650" s="20">
        <v>34</v>
      </c>
      <c r="E650" s="20">
        <v>13</v>
      </c>
      <c r="F650" s="20" t="s">
        <v>3188</v>
      </c>
      <c r="G650" s="20" t="s">
        <v>3188</v>
      </c>
    </row>
    <row r="651" spans="2:7" x14ac:dyDescent="0.45">
      <c r="B651" s="20">
        <v>10034140</v>
      </c>
      <c r="C651" s="20">
        <v>0</v>
      </c>
      <c r="D651" s="20">
        <v>34</v>
      </c>
      <c r="E651" s="20">
        <v>14</v>
      </c>
      <c r="F651" s="20" t="s">
        <v>3189</v>
      </c>
      <c r="G651" s="20" t="s">
        <v>3189</v>
      </c>
    </row>
    <row r="652" spans="2:7" x14ac:dyDescent="0.45">
      <c r="B652" s="20">
        <v>10034150</v>
      </c>
      <c r="C652" s="20">
        <v>0</v>
      </c>
      <c r="D652" s="20">
        <v>34</v>
      </c>
      <c r="E652" s="20">
        <v>15</v>
      </c>
      <c r="F652" s="20" t="s">
        <v>3190</v>
      </c>
      <c r="G652" s="20" t="s">
        <v>3190</v>
      </c>
    </row>
    <row r="653" spans="2:7" x14ac:dyDescent="0.45">
      <c r="B653" s="20">
        <v>10034160</v>
      </c>
      <c r="C653" s="20">
        <v>0</v>
      </c>
      <c r="D653" s="20">
        <v>34</v>
      </c>
      <c r="E653" s="20">
        <v>16</v>
      </c>
      <c r="F653" s="20" t="s">
        <v>3191</v>
      </c>
      <c r="G653" s="20" t="s">
        <v>3191</v>
      </c>
    </row>
    <row r="654" spans="2:7" x14ac:dyDescent="0.45">
      <c r="B654" s="20">
        <v>10034170</v>
      </c>
      <c r="C654" s="20">
        <v>0</v>
      </c>
      <c r="D654" s="20">
        <v>34</v>
      </c>
      <c r="E654" s="20">
        <v>17</v>
      </c>
      <c r="F654" s="20" t="s">
        <v>3192</v>
      </c>
      <c r="G654" s="20" t="s">
        <v>3192</v>
      </c>
    </row>
    <row r="655" spans="2:7" x14ac:dyDescent="0.45">
      <c r="B655" s="20">
        <v>10034180</v>
      </c>
      <c r="C655" s="20">
        <v>0</v>
      </c>
      <c r="D655" s="20">
        <v>34</v>
      </c>
      <c r="E655" s="20">
        <v>18</v>
      </c>
      <c r="F655" s="20" t="s">
        <v>3193</v>
      </c>
      <c r="G655" s="20" t="s">
        <v>3193</v>
      </c>
    </row>
    <row r="656" spans="2:7" x14ac:dyDescent="0.45">
      <c r="B656" s="20">
        <v>10034190</v>
      </c>
      <c r="C656" s="20">
        <v>0</v>
      </c>
      <c r="D656" s="20">
        <v>34</v>
      </c>
      <c r="E656" s="20">
        <v>19</v>
      </c>
      <c r="F656" s="20" t="s">
        <v>3194</v>
      </c>
      <c r="G656" s="20" t="s">
        <v>3194</v>
      </c>
    </row>
    <row r="657" spans="1:9" x14ac:dyDescent="0.45">
      <c r="B657" s="20">
        <v>10034200</v>
      </c>
      <c r="C657" s="20">
        <v>0</v>
      </c>
      <c r="D657" s="20">
        <v>34</v>
      </c>
      <c r="E657" s="20">
        <v>20</v>
      </c>
      <c r="F657" s="20" t="s">
        <v>3195</v>
      </c>
      <c r="G657" s="20" t="s">
        <v>3195</v>
      </c>
    </row>
    <row r="658" spans="1:9" x14ac:dyDescent="0.45">
      <c r="B658" s="20">
        <v>10034210</v>
      </c>
      <c r="C658" s="20">
        <v>0</v>
      </c>
      <c r="D658" s="20">
        <v>34</v>
      </c>
      <c r="E658" s="20">
        <v>21</v>
      </c>
      <c r="F658" s="20" t="s">
        <v>3196</v>
      </c>
      <c r="G658" s="20" t="s">
        <v>3196</v>
      </c>
    </row>
    <row r="659" spans="1:9" x14ac:dyDescent="0.45">
      <c r="B659" s="20">
        <v>10034220</v>
      </c>
      <c r="C659" s="20">
        <v>0</v>
      </c>
      <c r="D659" s="20">
        <v>34</v>
      </c>
      <c r="E659" s="20">
        <v>22</v>
      </c>
      <c r="F659" s="20" t="s">
        <v>3197</v>
      </c>
      <c r="G659" s="20" t="s">
        <v>3197</v>
      </c>
    </row>
    <row r="660" spans="1:9" x14ac:dyDescent="0.45">
      <c r="B660" s="20">
        <v>10034230</v>
      </c>
      <c r="C660" s="20">
        <v>0</v>
      </c>
      <c r="D660" s="20">
        <v>34</v>
      </c>
      <c r="E660" s="20">
        <v>23</v>
      </c>
      <c r="F660" s="20" t="s">
        <v>3198</v>
      </c>
      <c r="G660" s="20" t="s">
        <v>3198</v>
      </c>
    </row>
    <row r="661" spans="1:9" x14ac:dyDescent="0.45">
      <c r="B661" s="20">
        <v>10034240</v>
      </c>
      <c r="C661" s="20">
        <v>0</v>
      </c>
      <c r="D661" s="20">
        <v>34</v>
      </c>
      <c r="E661" s="20">
        <v>24</v>
      </c>
      <c r="F661" s="20" t="s">
        <v>3199</v>
      </c>
      <c r="G661" s="20" t="s">
        <v>3199</v>
      </c>
    </row>
    <row r="662" spans="1:9" x14ac:dyDescent="0.45">
      <c r="B662" s="20">
        <v>10034250</v>
      </c>
      <c r="C662" s="20">
        <v>0</v>
      </c>
      <c r="D662" s="20">
        <v>34</v>
      </c>
      <c r="E662" s="20">
        <v>25</v>
      </c>
      <c r="F662" s="20" t="s">
        <v>3200</v>
      </c>
      <c r="G662" s="20" t="s">
        <v>3200</v>
      </c>
    </row>
    <row r="663" spans="1:9" x14ac:dyDescent="0.45">
      <c r="B663" s="20">
        <v>10034260</v>
      </c>
      <c r="C663" s="20">
        <v>0</v>
      </c>
      <c r="D663" s="20">
        <v>34</v>
      </c>
      <c r="E663" s="20">
        <v>26</v>
      </c>
      <c r="F663" s="20" t="s">
        <v>3201</v>
      </c>
      <c r="G663" s="20" t="s">
        <v>3201</v>
      </c>
    </row>
    <row r="664" spans="1:9" x14ac:dyDescent="0.45">
      <c r="B664" s="20">
        <v>10034270</v>
      </c>
      <c r="C664" s="20">
        <v>0</v>
      </c>
      <c r="D664" s="20">
        <v>34</v>
      </c>
      <c r="E664" s="20">
        <v>27</v>
      </c>
      <c r="F664" s="20" t="s">
        <v>3202</v>
      </c>
      <c r="G664" s="20" t="s">
        <v>3202</v>
      </c>
    </row>
    <row r="665" spans="1:9" x14ac:dyDescent="0.45">
      <c r="B665" s="20">
        <v>10034280</v>
      </c>
      <c r="C665" s="20">
        <v>0</v>
      </c>
      <c r="D665" s="20">
        <v>34</v>
      </c>
      <c r="E665" s="20">
        <v>28</v>
      </c>
      <c r="F665" s="20" t="s">
        <v>3203</v>
      </c>
      <c r="G665" s="20" t="s">
        <v>3203</v>
      </c>
    </row>
    <row r="666" spans="1:9" x14ac:dyDescent="0.45">
      <c r="B666" s="20">
        <v>10034290</v>
      </c>
      <c r="C666" s="20">
        <v>0</v>
      </c>
      <c r="D666" s="20">
        <v>34</v>
      </c>
      <c r="E666" s="20">
        <v>29</v>
      </c>
      <c r="F666" s="20" t="s">
        <v>3204</v>
      </c>
      <c r="G666" s="20" t="s">
        <v>3204</v>
      </c>
    </row>
    <row r="667" spans="1:9" x14ac:dyDescent="0.45">
      <c r="B667" s="20">
        <v>10034300</v>
      </c>
      <c r="C667" s="20">
        <v>0</v>
      </c>
      <c r="D667" s="20">
        <v>34</v>
      </c>
      <c r="E667" s="20">
        <v>30</v>
      </c>
      <c r="F667" s="20" t="s">
        <v>3205</v>
      </c>
      <c r="G667" s="20" t="s">
        <v>3205</v>
      </c>
    </row>
    <row r="668" spans="1:9" x14ac:dyDescent="0.45">
      <c r="A668" s="20">
        <v>10035010</v>
      </c>
      <c r="B668" s="25">
        <v>10035010</v>
      </c>
      <c r="C668" s="20">
        <v>0</v>
      </c>
      <c r="D668" s="20">
        <v>35</v>
      </c>
      <c r="E668" s="20">
        <v>1</v>
      </c>
      <c r="F668" s="20" t="s">
        <v>3227</v>
      </c>
      <c r="G668" s="20" t="s">
        <v>3227</v>
      </c>
      <c r="I668" s="21">
        <v>100015</v>
      </c>
    </row>
    <row r="669" spans="1:9" x14ac:dyDescent="0.45">
      <c r="B669" s="25">
        <v>10035020</v>
      </c>
      <c r="C669" s="20">
        <v>0</v>
      </c>
      <c r="D669" s="20">
        <v>35</v>
      </c>
      <c r="E669" s="20">
        <v>2</v>
      </c>
      <c r="F669" s="20" t="s">
        <v>3228</v>
      </c>
      <c r="G669" s="20" t="s">
        <v>3228</v>
      </c>
    </row>
    <row r="670" spans="1:9" x14ac:dyDescent="0.45">
      <c r="B670" s="25">
        <v>10035030</v>
      </c>
      <c r="C670" s="20">
        <v>0</v>
      </c>
      <c r="D670" s="20">
        <v>35</v>
      </c>
      <c r="E670" s="20">
        <v>3</v>
      </c>
      <c r="F670" s="20" t="s">
        <v>3229</v>
      </c>
      <c r="G670" s="20" t="s">
        <v>3229</v>
      </c>
    </row>
    <row r="671" spans="1:9" x14ac:dyDescent="0.45">
      <c r="B671" s="25">
        <v>10035040</v>
      </c>
      <c r="C671" s="20">
        <v>0</v>
      </c>
      <c r="D671" s="20">
        <v>35</v>
      </c>
      <c r="E671" s="20">
        <v>4</v>
      </c>
      <c r="F671" s="20" t="s">
        <v>3230</v>
      </c>
      <c r="G671" s="20" t="s">
        <v>3230</v>
      </c>
    </row>
    <row r="672" spans="1:9" x14ac:dyDescent="0.45">
      <c r="B672" s="25">
        <v>10035050</v>
      </c>
      <c r="C672" s="20">
        <v>0</v>
      </c>
      <c r="D672" s="20">
        <v>35</v>
      </c>
      <c r="E672" s="20">
        <v>5</v>
      </c>
      <c r="F672" s="20" t="s">
        <v>3231</v>
      </c>
      <c r="G672" s="20" t="s">
        <v>3231</v>
      </c>
    </row>
    <row r="673" spans="1:9" x14ac:dyDescent="0.45">
      <c r="B673" s="25">
        <v>10035060</v>
      </c>
      <c r="C673" s="20">
        <v>0</v>
      </c>
      <c r="D673" s="20">
        <v>35</v>
      </c>
      <c r="E673" s="20">
        <v>6</v>
      </c>
      <c r="F673" s="20" t="s">
        <v>3232</v>
      </c>
      <c r="G673" s="20" t="s">
        <v>3232</v>
      </c>
    </row>
    <row r="674" spans="1:9" x14ac:dyDescent="0.45">
      <c r="B674" s="25">
        <v>10035070</v>
      </c>
      <c r="C674" s="20">
        <v>0</v>
      </c>
      <c r="D674" s="20">
        <v>35</v>
      </c>
      <c r="E674" s="20">
        <v>7</v>
      </c>
      <c r="F674" s="20" t="s">
        <v>3233</v>
      </c>
      <c r="G674" s="20" t="s">
        <v>3233</v>
      </c>
    </row>
    <row r="675" spans="1:9" x14ac:dyDescent="0.45">
      <c r="B675" s="25">
        <v>10035080</v>
      </c>
      <c r="C675" s="20">
        <v>0</v>
      </c>
      <c r="D675" s="20">
        <v>35</v>
      </c>
      <c r="E675" s="20">
        <v>8</v>
      </c>
      <c r="F675" s="20" t="s">
        <v>3234</v>
      </c>
      <c r="G675" s="20" t="s">
        <v>3234</v>
      </c>
    </row>
    <row r="676" spans="1:9" x14ac:dyDescent="0.45">
      <c r="B676" s="25">
        <v>10035090</v>
      </c>
      <c r="C676" s="20">
        <v>0</v>
      </c>
      <c r="D676" s="20">
        <v>35</v>
      </c>
      <c r="E676" s="20">
        <v>9</v>
      </c>
      <c r="F676" s="20" t="s">
        <v>3235</v>
      </c>
      <c r="G676" s="20" t="s">
        <v>3235</v>
      </c>
    </row>
    <row r="677" spans="1:9" x14ac:dyDescent="0.45">
      <c r="A677" s="20">
        <v>10036010</v>
      </c>
      <c r="B677" s="25">
        <v>10036010</v>
      </c>
      <c r="C677" s="20">
        <v>0</v>
      </c>
      <c r="D677" s="20">
        <v>36</v>
      </c>
      <c r="E677" s="20">
        <v>1</v>
      </c>
      <c r="F677" s="20" t="s">
        <v>3380</v>
      </c>
      <c r="G677" s="20" t="s">
        <v>3380</v>
      </c>
      <c r="I677" s="21">
        <v>100015</v>
      </c>
    </row>
    <row r="678" spans="1:9" x14ac:dyDescent="0.45">
      <c r="B678" s="25">
        <v>10036020</v>
      </c>
      <c r="C678" s="20">
        <v>0</v>
      </c>
      <c r="D678" s="20">
        <v>36</v>
      </c>
      <c r="E678" s="20">
        <v>2</v>
      </c>
      <c r="F678" s="20" t="s">
        <v>3381</v>
      </c>
      <c r="G678" s="20" t="s">
        <v>3381</v>
      </c>
    </row>
    <row r="679" spans="1:9" x14ac:dyDescent="0.45">
      <c r="B679" s="25">
        <v>10036030</v>
      </c>
      <c r="C679" s="20">
        <v>0</v>
      </c>
      <c r="D679" s="20">
        <v>36</v>
      </c>
      <c r="E679" s="20">
        <v>3</v>
      </c>
      <c r="F679" s="20" t="s">
        <v>3382</v>
      </c>
      <c r="G679" s="20" t="s">
        <v>3382</v>
      </c>
    </row>
    <row r="680" spans="1:9" x14ac:dyDescent="0.45">
      <c r="B680" s="25">
        <v>10036040</v>
      </c>
      <c r="C680" s="20">
        <v>0</v>
      </c>
      <c r="D680" s="20">
        <v>36</v>
      </c>
      <c r="E680" s="20">
        <v>4</v>
      </c>
      <c r="F680" s="20" t="s">
        <v>3383</v>
      </c>
      <c r="G680" s="20" t="s">
        <v>3383</v>
      </c>
    </row>
    <row r="681" spans="1:9" x14ac:dyDescent="0.45">
      <c r="B681" s="25">
        <v>10036050</v>
      </c>
      <c r="C681" s="20">
        <v>0</v>
      </c>
      <c r="D681" s="20">
        <v>36</v>
      </c>
      <c r="E681" s="20">
        <v>5</v>
      </c>
      <c r="F681" s="20" t="s">
        <v>3384</v>
      </c>
      <c r="G681" s="20" t="s">
        <v>3384</v>
      </c>
    </row>
    <row r="682" spans="1:9" x14ac:dyDescent="0.45">
      <c r="B682" s="25">
        <v>10036060</v>
      </c>
      <c r="C682" s="20">
        <v>0</v>
      </c>
      <c r="D682" s="20">
        <v>36</v>
      </c>
      <c r="E682" s="20">
        <v>6</v>
      </c>
      <c r="F682" s="20" t="s">
        <v>3385</v>
      </c>
      <c r="G682" s="20" t="s">
        <v>3385</v>
      </c>
    </row>
    <row r="683" spans="1:9" x14ac:dyDescent="0.45">
      <c r="B683" s="25">
        <v>10036070</v>
      </c>
      <c r="C683" s="20">
        <v>0</v>
      </c>
      <c r="D683" s="20">
        <v>36</v>
      </c>
      <c r="E683" s="20">
        <v>7</v>
      </c>
      <c r="F683" s="20" t="s">
        <v>3386</v>
      </c>
      <c r="G683" s="20" t="s">
        <v>3386</v>
      </c>
    </row>
    <row r="684" spans="1:9" x14ac:dyDescent="0.45">
      <c r="B684" s="25">
        <v>10036080</v>
      </c>
      <c r="C684" s="20">
        <v>0</v>
      </c>
      <c r="D684" s="20">
        <v>36</v>
      </c>
      <c r="E684" s="20">
        <v>8</v>
      </c>
      <c r="F684" s="20" t="s">
        <v>3387</v>
      </c>
      <c r="G684" s="20" t="s">
        <v>3387</v>
      </c>
    </row>
    <row r="685" spans="1:9" x14ac:dyDescent="0.45">
      <c r="B685" s="25">
        <v>10036090</v>
      </c>
      <c r="C685" s="20">
        <v>0</v>
      </c>
      <c r="D685" s="20">
        <v>36</v>
      </c>
      <c r="E685" s="20">
        <v>9</v>
      </c>
      <c r="F685" s="20" t="s">
        <v>3388</v>
      </c>
      <c r="G685" s="20" t="s">
        <v>3388</v>
      </c>
    </row>
    <row r="686" spans="1:9" x14ac:dyDescent="0.45">
      <c r="B686" s="25">
        <v>10036100</v>
      </c>
      <c r="C686" s="20">
        <v>0</v>
      </c>
      <c r="D686" s="20">
        <v>36</v>
      </c>
      <c r="E686" s="20">
        <v>10</v>
      </c>
      <c r="F686" s="20" t="s">
        <v>3389</v>
      </c>
      <c r="G686" s="20" t="s">
        <v>3389</v>
      </c>
    </row>
    <row r="687" spans="1:9" x14ac:dyDescent="0.45">
      <c r="B687" s="25">
        <v>10036110</v>
      </c>
      <c r="C687" s="20">
        <v>0</v>
      </c>
      <c r="D687" s="20">
        <v>36</v>
      </c>
      <c r="E687" s="20">
        <v>11</v>
      </c>
      <c r="F687" s="20" t="s">
        <v>3390</v>
      </c>
      <c r="G687" s="20" t="s">
        <v>3390</v>
      </c>
    </row>
    <row r="688" spans="1:9" x14ac:dyDescent="0.45">
      <c r="B688" s="25">
        <v>10036120</v>
      </c>
      <c r="C688" s="20">
        <v>0</v>
      </c>
      <c r="D688" s="20">
        <v>36</v>
      </c>
      <c r="E688" s="20">
        <v>12</v>
      </c>
      <c r="F688" s="20" t="s">
        <v>3391</v>
      </c>
      <c r="G688" s="20" t="s">
        <v>3391</v>
      </c>
    </row>
    <row r="689" spans="2:7" x14ac:dyDescent="0.45">
      <c r="B689" s="25">
        <v>10036130</v>
      </c>
      <c r="C689" s="20">
        <v>0</v>
      </c>
      <c r="D689" s="20">
        <v>36</v>
      </c>
      <c r="E689" s="20">
        <v>13</v>
      </c>
      <c r="F689" s="20" t="s">
        <v>3392</v>
      </c>
      <c r="G689" s="20" t="s">
        <v>3392</v>
      </c>
    </row>
    <row r="690" spans="2:7" x14ac:dyDescent="0.45">
      <c r="B690" s="25">
        <v>10036140</v>
      </c>
      <c r="C690" s="20">
        <v>0</v>
      </c>
      <c r="D690" s="20">
        <v>36</v>
      </c>
      <c r="E690" s="20">
        <v>14</v>
      </c>
      <c r="F690" s="20" t="s">
        <v>3393</v>
      </c>
      <c r="G690" s="20" t="s">
        <v>3393</v>
      </c>
    </row>
    <row r="691" spans="2:7" x14ac:dyDescent="0.45">
      <c r="B691" s="25">
        <v>10036150</v>
      </c>
      <c r="C691" s="20">
        <v>0</v>
      </c>
      <c r="D691" s="20">
        <v>36</v>
      </c>
      <c r="E691" s="20">
        <v>15</v>
      </c>
      <c r="F691" s="20" t="s">
        <v>3394</v>
      </c>
      <c r="G691" s="20" t="s">
        <v>3394</v>
      </c>
    </row>
  </sheetData>
  <autoFilter ref="A3:H619" xr:uid="{00000000-0009-0000-0000-000002000000}"/>
  <phoneticPr fontId="16" type="noConversion"/>
  <conditionalFormatting sqref="B2">
    <cfRule type="duplicateValues" dxfId="10" priority="757"/>
  </conditionalFormatting>
  <conditionalFormatting sqref="B4:B107">
    <cfRule type="duplicateValues" dxfId="9" priority="35281"/>
    <cfRule type="colorScale" priority="35282">
      <colorScale>
        <cfvo type="min"/>
        <cfvo type="percentile" val="50"/>
        <cfvo type="max"/>
        <color rgb="FF63BE7B"/>
        <color rgb="FFFFEB84"/>
        <color rgb="FFF8696B"/>
      </colorScale>
    </cfRule>
  </conditionalFormatting>
  <conditionalFormatting sqref="B135:B143">
    <cfRule type="colorScale" priority="35893">
      <colorScale>
        <cfvo type="min"/>
        <cfvo type="percentile" val="50"/>
        <cfvo type="max"/>
        <color rgb="FF63BE7B"/>
        <color rgb="FFFCFCFF"/>
        <color rgb="FFF8696B"/>
      </colorScale>
    </cfRule>
  </conditionalFormatting>
  <conditionalFormatting sqref="B144:B206 B4:B134">
    <cfRule type="colorScale" priority="30764">
      <colorScale>
        <cfvo type="min"/>
        <cfvo type="percentile" val="50"/>
        <cfvo type="max"/>
        <color rgb="FF63BE7B"/>
        <color rgb="FFFCFCFF"/>
        <color rgb="FFF8696B"/>
      </colorScale>
    </cfRule>
  </conditionalFormatting>
  <conditionalFormatting sqref="B208 B211 B214 B217">
    <cfRule type="duplicateValues" dxfId="8" priority="36029"/>
  </conditionalFormatting>
  <conditionalFormatting sqref="B209 B212 B215 B218:B228">
    <cfRule type="duplicateValues" dxfId="7" priority="443"/>
  </conditionalFormatting>
  <conditionalFormatting sqref="B229:B233">
    <cfRule type="duplicateValues" dxfId="6" priority="1"/>
  </conditionalFormatting>
  <conditionalFormatting sqref="B354">
    <cfRule type="duplicateValues" dxfId="5" priority="450"/>
  </conditionalFormatting>
  <conditionalFormatting sqref="B355 B207 B362:B475 B234:B353 B210 B213 B216">
    <cfRule type="duplicateValues" dxfId="4" priority="19809"/>
  </conditionalFormatting>
  <conditionalFormatting sqref="B356:B361">
    <cfRule type="duplicateValues" dxfId="3" priority="19278"/>
  </conditionalFormatting>
  <conditionalFormatting sqref="B476 B478 B480 B482 B484 B486 B488 B490 B492 B494 B496 B498 B500 B502 B504 B506 B508 B510 B512 B514 B516 B518 B520 B522 B524 B526 B528 B530 B532 B534 B536 B538 B540 B542 B544 B546 B548 B550 B552 B554 B556 B558 B560 B562 B564 B566 B568 B570 B572 B574 B576 B578 B580 B582 B584 B586 B588 B590 B592 B594 B596 B598 B600 B602 B604 B606 B608 B610 B612 B614 B616 B618">
    <cfRule type="duplicateValues" dxfId="2" priority="17245"/>
  </conditionalFormatting>
  <conditionalFormatting sqref="B477 B479 B481 B483 B485 B487 B489 B491 B493 B495 B497 B499 B501 B503 B505 B507 B509 B511 B513 B515 B517 B519 B521 B523 B525 B527 B529 B531 B533 B535 B537 B539 B541 B543 B545 B547 B549 B551 B553 B555 B557 B559 B561 B563 B565 B567 B569 B571 B573 B575 B577 B579 B581 B583 B585 B587 B589 B591 B593 B595 B597 B599 B601 B603 B605 B607 B609 B611 B613 B615 B617 B619">
    <cfRule type="duplicateValues" dxfId="1" priority="256"/>
  </conditionalFormatting>
  <conditionalFormatting sqref="B668:B691">
    <cfRule type="duplicateValues" dxfId="0" priority="36030"/>
  </conditionalFormatting>
  <conditionalFormatting sqref="B135:C143">
    <cfRule type="colorScale" priority="35901">
      <colorScale>
        <cfvo type="min"/>
        <cfvo type="percentile" val="50"/>
        <cfvo type="max"/>
        <color rgb="FFF8696B"/>
        <color rgb="FFFFEB84"/>
        <color rgb="FF63BE7B"/>
      </colorScale>
    </cfRule>
  </conditionalFormatting>
  <conditionalFormatting sqref="B144:C206 B4:C134 C223:C228">
    <cfRule type="colorScale" priority="30768">
      <colorScale>
        <cfvo type="min"/>
        <cfvo type="percentile" val="50"/>
        <cfvo type="max"/>
        <color rgb="FFF8696B"/>
        <color rgb="FFFFEB84"/>
        <color rgb="FF63BE7B"/>
      </colorScale>
    </cfRule>
  </conditionalFormatting>
  <conditionalFormatting sqref="B135:E143">
    <cfRule type="colorScale" priority="35900">
      <colorScale>
        <cfvo type="min"/>
        <cfvo type="percentile" val="50"/>
        <cfvo type="max"/>
        <color rgb="FFF8696B"/>
        <color rgb="FFFCFCFF"/>
        <color rgb="FF5A8AC6"/>
      </colorScale>
    </cfRule>
  </conditionalFormatting>
  <conditionalFormatting sqref="B144:E206 B4:E134 C223:E228">
    <cfRule type="colorScale" priority="30762">
      <colorScale>
        <cfvo type="min"/>
        <cfvo type="percentile" val="50"/>
        <cfvo type="max"/>
        <color rgb="FFF8696B"/>
        <color rgb="FFFCFCFF"/>
        <color rgb="FF5A8AC6"/>
      </colorScale>
    </cfRule>
  </conditionalFormatting>
  <conditionalFormatting sqref="C4:C17 C20:C107 C223:C228">
    <cfRule type="colorScale" priority="30705">
      <colorScale>
        <cfvo type="min"/>
        <cfvo type="percentile" val="50"/>
        <cfvo type="max"/>
        <color rgb="FF63BE7B"/>
        <color rgb="FFFFEB84"/>
        <color rgb="FFF8696B"/>
      </colorScale>
    </cfRule>
  </conditionalFormatting>
  <conditionalFormatting sqref="C4:C107 C223:C228">
    <cfRule type="colorScale" priority="35283">
      <colorScale>
        <cfvo type="min"/>
        <cfvo type="percentile" val="50"/>
        <cfvo type="max"/>
        <color rgb="FF63BE7B"/>
        <color rgb="FFFFEB84"/>
        <color rgb="FFF8696B"/>
      </colorScale>
    </cfRule>
  </conditionalFormatting>
  <conditionalFormatting sqref="C6">
    <cfRule type="colorScale" priority="32">
      <colorScale>
        <cfvo type="min"/>
        <cfvo type="percentile" val="50"/>
        <cfvo type="max"/>
        <color rgb="FF63BE7B"/>
        <color rgb="FFFFEB84"/>
        <color rgb="FFF8696B"/>
      </colorScale>
    </cfRule>
  </conditionalFormatting>
  <conditionalFormatting sqref="C10:C17 C20:C24">
    <cfRule type="colorScale" priority="217">
      <colorScale>
        <cfvo type="min"/>
        <cfvo type="percentile" val="50"/>
        <cfvo type="max"/>
        <color rgb="FF63BE7B"/>
        <color rgb="FFFFEB84"/>
        <color rgb="FFF8696B"/>
      </colorScale>
    </cfRule>
  </conditionalFormatting>
  <conditionalFormatting sqref="C18">
    <cfRule type="colorScale" priority="98">
      <colorScale>
        <cfvo type="min"/>
        <cfvo type="percentile" val="50"/>
        <cfvo type="max"/>
        <color rgb="FF63BE7B"/>
        <color rgb="FFFFEB84"/>
        <color rgb="FFF8696B"/>
      </colorScale>
    </cfRule>
    <cfRule type="colorScale" priority="89">
      <colorScale>
        <cfvo type="min"/>
        <cfvo type="percentile" val="50"/>
        <cfvo type="max"/>
        <color rgb="FF63BE7B"/>
        <color rgb="FFFFEB84"/>
        <color rgb="FFF8696B"/>
      </colorScale>
    </cfRule>
    <cfRule type="colorScale" priority="90">
      <colorScale>
        <cfvo type="min"/>
        <cfvo type="percentile" val="50"/>
        <cfvo type="max"/>
        <color rgb="FF63BE7B"/>
        <color rgb="FFFFEB84"/>
        <color rgb="FFF8696B"/>
      </colorScale>
    </cfRule>
    <cfRule type="colorScale" priority="91">
      <colorScale>
        <cfvo type="min"/>
        <cfvo type="percentile" val="50"/>
        <cfvo type="max"/>
        <color rgb="FF63BE7B"/>
        <color rgb="FFFFEB84"/>
        <color rgb="FFF8696B"/>
      </colorScale>
    </cfRule>
    <cfRule type="colorScale" priority="93">
      <colorScale>
        <cfvo type="min"/>
        <cfvo type="percentile" val="50"/>
        <cfvo type="max"/>
        <color rgb="FF63BE7B"/>
        <color rgb="FFFFEB84"/>
        <color rgb="FFF8696B"/>
      </colorScale>
    </cfRule>
    <cfRule type="colorScale" priority="94">
      <colorScale>
        <cfvo type="min"/>
        <cfvo type="percentile" val="50"/>
        <cfvo type="max"/>
        <color rgb="FF63BE7B"/>
        <color rgb="FFFFEB84"/>
        <color rgb="FFF8696B"/>
      </colorScale>
    </cfRule>
    <cfRule type="colorScale" priority="95">
      <colorScale>
        <cfvo type="min"/>
        <cfvo type="percentile" val="50"/>
        <cfvo type="max"/>
        <color rgb="FF63BE7B"/>
        <color rgb="FFFFEB84"/>
        <color rgb="FFF8696B"/>
      </colorScale>
    </cfRule>
    <cfRule type="colorScale" priority="92">
      <colorScale>
        <cfvo type="min"/>
        <cfvo type="percentile" val="50"/>
        <cfvo type="max"/>
        <color rgb="FF63BE7B"/>
        <color rgb="FFFFEB84"/>
        <color rgb="FFF8696B"/>
      </colorScale>
    </cfRule>
    <cfRule type="colorScale" priority="96">
      <colorScale>
        <cfvo type="min"/>
        <cfvo type="percentile" val="50"/>
        <cfvo type="max"/>
        <color rgb="FF63BE7B"/>
        <color rgb="FFFFEB84"/>
        <color rgb="FFF8696B"/>
      </colorScale>
    </cfRule>
    <cfRule type="colorScale" priority="97">
      <colorScale>
        <cfvo type="min"/>
        <cfvo type="percentile" val="50"/>
        <cfvo type="max"/>
        <color rgb="FF63BE7B"/>
        <color rgb="FFFFEB84"/>
        <color rgb="FFF8696B"/>
      </colorScale>
    </cfRule>
  </conditionalFormatting>
  <conditionalFormatting sqref="C19">
    <cfRule type="colorScale" priority="99">
      <colorScale>
        <cfvo type="min"/>
        <cfvo type="percentile" val="50"/>
        <cfvo type="max"/>
        <color rgb="FF63BE7B"/>
        <color rgb="FFFFEB84"/>
        <color rgb="FFF8696B"/>
      </colorScale>
    </cfRule>
    <cfRule type="colorScale" priority="106">
      <colorScale>
        <cfvo type="min"/>
        <cfvo type="percentile" val="50"/>
        <cfvo type="max"/>
        <color rgb="FF63BE7B"/>
        <color rgb="FFFFEB84"/>
        <color rgb="FFF8696B"/>
      </colorScale>
    </cfRule>
    <cfRule type="colorScale" priority="105">
      <colorScale>
        <cfvo type="min"/>
        <cfvo type="percentile" val="50"/>
        <cfvo type="max"/>
        <color rgb="FF63BE7B"/>
        <color rgb="FFFFEB84"/>
        <color rgb="FFF8696B"/>
      </colorScale>
    </cfRule>
    <cfRule type="colorScale" priority="104">
      <colorScale>
        <cfvo type="min"/>
        <cfvo type="percentile" val="50"/>
        <cfvo type="max"/>
        <color rgb="FF63BE7B"/>
        <color rgb="FFFFEB84"/>
        <color rgb="FFF8696B"/>
      </colorScale>
    </cfRule>
    <cfRule type="colorScale" priority="103">
      <colorScale>
        <cfvo type="min"/>
        <cfvo type="percentile" val="50"/>
        <cfvo type="max"/>
        <color rgb="FF63BE7B"/>
        <color rgb="FFFFEB84"/>
        <color rgb="FFF8696B"/>
      </colorScale>
    </cfRule>
    <cfRule type="colorScale" priority="100">
      <colorScale>
        <cfvo type="min"/>
        <cfvo type="percentile" val="50"/>
        <cfvo type="max"/>
        <color rgb="FF63BE7B"/>
        <color rgb="FFFFEB84"/>
        <color rgb="FFF8696B"/>
      </colorScale>
    </cfRule>
    <cfRule type="colorScale" priority="102">
      <colorScale>
        <cfvo type="min"/>
        <cfvo type="percentile" val="50"/>
        <cfvo type="max"/>
        <color rgb="FF63BE7B"/>
        <color rgb="FFFFEB84"/>
        <color rgb="FFF8696B"/>
      </colorScale>
    </cfRule>
    <cfRule type="colorScale" priority="101">
      <colorScale>
        <cfvo type="min"/>
        <cfvo type="percentile" val="50"/>
        <cfvo type="max"/>
        <color rgb="FF63BE7B"/>
        <color rgb="FFFFEB84"/>
        <color rgb="FFF8696B"/>
      </colorScale>
    </cfRule>
  </conditionalFormatting>
  <conditionalFormatting sqref="C20:C24 C32:C73 C4:C17">
    <cfRule type="colorScale" priority="26368">
      <colorScale>
        <cfvo type="min"/>
        <cfvo type="percentile" val="50"/>
        <cfvo type="max"/>
        <color rgb="FF63BE7B"/>
        <color rgb="FFFFEB84"/>
        <color rgb="FFF8696B"/>
      </colorScale>
    </cfRule>
  </conditionalFormatting>
  <conditionalFormatting sqref="C20:C107 C223:C228">
    <cfRule type="colorScale" priority="30722">
      <colorScale>
        <cfvo type="min"/>
        <cfvo type="percentile" val="50"/>
        <cfvo type="max"/>
        <color rgb="FF63BE7B"/>
        <color rgb="FFFFEB84"/>
        <color rgb="FFF8696B"/>
      </colorScale>
    </cfRule>
    <cfRule type="colorScale" priority="30735">
      <colorScale>
        <cfvo type="min"/>
        <cfvo type="percentile" val="50"/>
        <cfvo type="max"/>
        <color rgb="FF63BE7B"/>
        <color rgb="FFFFEB84"/>
        <color rgb="FFF8696B"/>
      </colorScale>
    </cfRule>
    <cfRule type="colorScale" priority="30730">
      <colorScale>
        <cfvo type="min"/>
        <cfvo type="percentile" val="50"/>
        <cfvo type="max"/>
        <color rgb="FF63BE7B"/>
        <color rgb="FFFFEB84"/>
        <color rgb="FFF8696B"/>
      </colorScale>
    </cfRule>
    <cfRule type="colorScale" priority="30720">
      <colorScale>
        <cfvo type="min"/>
        <cfvo type="percentile" val="50"/>
        <cfvo type="max"/>
        <color rgb="FF63BE7B"/>
        <color rgb="FFFFEB84"/>
        <color rgb="FFF8696B"/>
      </colorScale>
    </cfRule>
    <cfRule type="colorScale" priority="30713">
      <colorScale>
        <cfvo type="min"/>
        <cfvo type="percentile" val="50"/>
        <cfvo type="max"/>
        <color rgb="FF63BE7B"/>
        <color rgb="FFFFEB84"/>
        <color rgb="FFF8696B"/>
      </colorScale>
    </cfRule>
  </conditionalFormatting>
  <conditionalFormatting sqref="C25:C31">
    <cfRule type="colorScale" priority="24930">
      <colorScale>
        <cfvo type="min"/>
        <cfvo type="percentile" val="50"/>
        <cfvo type="max"/>
        <color rgb="FF63BE7B"/>
        <color rgb="FFFFEB84"/>
        <color rgb="FFF8696B"/>
      </colorScale>
    </cfRule>
  </conditionalFormatting>
  <conditionalFormatting sqref="C32:C73 C4:C9">
    <cfRule type="colorScale" priority="26360">
      <colorScale>
        <cfvo type="min"/>
        <cfvo type="percentile" val="50"/>
        <cfvo type="max"/>
        <color rgb="FF63BE7B"/>
        <color rgb="FFFFEB84"/>
        <color rgb="FFF8696B"/>
      </colorScale>
    </cfRule>
  </conditionalFormatting>
  <conditionalFormatting sqref="C32:C73 C7:C9 C4:C5">
    <cfRule type="colorScale" priority="26377">
      <colorScale>
        <cfvo type="min"/>
        <cfvo type="percentile" val="50"/>
        <cfvo type="max"/>
        <color rgb="FF63BE7B"/>
        <color rgb="FFFFEB84"/>
        <color rgb="FFF8696B"/>
      </colorScale>
    </cfRule>
  </conditionalFormatting>
  <conditionalFormatting sqref="C32:C73">
    <cfRule type="colorScale" priority="26386">
      <colorScale>
        <cfvo type="min"/>
        <cfvo type="percentile" val="50"/>
        <cfvo type="max"/>
        <color rgb="FF63BE7B"/>
        <color rgb="FFFFEB84"/>
        <color rgb="FFF8696B"/>
      </colorScale>
    </cfRule>
  </conditionalFormatting>
  <conditionalFormatting sqref="C74:C81">
    <cfRule type="colorScale" priority="26807">
      <colorScale>
        <cfvo type="min"/>
        <cfvo type="percentile" val="50"/>
        <cfvo type="max"/>
        <color rgb="FF63BE7B"/>
        <color rgb="FFFFEB84"/>
        <color rgb="FFF8696B"/>
      </colorScale>
    </cfRule>
  </conditionalFormatting>
  <conditionalFormatting sqref="C89">
    <cfRule type="colorScale" priority="47">
      <colorScale>
        <cfvo type="min"/>
        <cfvo type="percentile" val="50"/>
        <cfvo type="max"/>
        <color rgb="FF63BE7B"/>
        <color rgb="FFFFEB84"/>
        <color rgb="FFF8696B"/>
      </colorScale>
    </cfRule>
    <cfRule type="colorScale" priority="45">
      <colorScale>
        <cfvo type="min"/>
        <cfvo type="percentile" val="50"/>
        <cfvo type="max"/>
        <color rgb="FF63BE7B"/>
        <color rgb="FFFFEB84"/>
        <color rgb="FFF8696B"/>
      </colorScale>
    </cfRule>
    <cfRule type="colorScale" priority="44">
      <colorScale>
        <cfvo type="min"/>
        <cfvo type="percentile" val="50"/>
        <cfvo type="max"/>
        <color rgb="FF63BE7B"/>
        <color rgb="FFFFEB84"/>
        <color rgb="FFF8696B"/>
      </colorScale>
    </cfRule>
    <cfRule type="colorScale" priority="46">
      <colorScale>
        <cfvo type="min"/>
        <cfvo type="percentile" val="50"/>
        <cfvo type="max"/>
        <color rgb="FF63BE7B"/>
        <color rgb="FFFFEB84"/>
        <color rgb="FFF8696B"/>
      </colorScale>
    </cfRule>
  </conditionalFormatting>
  <conditionalFormatting sqref="C90:C92 C82:C88">
    <cfRule type="colorScale" priority="16610">
      <colorScale>
        <cfvo type="min"/>
        <cfvo type="percentile" val="50"/>
        <cfvo type="max"/>
        <color rgb="FF63BE7B"/>
        <color rgb="FFFFEB84"/>
        <color rgb="FFF8696B"/>
      </colorScale>
    </cfRule>
  </conditionalFormatting>
  <conditionalFormatting sqref="C93:C98 C223:C228">
    <cfRule type="colorScale" priority="35960">
      <colorScale>
        <cfvo type="min"/>
        <cfvo type="percentile" val="50"/>
        <cfvo type="max"/>
        <color rgb="FF63BE7B"/>
        <color rgb="FFFFEB84"/>
        <color rgb="FFF8696B"/>
      </colorScale>
    </cfRule>
  </conditionalFormatting>
  <conditionalFormatting sqref="C99:C107">
    <cfRule type="colorScale" priority="30204">
      <colorScale>
        <cfvo type="min"/>
        <cfvo type="percentile" val="50"/>
        <cfvo type="max"/>
        <color rgb="FF63BE7B"/>
        <color rgb="FFFFEB84"/>
        <color rgb="FFF8696B"/>
      </colorScale>
    </cfRule>
  </conditionalFormatting>
  <conditionalFormatting sqref="C229:C233">
    <cfRule type="colorScale" priority="2">
      <colorScale>
        <cfvo type="min"/>
        <cfvo type="percentile" val="50"/>
        <cfvo type="max"/>
        <color rgb="FF63BE7B"/>
        <color rgb="FFFFEB84"/>
        <color rgb="FFF8696B"/>
      </colorScale>
    </cfRule>
    <cfRule type="colorScale" priority="3">
      <colorScale>
        <cfvo type="min"/>
        <cfvo type="percentile" val="50"/>
        <cfvo type="max"/>
        <color rgb="FF63BE7B"/>
        <color rgb="FFFFEB84"/>
        <color rgb="FFF8696B"/>
      </colorScale>
    </cfRule>
    <cfRule type="colorScale" priority="14">
      <colorScale>
        <cfvo type="min"/>
        <cfvo type="percentile" val="50"/>
        <cfvo type="max"/>
        <color rgb="FF63BE7B"/>
        <color rgb="FFFFEB84"/>
        <color rgb="FFF8696B"/>
      </colorScale>
    </cfRule>
    <cfRule type="colorScale" priority="12">
      <colorScale>
        <cfvo type="min"/>
        <cfvo type="percentile" val="50"/>
        <cfvo type="max"/>
        <color rgb="FF63BE7B"/>
        <color rgb="FFFFEB84"/>
        <color rgb="FFF8696B"/>
      </colorScale>
    </cfRule>
    <cfRule type="colorScale" priority="11">
      <colorScale>
        <cfvo type="min"/>
        <cfvo type="percentile" val="50"/>
        <cfvo type="max"/>
        <color rgb="FFF8696B"/>
        <color rgb="FFFFEB84"/>
        <color rgb="FF63BE7B"/>
      </colorScale>
    </cfRule>
    <cfRule type="colorScale" priority="7">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fRule type="colorScale" priority="5">
      <colorScale>
        <cfvo type="min"/>
        <cfvo type="percentile" val="50"/>
        <cfvo type="max"/>
        <color rgb="FF63BE7B"/>
        <color rgb="FFFFEB84"/>
        <color rgb="FFF8696B"/>
      </colorScale>
    </cfRule>
    <cfRule type="colorScale" priority="4">
      <colorScale>
        <cfvo type="min"/>
        <cfvo type="percentile" val="50"/>
        <cfvo type="max"/>
        <color rgb="FF63BE7B"/>
        <color rgb="FFFFEB84"/>
        <color rgb="FFF8696B"/>
      </colorScale>
    </cfRule>
  </conditionalFormatting>
  <conditionalFormatting sqref="C229:E233">
    <cfRule type="colorScale" priority="9">
      <colorScale>
        <cfvo type="min"/>
        <cfvo type="percentile" val="50"/>
        <cfvo type="max"/>
        <color rgb="FFF8696B"/>
        <color rgb="FFFCFCFF"/>
        <color rgb="FF5A8AC6"/>
      </colorScale>
    </cfRule>
  </conditionalFormatting>
  <conditionalFormatting sqref="E2">
    <cfRule type="colorScale" priority="758">
      <colorScale>
        <cfvo type="min"/>
        <cfvo type="percentile" val="50"/>
        <cfvo type="max"/>
        <color rgb="FF63BE7B"/>
        <color rgb="FFFFEB84"/>
        <color rgb="FFF8696B"/>
      </colorScale>
    </cfRule>
  </conditionalFormatting>
  <conditionalFormatting sqref="E4:E107 E223:E228">
    <cfRule type="colorScale" priority="35284">
      <colorScale>
        <cfvo type="min"/>
        <cfvo type="percentile" val="50"/>
        <cfvo type="max"/>
        <color rgb="FF63BE7B"/>
        <color rgb="FFFFEB84"/>
        <color rgb="FFF8696B"/>
      </colorScale>
    </cfRule>
  </conditionalFormatting>
  <conditionalFormatting sqref="E135:E143">
    <cfRule type="colorScale" priority="35894">
      <colorScale>
        <cfvo type="min"/>
        <cfvo type="percentile" val="50"/>
        <cfvo type="max"/>
        <color rgb="FF63BE7B"/>
        <color rgb="FFFFEB84"/>
        <color rgb="FFF8696B"/>
      </colorScale>
    </cfRule>
  </conditionalFormatting>
  <conditionalFormatting sqref="E144:E206 E4:E134 E223:E228">
    <cfRule type="colorScale" priority="30766">
      <colorScale>
        <cfvo type="min"/>
        <cfvo type="percentile" val="50"/>
        <cfvo type="max"/>
        <color rgb="FF63BE7B"/>
        <color rgb="FFFFEB84"/>
        <color rgb="FFF8696B"/>
      </colorScale>
    </cfRule>
  </conditionalFormatting>
  <conditionalFormatting sqref="E229:E233">
    <cfRule type="colorScale" priority="10">
      <colorScale>
        <cfvo type="min"/>
        <cfvo type="percentile" val="50"/>
        <cfvo type="max"/>
        <color rgb="FF63BE7B"/>
        <color rgb="FFFFEB84"/>
        <color rgb="FFF8696B"/>
      </colorScale>
    </cfRule>
    <cfRule type="colorScale" priority="13">
      <colorScale>
        <cfvo type="min"/>
        <cfvo type="percentile" val="50"/>
        <cfvo type="max"/>
        <color rgb="FF63BE7B"/>
        <color rgb="FFFFEB84"/>
        <color rgb="FFF8696B"/>
      </colorScale>
    </cfRule>
  </conditionalFormatting>
  <conditionalFormatting sqref="E4:F107 F219:F220 E223:F228">
    <cfRule type="colorScale" priority="30745">
      <colorScale>
        <cfvo type="min"/>
        <cfvo type="percentile" val="50"/>
        <cfvo type="max"/>
        <color rgb="FF63BE7B"/>
        <color rgb="FFFFEB84"/>
        <color rgb="FFF8696B"/>
      </colorScale>
    </cfRule>
  </conditionalFormatting>
  <conditionalFormatting sqref="E229:F233">
    <cfRule type="colorScale" priority="8">
      <colorScale>
        <cfvo type="min"/>
        <cfvo type="percentile" val="50"/>
        <cfvo type="max"/>
        <color rgb="FF63BE7B"/>
        <color rgb="FFFFEB84"/>
        <color rgb="FFF8696B"/>
      </colorScale>
    </cfRule>
  </conditionalFormatting>
  <conditionalFormatting sqref="F221">
    <cfRule type="colorScale" priority="18">
      <colorScale>
        <cfvo type="min"/>
        <cfvo type="percentile" val="50"/>
        <cfvo type="max"/>
        <color rgb="FF63BE7B"/>
        <color rgb="FFFFEB84"/>
        <color rgb="FFF8696B"/>
      </colorScale>
    </cfRule>
  </conditionalFormatting>
  <pageMargins left="0.69930555555555596" right="0.69930555555555596"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N3"/>
  <sheetViews>
    <sheetView workbookViewId="0">
      <selection activeCell="C31" sqref="C31"/>
    </sheetView>
  </sheetViews>
  <sheetFormatPr defaultColWidth="9.07421875" defaultRowHeight="14" x14ac:dyDescent="0.3"/>
  <cols>
    <col min="1" max="1" width="8.84375" style="16" customWidth="1"/>
    <col min="2" max="2" width="19.53515625" style="16" customWidth="1"/>
    <col min="3" max="3" width="40.84375" style="16" customWidth="1"/>
    <col min="4" max="4" width="33.53515625" style="16" customWidth="1"/>
    <col min="5" max="5" width="22.53515625" style="16" customWidth="1"/>
    <col min="6" max="6" width="22.07421875" style="16" customWidth="1"/>
    <col min="7" max="7" width="21.53515625" style="16" customWidth="1"/>
    <col min="8" max="8" width="19.4609375" style="16" customWidth="1"/>
    <col min="9" max="9" width="16.53515625" style="16" customWidth="1"/>
    <col min="10" max="10" width="12.4609375" style="16" customWidth="1"/>
    <col min="11" max="11" width="8.84375" style="16" customWidth="1"/>
    <col min="12" max="12" width="21.07421875" style="16" customWidth="1"/>
    <col min="13" max="13" width="16.84375" style="16" customWidth="1"/>
    <col min="14" max="14" width="19.69140625" style="16" customWidth="1"/>
    <col min="15" max="16" width="8.84375" style="16" customWidth="1"/>
    <col min="17" max="16384" width="9.07421875" style="16"/>
  </cols>
  <sheetData>
    <row r="1" spans="1:14" s="13" customFormat="1" ht="16.149999999999999" customHeight="1" x14ac:dyDescent="0.45">
      <c r="A1" s="1" t="s">
        <v>1628</v>
      </c>
      <c r="B1" s="1"/>
      <c r="C1" s="1"/>
      <c r="D1" s="1"/>
      <c r="E1" s="1"/>
      <c r="F1" s="1"/>
      <c r="G1" s="1"/>
      <c r="H1" s="1"/>
      <c r="I1" s="1"/>
      <c r="J1" s="17"/>
      <c r="K1" s="1"/>
      <c r="L1" s="1"/>
      <c r="N1" s="17"/>
    </row>
    <row r="2" spans="1:14" s="14" customFormat="1" ht="16.149999999999999" customHeight="1" x14ac:dyDescent="0.45">
      <c r="A2" s="2" t="s">
        <v>1629</v>
      </c>
      <c r="B2" s="2" t="s">
        <v>6</v>
      </c>
      <c r="C2" s="2" t="s">
        <v>1630</v>
      </c>
      <c r="D2" s="2" t="s">
        <v>1631</v>
      </c>
      <c r="E2" s="2" t="s">
        <v>1632</v>
      </c>
      <c r="F2" s="2" t="s">
        <v>19</v>
      </c>
      <c r="G2" s="2" t="s">
        <v>23</v>
      </c>
      <c r="H2" s="2" t="s">
        <v>24</v>
      </c>
      <c r="I2" s="2" t="s">
        <v>25</v>
      </c>
      <c r="J2" s="18" t="s">
        <v>26</v>
      </c>
      <c r="K2" s="2" t="s">
        <v>27</v>
      </c>
      <c r="L2" s="2" t="s">
        <v>28</v>
      </c>
      <c r="N2" s="18"/>
    </row>
    <row r="3" spans="1:14" s="15" customFormat="1" ht="15.75" customHeight="1" x14ac:dyDescent="0.45">
      <c r="A3" s="7" t="s">
        <v>33</v>
      </c>
      <c r="B3" s="7" t="s">
        <v>34</v>
      </c>
      <c r="C3" s="7" t="s">
        <v>35</v>
      </c>
      <c r="D3" s="7" t="s">
        <v>36</v>
      </c>
      <c r="E3" s="7" t="s">
        <v>37</v>
      </c>
      <c r="F3" s="7" t="s">
        <v>38</v>
      </c>
      <c r="G3" s="3" t="s">
        <v>41</v>
      </c>
      <c r="H3" s="3" t="s">
        <v>42</v>
      </c>
      <c r="I3" s="3" t="s">
        <v>43</v>
      </c>
      <c r="J3" s="19" t="s">
        <v>26</v>
      </c>
      <c r="K3" s="3" t="s">
        <v>44</v>
      </c>
      <c r="L3" s="3" t="s">
        <v>45</v>
      </c>
      <c r="N3" s="19"/>
    </row>
  </sheetData>
  <phoneticPr fontId="16" type="noConversion"/>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3"/>
  <sheetViews>
    <sheetView workbookViewId="0">
      <selection activeCell="B3" sqref="B3"/>
    </sheetView>
  </sheetViews>
  <sheetFormatPr defaultColWidth="9.07421875" defaultRowHeight="16.5" x14ac:dyDescent="0.45"/>
  <cols>
    <col min="1" max="1" width="9.69140625" style="12" customWidth="1"/>
    <col min="2" max="2" width="27.53515625" style="12" customWidth="1"/>
    <col min="3" max="3" width="15.53515625" style="12" customWidth="1"/>
    <col min="4" max="5" width="8.84375" style="12" customWidth="1"/>
    <col min="6" max="16384" width="9.07421875" style="12"/>
  </cols>
  <sheetData>
    <row r="1" spans="1:2" s="9" customFormat="1" ht="16.149999999999999" customHeight="1" x14ac:dyDescent="0.45">
      <c r="A1" s="1" t="s">
        <v>1633</v>
      </c>
    </row>
    <row r="2" spans="1:2" s="10" customFormat="1" ht="16.149999999999999" customHeight="1" x14ac:dyDescent="0.45">
      <c r="A2" s="10" t="s">
        <v>33</v>
      </c>
      <c r="B2" s="10" t="s">
        <v>1634</v>
      </c>
    </row>
    <row r="3" spans="1:2" s="11" customFormat="1" x14ac:dyDescent="0.45">
      <c r="A3" s="11" t="s">
        <v>33</v>
      </c>
      <c r="B3" s="11" t="s">
        <v>1063</v>
      </c>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4"/>
  <sheetViews>
    <sheetView workbookViewId="0">
      <selection activeCell="J18" sqref="J18"/>
    </sheetView>
  </sheetViews>
  <sheetFormatPr defaultColWidth="9.07421875" defaultRowHeight="16.5" x14ac:dyDescent="0.45"/>
  <cols>
    <col min="1" max="1" width="39.69140625" style="4" customWidth="1"/>
    <col min="2" max="2" width="18.84375" style="4" customWidth="1"/>
    <col min="3" max="3" width="15.53515625" style="4" customWidth="1"/>
    <col min="4" max="5" width="8.84375" style="4" customWidth="1"/>
    <col min="6" max="16384" width="9.07421875" style="4"/>
  </cols>
  <sheetData>
    <row r="1" spans="1:3" s="1" customFormat="1" ht="16.149999999999999" customHeight="1" x14ac:dyDescent="0.45">
      <c r="A1" s="1" t="s">
        <v>1635</v>
      </c>
      <c r="B1" s="1" t="s">
        <v>1636</v>
      </c>
      <c r="C1" s="1" t="s">
        <v>1637</v>
      </c>
    </row>
    <row r="2" spans="1:3" s="2" customFormat="1" ht="16.149999999999999" customHeight="1" x14ac:dyDescent="0.45">
      <c r="A2" s="2" t="s">
        <v>1638</v>
      </c>
      <c r="B2" s="2" t="s">
        <v>33</v>
      </c>
      <c r="C2" s="2">
        <v>1</v>
      </c>
    </row>
    <row r="3" spans="1:3" s="8" customFormat="1" x14ac:dyDescent="0.45">
      <c r="A3" s="8" t="s">
        <v>1639</v>
      </c>
      <c r="B3" s="8" t="s">
        <v>1640</v>
      </c>
      <c r="C3" s="8">
        <v>110010</v>
      </c>
    </row>
    <row r="4" spans="1:3" x14ac:dyDescent="0.45">
      <c r="A4" s="4" t="s">
        <v>1641</v>
      </c>
      <c r="B4" s="4" t="s">
        <v>1642</v>
      </c>
      <c r="C4" s="4">
        <v>10</v>
      </c>
    </row>
  </sheetData>
  <phoneticPr fontId="16"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N3"/>
  <sheetViews>
    <sheetView workbookViewId="0">
      <pane xSplit="2" ySplit="3" topLeftCell="C4" activePane="bottomRight" state="frozen"/>
      <selection pane="topRight"/>
      <selection pane="bottomLeft"/>
      <selection pane="bottomRight" activeCell="B39" sqref="B39"/>
    </sheetView>
  </sheetViews>
  <sheetFormatPr defaultColWidth="9.07421875" defaultRowHeight="16.5" x14ac:dyDescent="0.45"/>
  <cols>
    <col min="1" max="1" width="11.07421875" style="4" customWidth="1"/>
    <col min="2" max="2" width="14.53515625" style="4" customWidth="1"/>
    <col min="3" max="3" width="15.53515625" style="4" customWidth="1"/>
    <col min="4" max="4" width="17.07421875" style="4" customWidth="1"/>
    <col min="5" max="5" width="8.84375" style="4" customWidth="1"/>
    <col min="6" max="6" width="19.69140625" style="4" customWidth="1"/>
    <col min="7" max="8" width="8.84375" style="4" customWidth="1"/>
    <col min="9" max="16384" width="9.07421875" style="4"/>
  </cols>
  <sheetData>
    <row r="1" spans="1:14" s="1" customFormat="1" ht="16.149999999999999" customHeight="1" x14ac:dyDescent="0.45">
      <c r="A1" s="1" t="s">
        <v>1643</v>
      </c>
    </row>
    <row r="2" spans="1:14" s="2" customFormat="1" ht="16.149999999999999" customHeight="1" x14ac:dyDescent="0.45">
      <c r="A2" s="2" t="s">
        <v>1629</v>
      </c>
      <c r="B2" s="2" t="s">
        <v>6</v>
      </c>
      <c r="C2" s="2" t="s">
        <v>15</v>
      </c>
      <c r="D2" s="2" t="s">
        <v>16</v>
      </c>
      <c r="E2" s="2" t="s">
        <v>17</v>
      </c>
      <c r="F2" s="2" t="s">
        <v>19</v>
      </c>
      <c r="G2" s="2" t="s">
        <v>20</v>
      </c>
      <c r="H2" s="2" t="s">
        <v>21</v>
      </c>
      <c r="I2" s="2" t="s">
        <v>23</v>
      </c>
      <c r="J2" s="2" t="s">
        <v>24</v>
      </c>
      <c r="K2" s="2" t="s">
        <v>25</v>
      </c>
      <c r="L2" s="2" t="s">
        <v>26</v>
      </c>
      <c r="M2" s="2" t="s">
        <v>27</v>
      </c>
      <c r="N2" s="2" t="s">
        <v>28</v>
      </c>
    </row>
    <row r="3" spans="1:14" s="3" customFormat="1" x14ac:dyDescent="0.45">
      <c r="A3" s="3" t="s">
        <v>33</v>
      </c>
      <c r="B3" s="3" t="s">
        <v>34</v>
      </c>
      <c r="C3" s="3" t="s">
        <v>35</v>
      </c>
      <c r="D3" s="3" t="s">
        <v>36</v>
      </c>
      <c r="E3" s="3" t="s">
        <v>37</v>
      </c>
      <c r="F3" s="3" t="s">
        <v>38</v>
      </c>
      <c r="G3" s="7" t="s">
        <v>39</v>
      </c>
      <c r="H3" s="7" t="s">
        <v>40</v>
      </c>
      <c r="I3" s="3" t="s">
        <v>1644</v>
      </c>
      <c r="J3" s="3" t="s">
        <v>42</v>
      </c>
      <c r="K3" s="3" t="s">
        <v>43</v>
      </c>
      <c r="L3" s="3" t="s">
        <v>26</v>
      </c>
      <c r="M3" s="3" t="s">
        <v>44</v>
      </c>
      <c r="N3" s="3" t="s">
        <v>45</v>
      </c>
    </row>
  </sheetData>
  <autoFilter ref="A3:N167" xr:uid="{00000000-0009-0000-0000-000006000000}"/>
  <phoneticPr fontId="16" type="noConversion"/>
  <pageMargins left="0.69930555555555596" right="0.69930555555555596" top="0.75" bottom="0.75" header="0.3" footer="0.3"/>
  <pageSetup paperSize="9" orientation="portrait"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C3"/>
  <sheetViews>
    <sheetView workbookViewId="0">
      <selection activeCell="C14" sqref="C14"/>
    </sheetView>
  </sheetViews>
  <sheetFormatPr defaultColWidth="9.07421875" defaultRowHeight="16.5" x14ac:dyDescent="0.45"/>
  <cols>
    <col min="1" max="1" width="9.69140625" style="4" customWidth="1"/>
    <col min="2" max="2" width="24.84375" style="4" customWidth="1"/>
    <col min="3" max="3" width="23.69140625" style="4" customWidth="1"/>
    <col min="4" max="5" width="8.84375" style="4" customWidth="1"/>
    <col min="6" max="16384" width="9.07421875" style="4"/>
  </cols>
  <sheetData>
    <row r="1" spans="1:3" s="1" customFormat="1" ht="16.149999999999999" customHeight="1" x14ac:dyDescent="0.45">
      <c r="A1" s="1" t="s">
        <v>1645</v>
      </c>
    </row>
    <row r="2" spans="1:3" s="2" customFormat="1" ht="16.149999999999999" customHeight="1" x14ac:dyDescent="0.45">
      <c r="A2" s="2" t="s">
        <v>33</v>
      </c>
      <c r="B2" s="2" t="s">
        <v>1634</v>
      </c>
      <c r="C2" s="5"/>
    </row>
    <row r="3" spans="1:3" s="3" customFormat="1" x14ac:dyDescent="0.45">
      <c r="A3" s="3" t="s">
        <v>33</v>
      </c>
      <c r="B3" s="3" t="s">
        <v>1646</v>
      </c>
      <c r="C3" s="6"/>
    </row>
  </sheetData>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89"/>
  <sheetViews>
    <sheetView topLeftCell="B86" workbookViewId="0">
      <selection activeCell="C104" sqref="C104"/>
    </sheetView>
  </sheetViews>
  <sheetFormatPr defaultColWidth="9" defaultRowHeight="16.5" x14ac:dyDescent="0.45"/>
  <cols>
    <col min="1" max="3" width="80.07421875" customWidth="1"/>
  </cols>
  <sheetData>
    <row r="1" spans="1:3" x14ac:dyDescent="0.45">
      <c r="A1" t="s">
        <v>1647</v>
      </c>
      <c r="B1" t="s">
        <v>1648</v>
      </c>
      <c r="C1" t="s">
        <v>1649</v>
      </c>
    </row>
    <row r="2" spans="1:3" x14ac:dyDescent="0.45">
      <c r="A2" t="s">
        <v>1650</v>
      </c>
      <c r="B2" t="s">
        <v>1651</v>
      </c>
      <c r="C2" t="s">
        <v>1652</v>
      </c>
    </row>
    <row r="3" spans="1:3" x14ac:dyDescent="0.45">
      <c r="A3" t="s">
        <v>1653</v>
      </c>
      <c r="B3" t="s">
        <v>1654</v>
      </c>
      <c r="C3" t="s">
        <v>999</v>
      </c>
    </row>
    <row r="4" spans="1:3" x14ac:dyDescent="0.45">
      <c r="A4" t="s">
        <v>1655</v>
      </c>
      <c r="B4" t="s">
        <v>78</v>
      </c>
      <c r="C4" t="s">
        <v>1656</v>
      </c>
    </row>
    <row r="5" spans="1:3" x14ac:dyDescent="0.45">
      <c r="A5" t="s">
        <v>1657</v>
      </c>
      <c r="B5" t="s">
        <v>1658</v>
      </c>
      <c r="C5" t="s">
        <v>1659</v>
      </c>
    </row>
    <row r="6" spans="1:3" x14ac:dyDescent="0.45">
      <c r="A6" t="s">
        <v>1660</v>
      </c>
      <c r="B6" t="s">
        <v>77</v>
      </c>
      <c r="C6" t="s">
        <v>1661</v>
      </c>
    </row>
    <row r="7" spans="1:3" x14ac:dyDescent="0.45">
      <c r="A7" t="s">
        <v>1662</v>
      </c>
      <c r="B7" t="s">
        <v>49</v>
      </c>
      <c r="C7" t="s">
        <v>50</v>
      </c>
    </row>
    <row r="8" spans="1:3" x14ac:dyDescent="0.45">
      <c r="A8" t="s">
        <v>1663</v>
      </c>
      <c r="B8" t="s">
        <v>1664</v>
      </c>
      <c r="C8" t="s">
        <v>1665</v>
      </c>
    </row>
    <row r="9" spans="1:3" x14ac:dyDescent="0.45">
      <c r="A9" t="s">
        <v>1666</v>
      </c>
      <c r="B9" t="s">
        <v>1667</v>
      </c>
      <c r="C9" t="s">
        <v>1668</v>
      </c>
    </row>
    <row r="10" spans="1:3" x14ac:dyDescent="0.45">
      <c r="A10" t="s">
        <v>1669</v>
      </c>
      <c r="B10" t="s">
        <v>1670</v>
      </c>
      <c r="C10" t="s">
        <v>1671</v>
      </c>
    </row>
    <row r="11" spans="1:3" x14ac:dyDescent="0.45">
      <c r="A11" t="s">
        <v>1672</v>
      </c>
      <c r="B11" t="s">
        <v>1673</v>
      </c>
      <c r="C11" t="s">
        <v>1674</v>
      </c>
    </row>
    <row r="12" spans="1:3" x14ac:dyDescent="0.45">
      <c r="A12" t="s">
        <v>1675</v>
      </c>
      <c r="B12" t="s">
        <v>1676</v>
      </c>
      <c r="C12" t="s">
        <v>1677</v>
      </c>
    </row>
    <row r="13" spans="1:3" x14ac:dyDescent="0.45">
      <c r="A13" t="s">
        <v>1678</v>
      </c>
      <c r="B13" t="s">
        <v>144</v>
      </c>
      <c r="C13" t="s">
        <v>1679</v>
      </c>
    </row>
    <row r="14" spans="1:3" x14ac:dyDescent="0.45">
      <c r="A14" t="s">
        <v>1680</v>
      </c>
      <c r="B14" t="s">
        <v>1681</v>
      </c>
      <c r="C14" t="s">
        <v>1682</v>
      </c>
    </row>
    <row r="15" spans="1:3" x14ac:dyDescent="0.45">
      <c r="A15" t="s">
        <v>1683</v>
      </c>
      <c r="B15" t="s">
        <v>1684</v>
      </c>
      <c r="C15" t="s">
        <v>1685</v>
      </c>
    </row>
    <row r="16" spans="1:3" x14ac:dyDescent="0.45">
      <c r="A16" t="s">
        <v>1686</v>
      </c>
      <c r="B16" t="s">
        <v>1687</v>
      </c>
      <c r="C16" t="s">
        <v>1688</v>
      </c>
    </row>
    <row r="17" spans="1:3" x14ac:dyDescent="0.45">
      <c r="A17" t="s">
        <v>1689</v>
      </c>
      <c r="B17" t="s">
        <v>1690</v>
      </c>
      <c r="C17" t="s">
        <v>1691</v>
      </c>
    </row>
    <row r="18" spans="1:3" x14ac:dyDescent="0.45">
      <c r="A18" t="s">
        <v>1692</v>
      </c>
      <c r="B18" t="s">
        <v>1693</v>
      </c>
      <c r="C18" t="s">
        <v>1694</v>
      </c>
    </row>
    <row r="19" spans="1:3" x14ac:dyDescent="0.45">
      <c r="A19" t="s">
        <v>1695</v>
      </c>
      <c r="B19" t="s">
        <v>1696</v>
      </c>
      <c r="C19" t="s">
        <v>1697</v>
      </c>
    </row>
    <row r="20" spans="1:3" x14ac:dyDescent="0.45">
      <c r="A20" t="s">
        <v>1698</v>
      </c>
      <c r="B20" t="s">
        <v>83</v>
      </c>
      <c r="C20" t="s">
        <v>1699</v>
      </c>
    </row>
    <row r="21" spans="1:3" x14ac:dyDescent="0.45">
      <c r="A21" t="s">
        <v>1700</v>
      </c>
      <c r="B21" t="s">
        <v>1701</v>
      </c>
      <c r="C21" t="s">
        <v>1702</v>
      </c>
    </row>
    <row r="22" spans="1:3" x14ac:dyDescent="0.45">
      <c r="A22" t="s">
        <v>1703</v>
      </c>
      <c r="B22" t="s">
        <v>1704</v>
      </c>
      <c r="C22" t="s">
        <v>1705</v>
      </c>
    </row>
    <row r="23" spans="1:3" x14ac:dyDescent="0.45">
      <c r="A23" t="s">
        <v>1706</v>
      </c>
      <c r="B23" t="s">
        <v>95</v>
      </c>
      <c r="C23" t="s">
        <v>1707</v>
      </c>
    </row>
    <row r="24" spans="1:3" x14ac:dyDescent="0.45">
      <c r="A24" t="s">
        <v>1708</v>
      </c>
      <c r="B24" t="s">
        <v>134</v>
      </c>
      <c r="C24" t="s">
        <v>515</v>
      </c>
    </row>
    <row r="25" spans="1:3" x14ac:dyDescent="0.45">
      <c r="A25" t="s">
        <v>1709</v>
      </c>
      <c r="B25" t="s">
        <v>1710</v>
      </c>
      <c r="C25" t="s">
        <v>1711</v>
      </c>
    </row>
    <row r="26" spans="1:3" x14ac:dyDescent="0.45">
      <c r="A26" t="s">
        <v>1712</v>
      </c>
      <c r="B26" t="s">
        <v>1713</v>
      </c>
      <c r="C26" t="s">
        <v>1714</v>
      </c>
    </row>
    <row r="27" spans="1:3" x14ac:dyDescent="0.45">
      <c r="A27" t="s">
        <v>1715</v>
      </c>
      <c r="B27" t="s">
        <v>1716</v>
      </c>
      <c r="C27" t="s">
        <v>1717</v>
      </c>
    </row>
    <row r="28" spans="1:3" x14ac:dyDescent="0.45">
      <c r="A28" t="s">
        <v>1718</v>
      </c>
      <c r="B28" t="s">
        <v>149</v>
      </c>
      <c r="C28" t="s">
        <v>1719</v>
      </c>
    </row>
    <row r="29" spans="1:3" x14ac:dyDescent="0.45">
      <c r="A29" t="s">
        <v>1720</v>
      </c>
      <c r="B29" t="s">
        <v>1721</v>
      </c>
      <c r="C29" t="s">
        <v>1722</v>
      </c>
    </row>
    <row r="30" spans="1:3" x14ac:dyDescent="0.45">
      <c r="A30" t="s">
        <v>1723</v>
      </c>
      <c r="B30" t="s">
        <v>93</v>
      </c>
      <c r="C30" t="s">
        <v>587</v>
      </c>
    </row>
    <row r="31" spans="1:3" x14ac:dyDescent="0.45">
      <c r="A31" t="s">
        <v>1724</v>
      </c>
      <c r="B31" t="s">
        <v>1725</v>
      </c>
      <c r="C31" t="s">
        <v>1726</v>
      </c>
    </row>
    <row r="32" spans="1:3" x14ac:dyDescent="0.45">
      <c r="A32" t="s">
        <v>1727</v>
      </c>
      <c r="B32" t="s">
        <v>1728</v>
      </c>
      <c r="C32" t="s">
        <v>1729</v>
      </c>
    </row>
    <row r="33" spans="1:3" x14ac:dyDescent="0.45">
      <c r="A33" t="s">
        <v>1730</v>
      </c>
      <c r="B33" t="s">
        <v>1731</v>
      </c>
      <c r="C33" t="s">
        <v>1732</v>
      </c>
    </row>
    <row r="34" spans="1:3" x14ac:dyDescent="0.45">
      <c r="A34" t="s">
        <v>1733</v>
      </c>
      <c r="B34" t="s">
        <v>1734</v>
      </c>
      <c r="C34" t="s">
        <v>1735</v>
      </c>
    </row>
    <row r="35" spans="1:3" x14ac:dyDescent="0.45">
      <c r="A35" t="s">
        <v>1736</v>
      </c>
      <c r="B35" t="s">
        <v>118</v>
      </c>
      <c r="C35" t="s">
        <v>1737</v>
      </c>
    </row>
    <row r="36" spans="1:3" x14ac:dyDescent="0.45">
      <c r="A36" t="s">
        <v>1738</v>
      </c>
      <c r="B36" t="s">
        <v>1739</v>
      </c>
      <c r="C36" t="s">
        <v>1740</v>
      </c>
    </row>
    <row r="37" spans="1:3" x14ac:dyDescent="0.45">
      <c r="A37" t="s">
        <v>1741</v>
      </c>
      <c r="B37" t="s">
        <v>1742</v>
      </c>
      <c r="C37" t="s">
        <v>1743</v>
      </c>
    </row>
    <row r="38" spans="1:3" x14ac:dyDescent="0.45">
      <c r="A38" t="s">
        <v>1744</v>
      </c>
      <c r="B38" t="s">
        <v>113</v>
      </c>
      <c r="C38" t="s">
        <v>1745</v>
      </c>
    </row>
    <row r="39" spans="1:3" x14ac:dyDescent="0.45">
      <c r="A39" t="s">
        <v>1746</v>
      </c>
      <c r="B39" t="s">
        <v>1747</v>
      </c>
      <c r="C39" t="s">
        <v>1748</v>
      </c>
    </row>
    <row r="40" spans="1:3" x14ac:dyDescent="0.45">
      <c r="A40" t="s">
        <v>1749</v>
      </c>
      <c r="B40" t="s">
        <v>1750</v>
      </c>
      <c r="C40" t="s">
        <v>1751</v>
      </c>
    </row>
    <row r="41" spans="1:3" x14ac:dyDescent="0.45">
      <c r="A41" t="s">
        <v>1752</v>
      </c>
      <c r="B41" t="s">
        <v>1753</v>
      </c>
      <c r="C41" t="s">
        <v>1754</v>
      </c>
    </row>
    <row r="42" spans="1:3" x14ac:dyDescent="0.45">
      <c r="A42" t="s">
        <v>1755</v>
      </c>
      <c r="B42" t="s">
        <v>143</v>
      </c>
      <c r="C42" t="s">
        <v>551</v>
      </c>
    </row>
    <row r="43" spans="1:3" x14ac:dyDescent="0.45">
      <c r="A43" t="s">
        <v>1756</v>
      </c>
      <c r="B43" t="s">
        <v>1757</v>
      </c>
      <c r="C43" t="s">
        <v>1758</v>
      </c>
    </row>
    <row r="44" spans="1:3" x14ac:dyDescent="0.45">
      <c r="A44" t="s">
        <v>1759</v>
      </c>
      <c r="B44" t="s">
        <v>1760</v>
      </c>
      <c r="C44" t="s">
        <v>1761</v>
      </c>
    </row>
    <row r="45" spans="1:3" x14ac:dyDescent="0.45">
      <c r="A45" t="s">
        <v>1762</v>
      </c>
      <c r="B45" t="s">
        <v>1763</v>
      </c>
      <c r="C45" t="s">
        <v>1764</v>
      </c>
    </row>
    <row r="46" spans="1:3" x14ac:dyDescent="0.45">
      <c r="A46" t="s">
        <v>1765</v>
      </c>
      <c r="B46" t="s">
        <v>1766</v>
      </c>
      <c r="C46" t="s">
        <v>1767</v>
      </c>
    </row>
    <row r="47" spans="1:3" x14ac:dyDescent="0.45">
      <c r="A47" t="s">
        <v>1768</v>
      </c>
      <c r="B47" t="s">
        <v>1769</v>
      </c>
      <c r="C47" t="s">
        <v>1770</v>
      </c>
    </row>
    <row r="48" spans="1:3" x14ac:dyDescent="0.45">
      <c r="A48" t="s">
        <v>1771</v>
      </c>
      <c r="B48" t="s">
        <v>1772</v>
      </c>
      <c r="C48" t="s">
        <v>1773</v>
      </c>
    </row>
    <row r="49" spans="1:3" x14ac:dyDescent="0.45">
      <c r="A49" t="s">
        <v>1774</v>
      </c>
      <c r="B49" t="s">
        <v>1775</v>
      </c>
      <c r="C49" t="s">
        <v>1776</v>
      </c>
    </row>
    <row r="50" spans="1:3" x14ac:dyDescent="0.45">
      <c r="A50" t="s">
        <v>1777</v>
      </c>
      <c r="B50" t="s">
        <v>156</v>
      </c>
      <c r="C50" t="s">
        <v>770</v>
      </c>
    </row>
    <row r="51" spans="1:3" x14ac:dyDescent="0.45">
      <c r="A51" t="s">
        <v>1778</v>
      </c>
      <c r="B51" t="s">
        <v>1779</v>
      </c>
      <c r="C51" t="s">
        <v>1780</v>
      </c>
    </row>
    <row r="52" spans="1:3" x14ac:dyDescent="0.45">
      <c r="A52" t="s">
        <v>1781</v>
      </c>
      <c r="B52" t="s">
        <v>1782</v>
      </c>
      <c r="C52" t="s">
        <v>1783</v>
      </c>
    </row>
    <row r="53" spans="1:3" x14ac:dyDescent="0.45">
      <c r="A53" t="s">
        <v>1784</v>
      </c>
      <c r="B53" t="s">
        <v>1785</v>
      </c>
      <c r="C53" t="s">
        <v>1786</v>
      </c>
    </row>
    <row r="54" spans="1:3" x14ac:dyDescent="0.45">
      <c r="A54" t="s">
        <v>1787</v>
      </c>
      <c r="B54" t="s">
        <v>1788</v>
      </c>
      <c r="C54" t="s">
        <v>1789</v>
      </c>
    </row>
    <row r="55" spans="1:3" x14ac:dyDescent="0.45">
      <c r="A55" t="s">
        <v>1790</v>
      </c>
      <c r="B55" t="s">
        <v>177</v>
      </c>
      <c r="C55" t="s">
        <v>879</v>
      </c>
    </row>
    <row r="56" spans="1:3" x14ac:dyDescent="0.45">
      <c r="A56" t="s">
        <v>1791</v>
      </c>
      <c r="B56" t="s">
        <v>1792</v>
      </c>
      <c r="C56" t="s">
        <v>1793</v>
      </c>
    </row>
    <row r="57" spans="1:3" x14ac:dyDescent="0.45">
      <c r="A57" t="s">
        <v>1794</v>
      </c>
      <c r="B57" t="s">
        <v>178</v>
      </c>
      <c r="C57" t="s">
        <v>1795</v>
      </c>
    </row>
    <row r="58" spans="1:3" x14ac:dyDescent="0.45">
      <c r="A58" t="s">
        <v>1796</v>
      </c>
      <c r="B58" t="s">
        <v>1797</v>
      </c>
      <c r="C58" t="s">
        <v>1798</v>
      </c>
    </row>
    <row r="59" spans="1:3" x14ac:dyDescent="0.45">
      <c r="A59" t="s">
        <v>1799</v>
      </c>
      <c r="B59" t="s">
        <v>851</v>
      </c>
      <c r="C59" t="s">
        <v>854</v>
      </c>
    </row>
    <row r="60" spans="1:3" x14ac:dyDescent="0.45">
      <c r="A60" t="s">
        <v>1800</v>
      </c>
      <c r="B60" t="s">
        <v>1801</v>
      </c>
      <c r="C60" t="s">
        <v>1802</v>
      </c>
    </row>
    <row r="61" spans="1:3" x14ac:dyDescent="0.45">
      <c r="A61" t="s">
        <v>1803</v>
      </c>
      <c r="B61" t="s">
        <v>1804</v>
      </c>
      <c r="C61" t="s">
        <v>1805</v>
      </c>
    </row>
    <row r="62" spans="1:3" x14ac:dyDescent="0.45">
      <c r="A62" t="s">
        <v>1806</v>
      </c>
      <c r="B62" t="s">
        <v>1807</v>
      </c>
      <c r="C62" t="s">
        <v>1808</v>
      </c>
    </row>
    <row r="63" spans="1:3" x14ac:dyDescent="0.45">
      <c r="A63" t="s">
        <v>1809</v>
      </c>
      <c r="B63" t="s">
        <v>1810</v>
      </c>
      <c r="C63" t="s">
        <v>1811</v>
      </c>
    </row>
    <row r="64" spans="1:3" x14ac:dyDescent="0.45">
      <c r="A64" t="s">
        <v>1812</v>
      </c>
      <c r="B64" t="s">
        <v>1813</v>
      </c>
      <c r="C64" t="s">
        <v>1814</v>
      </c>
    </row>
    <row r="65" spans="1:3" x14ac:dyDescent="0.45">
      <c r="A65" t="s">
        <v>1815</v>
      </c>
      <c r="B65" t="s">
        <v>1816</v>
      </c>
      <c r="C65" t="s">
        <v>1817</v>
      </c>
    </row>
    <row r="66" spans="1:3" x14ac:dyDescent="0.45">
      <c r="A66" t="s">
        <v>1818</v>
      </c>
      <c r="B66" t="s">
        <v>1819</v>
      </c>
      <c r="C66" t="s">
        <v>1820</v>
      </c>
    </row>
    <row r="67" spans="1:3" x14ac:dyDescent="0.45">
      <c r="A67" t="s">
        <v>1821</v>
      </c>
      <c r="B67" t="s">
        <v>192</v>
      </c>
      <c r="C67" t="s">
        <v>1822</v>
      </c>
    </row>
    <row r="68" spans="1:3" x14ac:dyDescent="0.45">
      <c r="A68" t="s">
        <v>1823</v>
      </c>
      <c r="B68" t="s">
        <v>1824</v>
      </c>
      <c r="C68" t="s">
        <v>1825</v>
      </c>
    </row>
    <row r="69" spans="1:3" x14ac:dyDescent="0.45">
      <c r="A69" t="s">
        <v>1826</v>
      </c>
      <c r="B69" t="s">
        <v>1827</v>
      </c>
      <c r="C69" t="s">
        <v>1828</v>
      </c>
    </row>
    <row r="70" spans="1:3" x14ac:dyDescent="0.45">
      <c r="A70" t="s">
        <v>1829</v>
      </c>
      <c r="B70" t="s">
        <v>1830</v>
      </c>
      <c r="C70" t="s">
        <v>1831</v>
      </c>
    </row>
    <row r="71" spans="1:3" x14ac:dyDescent="0.45">
      <c r="A71" t="s">
        <v>1832</v>
      </c>
      <c r="B71" t="s">
        <v>193</v>
      </c>
      <c r="C71" t="s">
        <v>1833</v>
      </c>
    </row>
    <row r="72" spans="1:3" x14ac:dyDescent="0.45">
      <c r="A72" t="s">
        <v>1834</v>
      </c>
      <c r="B72" t="s">
        <v>1835</v>
      </c>
      <c r="C72" t="s">
        <v>1836</v>
      </c>
    </row>
    <row r="73" spans="1:3" x14ac:dyDescent="0.45">
      <c r="A73" t="s">
        <v>1837</v>
      </c>
      <c r="B73" t="s">
        <v>1838</v>
      </c>
      <c r="C73" t="s">
        <v>1839</v>
      </c>
    </row>
    <row r="74" spans="1:3" x14ac:dyDescent="0.45">
      <c r="A74" t="s">
        <v>1840</v>
      </c>
      <c r="B74" t="s">
        <v>1841</v>
      </c>
      <c r="C74" t="s">
        <v>1842</v>
      </c>
    </row>
    <row r="75" spans="1:3" x14ac:dyDescent="0.45">
      <c r="A75" t="s">
        <v>1843</v>
      </c>
      <c r="B75" t="s">
        <v>1844</v>
      </c>
      <c r="C75" t="s">
        <v>1845</v>
      </c>
    </row>
    <row r="76" spans="1:3" x14ac:dyDescent="0.45">
      <c r="A76" t="s">
        <v>1846</v>
      </c>
      <c r="B76" t="s">
        <v>1847</v>
      </c>
      <c r="C76" t="s">
        <v>1848</v>
      </c>
    </row>
    <row r="77" spans="1:3" x14ac:dyDescent="0.45">
      <c r="A77" t="s">
        <v>1849</v>
      </c>
      <c r="B77" t="s">
        <v>1850</v>
      </c>
      <c r="C77" t="s">
        <v>1851</v>
      </c>
    </row>
    <row r="78" spans="1:3" x14ac:dyDescent="0.45">
      <c r="A78" t="s">
        <v>1852</v>
      </c>
      <c r="B78" t="s">
        <v>1853</v>
      </c>
      <c r="C78" t="s">
        <v>1854</v>
      </c>
    </row>
    <row r="79" spans="1:3" x14ac:dyDescent="0.45">
      <c r="A79" t="s">
        <v>1855</v>
      </c>
      <c r="B79" t="s">
        <v>1856</v>
      </c>
      <c r="C79" t="s">
        <v>1857</v>
      </c>
    </row>
    <row r="80" spans="1:3" x14ac:dyDescent="0.45">
      <c r="A80" t="s">
        <v>1858</v>
      </c>
      <c r="B80" t="s">
        <v>1859</v>
      </c>
      <c r="C80" t="s">
        <v>1860</v>
      </c>
    </row>
    <row r="81" spans="1:3" x14ac:dyDescent="0.45">
      <c r="A81" t="s">
        <v>1861</v>
      </c>
      <c r="B81" t="s">
        <v>199</v>
      </c>
      <c r="C81" t="s">
        <v>1862</v>
      </c>
    </row>
    <row r="82" spans="1:3" x14ac:dyDescent="0.45">
      <c r="A82" t="s">
        <v>1863</v>
      </c>
      <c r="B82" t="s">
        <v>168</v>
      </c>
      <c r="C82" t="s">
        <v>1864</v>
      </c>
    </row>
    <row r="83" spans="1:3" x14ac:dyDescent="0.45">
      <c r="A83" t="s">
        <v>1865</v>
      </c>
      <c r="B83" t="s">
        <v>1866</v>
      </c>
      <c r="C83" t="s">
        <v>1867</v>
      </c>
    </row>
    <row r="84" spans="1:3" x14ac:dyDescent="0.45">
      <c r="A84" t="s">
        <v>1868</v>
      </c>
      <c r="B84" t="s">
        <v>1869</v>
      </c>
      <c r="C84" t="s">
        <v>1870</v>
      </c>
    </row>
    <row r="85" spans="1:3" x14ac:dyDescent="0.45">
      <c r="A85" t="s">
        <v>1871</v>
      </c>
      <c r="B85" t="s">
        <v>1872</v>
      </c>
      <c r="C85" t="s">
        <v>1873</v>
      </c>
    </row>
    <row r="86" spans="1:3" x14ac:dyDescent="0.45">
      <c r="A86" t="s">
        <v>1874</v>
      </c>
      <c r="B86" t="s">
        <v>1875</v>
      </c>
      <c r="C86" t="s">
        <v>1876</v>
      </c>
    </row>
    <row r="87" spans="1:3" x14ac:dyDescent="0.45">
      <c r="A87" t="s">
        <v>1877</v>
      </c>
      <c r="B87" t="s">
        <v>1878</v>
      </c>
      <c r="C87" t="s">
        <v>1879</v>
      </c>
    </row>
    <row r="88" spans="1:3" x14ac:dyDescent="0.45">
      <c r="A88" t="s">
        <v>1880</v>
      </c>
      <c r="B88" t="s">
        <v>1881</v>
      </c>
      <c r="C88" t="s">
        <v>1882</v>
      </c>
    </row>
    <row r="89" spans="1:3" x14ac:dyDescent="0.45">
      <c r="A89" t="s">
        <v>1883</v>
      </c>
      <c r="B89" t="s">
        <v>1884</v>
      </c>
      <c r="C89" t="s">
        <v>1885</v>
      </c>
    </row>
    <row r="90" spans="1:3" x14ac:dyDescent="0.45">
      <c r="A90" t="s">
        <v>1886</v>
      </c>
      <c r="B90" t="s">
        <v>1887</v>
      </c>
      <c r="C90" t="s">
        <v>1888</v>
      </c>
    </row>
    <row r="91" spans="1:3" x14ac:dyDescent="0.45">
      <c r="A91" t="s">
        <v>1889</v>
      </c>
      <c r="B91" t="s">
        <v>1890</v>
      </c>
      <c r="C91" t="s">
        <v>1891</v>
      </c>
    </row>
    <row r="92" spans="1:3" x14ac:dyDescent="0.45">
      <c r="A92" t="s">
        <v>1892</v>
      </c>
      <c r="B92" t="s">
        <v>1893</v>
      </c>
      <c r="C92" t="s">
        <v>1515</v>
      </c>
    </row>
    <row r="93" spans="1:3" x14ac:dyDescent="0.45">
      <c r="A93" t="s">
        <v>1894</v>
      </c>
      <c r="B93" t="s">
        <v>1895</v>
      </c>
      <c r="C93" t="s">
        <v>1896</v>
      </c>
    </row>
    <row r="94" spans="1:3" x14ac:dyDescent="0.45">
      <c r="A94" t="s">
        <v>1897</v>
      </c>
      <c r="B94" t="s">
        <v>1898</v>
      </c>
      <c r="C94" t="s">
        <v>1899</v>
      </c>
    </row>
    <row r="95" spans="1:3" x14ac:dyDescent="0.45">
      <c r="A95" t="s">
        <v>1900</v>
      </c>
      <c r="B95" t="s">
        <v>204</v>
      </c>
      <c r="C95" t="s">
        <v>532</v>
      </c>
    </row>
    <row r="96" spans="1:3" x14ac:dyDescent="0.45">
      <c r="A96" t="s">
        <v>1901</v>
      </c>
      <c r="B96" t="s">
        <v>205</v>
      </c>
      <c r="C96" t="s">
        <v>1902</v>
      </c>
    </row>
    <row r="97" spans="1:3" x14ac:dyDescent="0.45">
      <c r="A97" t="s">
        <v>1903</v>
      </c>
      <c r="B97" t="s">
        <v>1904</v>
      </c>
      <c r="C97" t="s">
        <v>1905</v>
      </c>
    </row>
    <row r="98" spans="1:3" x14ac:dyDescent="0.45">
      <c r="A98" t="s">
        <v>1906</v>
      </c>
      <c r="B98" t="s">
        <v>212</v>
      </c>
      <c r="C98" t="s">
        <v>1066</v>
      </c>
    </row>
    <row r="99" spans="1:3" x14ac:dyDescent="0.45">
      <c r="A99" t="s">
        <v>1907</v>
      </c>
      <c r="B99" t="s">
        <v>1908</v>
      </c>
      <c r="C99" t="s">
        <v>1067</v>
      </c>
    </row>
    <row r="100" spans="1:3" x14ac:dyDescent="0.45">
      <c r="A100" t="s">
        <v>1909</v>
      </c>
      <c r="B100" t="s">
        <v>1910</v>
      </c>
      <c r="C100" t="s">
        <v>1068</v>
      </c>
    </row>
    <row r="101" spans="1:3" x14ac:dyDescent="0.45">
      <c r="A101" t="s">
        <v>1911</v>
      </c>
      <c r="B101" t="s">
        <v>1912</v>
      </c>
      <c r="C101" t="s">
        <v>1069</v>
      </c>
    </row>
    <row r="102" spans="1:3" x14ac:dyDescent="0.45">
      <c r="A102" t="s">
        <v>1913</v>
      </c>
      <c r="B102" t="s">
        <v>1914</v>
      </c>
      <c r="C102" t="s">
        <v>1070</v>
      </c>
    </row>
    <row r="103" spans="1:3" x14ac:dyDescent="0.45">
      <c r="A103" t="s">
        <v>1915</v>
      </c>
      <c r="B103" t="s">
        <v>232</v>
      </c>
      <c r="C103" t="s">
        <v>1916</v>
      </c>
    </row>
    <row r="104" spans="1:3" x14ac:dyDescent="0.45">
      <c r="A104" t="s">
        <v>1917</v>
      </c>
      <c r="B104" t="s">
        <v>1918</v>
      </c>
      <c r="C104" t="s">
        <v>1072</v>
      </c>
    </row>
    <row r="105" spans="1:3" x14ac:dyDescent="0.45">
      <c r="A105" t="s">
        <v>1919</v>
      </c>
      <c r="B105" t="s">
        <v>1920</v>
      </c>
      <c r="C105" t="s">
        <v>1921</v>
      </c>
    </row>
    <row r="106" spans="1:3" x14ac:dyDescent="0.45">
      <c r="A106" t="s">
        <v>1922</v>
      </c>
      <c r="B106" t="s">
        <v>237</v>
      </c>
      <c r="C106" t="s">
        <v>1073</v>
      </c>
    </row>
    <row r="107" spans="1:3" x14ac:dyDescent="0.45">
      <c r="A107" t="s">
        <v>1923</v>
      </c>
      <c r="B107" t="s">
        <v>241</v>
      </c>
      <c r="C107" t="s">
        <v>1075</v>
      </c>
    </row>
    <row r="108" spans="1:3" x14ac:dyDescent="0.45">
      <c r="A108" t="s">
        <v>1924</v>
      </c>
      <c r="B108" t="s">
        <v>801</v>
      </c>
      <c r="C108" t="s">
        <v>1925</v>
      </c>
    </row>
    <row r="109" spans="1:3" x14ac:dyDescent="0.45">
      <c r="A109" t="s">
        <v>1926</v>
      </c>
      <c r="B109" t="s">
        <v>1927</v>
      </c>
      <c r="C109" t="s">
        <v>1928</v>
      </c>
    </row>
    <row r="110" spans="1:3" x14ac:dyDescent="0.45">
      <c r="A110" t="s">
        <v>1929</v>
      </c>
      <c r="B110" t="s">
        <v>1930</v>
      </c>
      <c r="C110" t="s">
        <v>1931</v>
      </c>
    </row>
    <row r="111" spans="1:3" x14ac:dyDescent="0.45">
      <c r="A111" t="s">
        <v>1932</v>
      </c>
      <c r="B111" t="s">
        <v>1933</v>
      </c>
      <c r="C111" t="s">
        <v>1934</v>
      </c>
    </row>
    <row r="112" spans="1:3" x14ac:dyDescent="0.45">
      <c r="A112" t="s">
        <v>1935</v>
      </c>
      <c r="B112" t="s">
        <v>250</v>
      </c>
      <c r="C112" t="s">
        <v>1079</v>
      </c>
    </row>
    <row r="113" spans="1:3" x14ac:dyDescent="0.45">
      <c r="A113" t="s">
        <v>1936</v>
      </c>
      <c r="B113" t="s">
        <v>1937</v>
      </c>
      <c r="C113" t="s">
        <v>1081</v>
      </c>
    </row>
    <row r="114" spans="1:3" x14ac:dyDescent="0.45">
      <c r="A114" t="s">
        <v>1938</v>
      </c>
      <c r="B114" t="s">
        <v>1939</v>
      </c>
      <c r="C114" t="s">
        <v>1082</v>
      </c>
    </row>
    <row r="115" spans="1:3" x14ac:dyDescent="0.45">
      <c r="A115" t="s">
        <v>1940</v>
      </c>
      <c r="B115" t="s">
        <v>1941</v>
      </c>
      <c r="C115" t="s">
        <v>1084</v>
      </c>
    </row>
    <row r="116" spans="1:3" x14ac:dyDescent="0.45">
      <c r="A116" t="s">
        <v>1942</v>
      </c>
      <c r="B116" t="s">
        <v>1943</v>
      </c>
      <c r="C116" t="s">
        <v>1085</v>
      </c>
    </row>
    <row r="117" spans="1:3" x14ac:dyDescent="0.45">
      <c r="A117" t="s">
        <v>1944</v>
      </c>
      <c r="B117" t="s">
        <v>1945</v>
      </c>
      <c r="C117" t="s">
        <v>1946</v>
      </c>
    </row>
    <row r="118" spans="1:3" x14ac:dyDescent="0.45">
      <c r="A118" t="s">
        <v>1947</v>
      </c>
      <c r="B118" t="s">
        <v>1948</v>
      </c>
      <c r="C118" t="s">
        <v>1089</v>
      </c>
    </row>
    <row r="119" spans="1:3" x14ac:dyDescent="0.45">
      <c r="A119" t="s">
        <v>1949</v>
      </c>
      <c r="B119" t="s">
        <v>1950</v>
      </c>
      <c r="C119" t="s">
        <v>1951</v>
      </c>
    </row>
    <row r="120" spans="1:3" x14ac:dyDescent="0.45">
      <c r="A120" t="s">
        <v>1952</v>
      </c>
      <c r="B120" t="s">
        <v>1953</v>
      </c>
      <c r="C120" t="s">
        <v>1954</v>
      </c>
    </row>
    <row r="121" spans="1:3" x14ac:dyDescent="0.45">
      <c r="A121" t="s">
        <v>1955</v>
      </c>
      <c r="B121" t="s">
        <v>1956</v>
      </c>
      <c r="C121" t="s">
        <v>1957</v>
      </c>
    </row>
    <row r="122" spans="1:3" x14ac:dyDescent="0.45">
      <c r="A122" t="s">
        <v>1958</v>
      </c>
      <c r="B122" t="s">
        <v>1959</v>
      </c>
      <c r="C122" t="s">
        <v>1521</v>
      </c>
    </row>
    <row r="123" spans="1:3" x14ac:dyDescent="0.45">
      <c r="A123" t="s">
        <v>1960</v>
      </c>
      <c r="B123" t="s">
        <v>1961</v>
      </c>
      <c r="C123" t="s">
        <v>1091</v>
      </c>
    </row>
    <row r="124" spans="1:3" x14ac:dyDescent="0.45">
      <c r="A124" t="s">
        <v>1962</v>
      </c>
      <c r="B124" t="s">
        <v>1963</v>
      </c>
      <c r="C124" t="s">
        <v>1964</v>
      </c>
    </row>
    <row r="125" spans="1:3" x14ac:dyDescent="0.45">
      <c r="A125" t="s">
        <v>1965</v>
      </c>
      <c r="B125" t="s">
        <v>277</v>
      </c>
      <c r="C125" t="s">
        <v>1092</v>
      </c>
    </row>
    <row r="126" spans="1:3" x14ac:dyDescent="0.45">
      <c r="A126" t="s">
        <v>1966</v>
      </c>
      <c r="B126" t="s">
        <v>283</v>
      </c>
      <c r="C126" t="s">
        <v>1094</v>
      </c>
    </row>
    <row r="127" spans="1:3" x14ac:dyDescent="0.45">
      <c r="A127" t="s">
        <v>1967</v>
      </c>
      <c r="B127" t="s">
        <v>1968</v>
      </c>
      <c r="C127" t="s">
        <v>1095</v>
      </c>
    </row>
    <row r="128" spans="1:3" x14ac:dyDescent="0.45">
      <c r="A128" t="s">
        <v>1969</v>
      </c>
      <c r="B128" t="s">
        <v>1970</v>
      </c>
      <c r="C128" t="s">
        <v>1096</v>
      </c>
    </row>
    <row r="129" spans="1:3" x14ac:dyDescent="0.45">
      <c r="A129" t="s">
        <v>1971</v>
      </c>
      <c r="B129" t="s">
        <v>1972</v>
      </c>
      <c r="C129" t="s">
        <v>1099</v>
      </c>
    </row>
    <row r="130" spans="1:3" x14ac:dyDescent="0.45">
      <c r="A130" t="s">
        <v>1973</v>
      </c>
      <c r="B130" t="s">
        <v>1974</v>
      </c>
      <c r="C130" t="s">
        <v>1100</v>
      </c>
    </row>
    <row r="131" spans="1:3" x14ac:dyDescent="0.45">
      <c r="A131" t="s">
        <v>1975</v>
      </c>
      <c r="B131" t="s">
        <v>1976</v>
      </c>
      <c r="C131" t="s">
        <v>1101</v>
      </c>
    </row>
    <row r="132" spans="1:3" x14ac:dyDescent="0.45">
      <c r="A132" t="s">
        <v>1977</v>
      </c>
      <c r="B132" t="s">
        <v>1978</v>
      </c>
      <c r="C132" t="s">
        <v>1979</v>
      </c>
    </row>
    <row r="133" spans="1:3" x14ac:dyDescent="0.45">
      <c r="A133" t="s">
        <v>1980</v>
      </c>
      <c r="B133" t="s">
        <v>1981</v>
      </c>
      <c r="C133" t="s">
        <v>1103</v>
      </c>
    </row>
    <row r="134" spans="1:3" x14ac:dyDescent="0.45">
      <c r="A134" t="s">
        <v>1982</v>
      </c>
      <c r="B134" t="s">
        <v>1983</v>
      </c>
      <c r="C134" t="s">
        <v>1984</v>
      </c>
    </row>
    <row r="135" spans="1:3" x14ac:dyDescent="0.45">
      <c r="A135" t="s">
        <v>1985</v>
      </c>
      <c r="B135" t="s">
        <v>1986</v>
      </c>
      <c r="C135" t="s">
        <v>1987</v>
      </c>
    </row>
    <row r="136" spans="1:3" x14ac:dyDescent="0.45">
      <c r="A136" t="s">
        <v>1988</v>
      </c>
      <c r="B136" t="s">
        <v>1989</v>
      </c>
      <c r="C136" t="s">
        <v>1990</v>
      </c>
    </row>
    <row r="137" spans="1:3" x14ac:dyDescent="0.45">
      <c r="A137" t="s">
        <v>1991</v>
      </c>
      <c r="B137" t="s">
        <v>311</v>
      </c>
      <c r="C137" t="s">
        <v>1107</v>
      </c>
    </row>
    <row r="138" spans="1:3" x14ac:dyDescent="0.45">
      <c r="A138" t="s">
        <v>1992</v>
      </c>
      <c r="B138" t="s">
        <v>1993</v>
      </c>
      <c r="C138" t="s">
        <v>1108</v>
      </c>
    </row>
    <row r="139" spans="1:3" x14ac:dyDescent="0.45">
      <c r="A139" t="s">
        <v>1994</v>
      </c>
      <c r="B139" t="s">
        <v>1995</v>
      </c>
      <c r="C139" t="s">
        <v>1109</v>
      </c>
    </row>
    <row r="140" spans="1:3" x14ac:dyDescent="0.45">
      <c r="A140" t="s">
        <v>1996</v>
      </c>
      <c r="B140" t="s">
        <v>1997</v>
      </c>
      <c r="C140" t="s">
        <v>1110</v>
      </c>
    </row>
    <row r="141" spans="1:3" x14ac:dyDescent="0.45">
      <c r="A141" t="s">
        <v>1998</v>
      </c>
      <c r="B141" t="s">
        <v>1999</v>
      </c>
      <c r="C141" t="s">
        <v>1112</v>
      </c>
    </row>
    <row r="142" spans="1:3" x14ac:dyDescent="0.45">
      <c r="A142" t="s">
        <v>2000</v>
      </c>
      <c r="B142" t="s">
        <v>2001</v>
      </c>
      <c r="C142" t="s">
        <v>2002</v>
      </c>
    </row>
    <row r="143" spans="1:3" x14ac:dyDescent="0.45">
      <c r="A143" t="s">
        <v>2003</v>
      </c>
      <c r="B143" t="s">
        <v>2004</v>
      </c>
      <c r="C143" t="s">
        <v>1114</v>
      </c>
    </row>
    <row r="144" spans="1:3" x14ac:dyDescent="0.45">
      <c r="A144" t="s">
        <v>2005</v>
      </c>
      <c r="B144" t="s">
        <v>2006</v>
      </c>
      <c r="C144" t="s">
        <v>2007</v>
      </c>
    </row>
    <row r="145" spans="1:3" x14ac:dyDescent="0.45">
      <c r="A145" t="s">
        <v>2008</v>
      </c>
      <c r="B145" t="s">
        <v>2009</v>
      </c>
      <c r="C145" t="s">
        <v>2010</v>
      </c>
    </row>
    <row r="146" spans="1:3" x14ac:dyDescent="0.45">
      <c r="A146" t="s">
        <v>2011</v>
      </c>
      <c r="B146" t="s">
        <v>2012</v>
      </c>
      <c r="C146" t="s">
        <v>2013</v>
      </c>
    </row>
    <row r="147" spans="1:3" x14ac:dyDescent="0.45">
      <c r="A147" t="s">
        <v>2014</v>
      </c>
      <c r="B147" t="s">
        <v>324</v>
      </c>
      <c r="C147" t="s">
        <v>1117</v>
      </c>
    </row>
    <row r="148" spans="1:3" x14ac:dyDescent="0.45">
      <c r="A148" t="s">
        <v>2015</v>
      </c>
      <c r="B148" t="s">
        <v>2016</v>
      </c>
      <c r="C148" t="s">
        <v>1118</v>
      </c>
    </row>
    <row r="149" spans="1:3" x14ac:dyDescent="0.45">
      <c r="A149" t="s">
        <v>2017</v>
      </c>
      <c r="B149" t="s">
        <v>2018</v>
      </c>
      <c r="C149" t="s">
        <v>1119</v>
      </c>
    </row>
    <row r="150" spans="1:3" x14ac:dyDescent="0.45">
      <c r="A150" t="s">
        <v>2019</v>
      </c>
      <c r="B150" t="s">
        <v>2020</v>
      </c>
      <c r="C150" t="s">
        <v>1120</v>
      </c>
    </row>
    <row r="151" spans="1:3" x14ac:dyDescent="0.45">
      <c r="A151" t="s">
        <v>2021</v>
      </c>
      <c r="B151" t="s">
        <v>2022</v>
      </c>
      <c r="C151" t="s">
        <v>1121</v>
      </c>
    </row>
    <row r="152" spans="1:3" x14ac:dyDescent="0.45">
      <c r="A152" t="s">
        <v>2023</v>
      </c>
      <c r="B152" t="s">
        <v>2024</v>
      </c>
      <c r="C152" t="s">
        <v>2025</v>
      </c>
    </row>
    <row r="153" spans="1:3" x14ac:dyDescent="0.45">
      <c r="A153" t="s">
        <v>2026</v>
      </c>
      <c r="B153" t="s">
        <v>2027</v>
      </c>
      <c r="C153" t="s">
        <v>1123</v>
      </c>
    </row>
    <row r="154" spans="1:3" x14ac:dyDescent="0.45">
      <c r="A154" t="s">
        <v>2028</v>
      </c>
      <c r="B154" t="s">
        <v>2029</v>
      </c>
      <c r="C154" t="s">
        <v>2030</v>
      </c>
    </row>
    <row r="155" spans="1:3" x14ac:dyDescent="0.45">
      <c r="A155" t="s">
        <v>2031</v>
      </c>
      <c r="B155" t="s">
        <v>2032</v>
      </c>
      <c r="C155" t="s">
        <v>2033</v>
      </c>
    </row>
    <row r="156" spans="1:3" x14ac:dyDescent="0.45">
      <c r="A156" t="s">
        <v>2034</v>
      </c>
      <c r="B156" t="s">
        <v>2035</v>
      </c>
      <c r="C156" t="s">
        <v>2036</v>
      </c>
    </row>
    <row r="157" spans="1:3" x14ac:dyDescent="0.45">
      <c r="A157" t="s">
        <v>2037</v>
      </c>
      <c r="B157" t="s">
        <v>334</v>
      </c>
      <c r="C157" t="s">
        <v>1127</v>
      </c>
    </row>
    <row r="158" spans="1:3" x14ac:dyDescent="0.45">
      <c r="A158" t="s">
        <v>2038</v>
      </c>
      <c r="B158" t="s">
        <v>335</v>
      </c>
      <c r="C158" t="s">
        <v>1128</v>
      </c>
    </row>
    <row r="159" spans="1:3" x14ac:dyDescent="0.45">
      <c r="A159" t="s">
        <v>2039</v>
      </c>
      <c r="B159" t="s">
        <v>2040</v>
      </c>
      <c r="C159" t="s">
        <v>1129</v>
      </c>
    </row>
    <row r="160" spans="1:3" x14ac:dyDescent="0.45">
      <c r="A160" t="s">
        <v>2041</v>
      </c>
      <c r="B160" t="s">
        <v>2042</v>
      </c>
      <c r="C160" t="s">
        <v>1130</v>
      </c>
    </row>
    <row r="161" spans="1:3" x14ac:dyDescent="0.45">
      <c r="A161" t="s">
        <v>2043</v>
      </c>
      <c r="B161" t="s">
        <v>2044</v>
      </c>
      <c r="C161" t="s">
        <v>1131</v>
      </c>
    </row>
    <row r="162" spans="1:3" x14ac:dyDescent="0.45">
      <c r="A162" t="s">
        <v>2045</v>
      </c>
      <c r="B162" t="s">
        <v>2046</v>
      </c>
      <c r="C162" t="s">
        <v>1132</v>
      </c>
    </row>
    <row r="163" spans="1:3" x14ac:dyDescent="0.45">
      <c r="A163" t="s">
        <v>2047</v>
      </c>
      <c r="B163" t="s">
        <v>2048</v>
      </c>
      <c r="C163" t="s">
        <v>2049</v>
      </c>
    </row>
    <row r="164" spans="1:3" x14ac:dyDescent="0.45">
      <c r="A164" t="s">
        <v>2050</v>
      </c>
      <c r="B164" t="s">
        <v>2051</v>
      </c>
      <c r="C164" t="s">
        <v>1134</v>
      </c>
    </row>
    <row r="165" spans="1:3" x14ac:dyDescent="0.45">
      <c r="A165" t="s">
        <v>2052</v>
      </c>
      <c r="B165" t="s">
        <v>2053</v>
      </c>
      <c r="C165" t="s">
        <v>2054</v>
      </c>
    </row>
    <row r="166" spans="1:3" x14ac:dyDescent="0.45">
      <c r="A166" t="s">
        <v>2055</v>
      </c>
      <c r="B166" t="s">
        <v>2056</v>
      </c>
      <c r="C166" t="s">
        <v>2057</v>
      </c>
    </row>
    <row r="167" spans="1:3" x14ac:dyDescent="0.45">
      <c r="A167" t="s">
        <v>2058</v>
      </c>
      <c r="B167" t="s">
        <v>2059</v>
      </c>
      <c r="C167" t="s">
        <v>2060</v>
      </c>
    </row>
    <row r="168" spans="1:3" x14ac:dyDescent="0.45">
      <c r="A168" t="s">
        <v>2061</v>
      </c>
      <c r="B168" t="s">
        <v>345</v>
      </c>
      <c r="C168" t="s">
        <v>1136</v>
      </c>
    </row>
    <row r="169" spans="1:3" x14ac:dyDescent="0.45">
      <c r="A169" t="s">
        <v>2062</v>
      </c>
      <c r="B169" t="s">
        <v>2063</v>
      </c>
      <c r="C169" t="s">
        <v>1137</v>
      </c>
    </row>
    <row r="170" spans="1:3" x14ac:dyDescent="0.45">
      <c r="A170" t="s">
        <v>2064</v>
      </c>
      <c r="B170" t="s">
        <v>2065</v>
      </c>
      <c r="C170" t="s">
        <v>1138</v>
      </c>
    </row>
    <row r="171" spans="1:3" x14ac:dyDescent="0.45">
      <c r="A171" t="s">
        <v>2066</v>
      </c>
      <c r="B171" t="s">
        <v>2067</v>
      </c>
      <c r="C171" t="s">
        <v>1139</v>
      </c>
    </row>
    <row r="172" spans="1:3" x14ac:dyDescent="0.45">
      <c r="A172" t="s">
        <v>2068</v>
      </c>
      <c r="B172" t="s">
        <v>2069</v>
      </c>
      <c r="C172" t="s">
        <v>1140</v>
      </c>
    </row>
    <row r="173" spans="1:3" x14ac:dyDescent="0.45">
      <c r="A173" t="s">
        <v>2070</v>
      </c>
      <c r="B173" t="s">
        <v>2071</v>
      </c>
      <c r="C173" t="s">
        <v>2072</v>
      </c>
    </row>
    <row r="174" spans="1:3" x14ac:dyDescent="0.45">
      <c r="A174" t="s">
        <v>2073</v>
      </c>
      <c r="B174" t="s">
        <v>2074</v>
      </c>
      <c r="C174" t="s">
        <v>1144</v>
      </c>
    </row>
    <row r="175" spans="1:3" x14ac:dyDescent="0.45">
      <c r="A175" t="s">
        <v>2075</v>
      </c>
      <c r="B175" t="s">
        <v>2076</v>
      </c>
      <c r="C175" t="s">
        <v>2077</v>
      </c>
    </row>
    <row r="176" spans="1:3" x14ac:dyDescent="0.45">
      <c r="A176" t="s">
        <v>2078</v>
      </c>
      <c r="B176" t="s">
        <v>2079</v>
      </c>
      <c r="C176" t="s">
        <v>2080</v>
      </c>
    </row>
    <row r="177" spans="1:3" x14ac:dyDescent="0.45">
      <c r="A177" t="s">
        <v>2081</v>
      </c>
      <c r="B177" t="s">
        <v>2082</v>
      </c>
      <c r="C177" t="s">
        <v>2083</v>
      </c>
    </row>
    <row r="178" spans="1:3" x14ac:dyDescent="0.45">
      <c r="A178" t="s">
        <v>2084</v>
      </c>
      <c r="B178" t="s">
        <v>359</v>
      </c>
      <c r="C178" t="s">
        <v>1148</v>
      </c>
    </row>
    <row r="179" spans="1:3" x14ac:dyDescent="0.45">
      <c r="A179" t="s">
        <v>2085</v>
      </c>
      <c r="B179" t="s">
        <v>2086</v>
      </c>
      <c r="C179" t="s">
        <v>1150</v>
      </c>
    </row>
    <row r="180" spans="1:3" x14ac:dyDescent="0.45">
      <c r="A180" t="s">
        <v>2087</v>
      </c>
      <c r="B180" t="s">
        <v>2088</v>
      </c>
      <c r="C180" t="s">
        <v>1151</v>
      </c>
    </row>
    <row r="181" spans="1:3" x14ac:dyDescent="0.45">
      <c r="A181" t="s">
        <v>2089</v>
      </c>
      <c r="B181" t="s">
        <v>2090</v>
      </c>
      <c r="C181" t="s">
        <v>1152</v>
      </c>
    </row>
    <row r="182" spans="1:3" x14ac:dyDescent="0.45">
      <c r="A182" t="s">
        <v>2091</v>
      </c>
      <c r="B182" t="s">
        <v>2092</v>
      </c>
      <c r="C182" t="s">
        <v>1153</v>
      </c>
    </row>
    <row r="183" spans="1:3" x14ac:dyDescent="0.45">
      <c r="A183" t="s">
        <v>2093</v>
      </c>
      <c r="B183" t="s">
        <v>2094</v>
      </c>
      <c r="C183" t="s">
        <v>2095</v>
      </c>
    </row>
    <row r="184" spans="1:3" x14ac:dyDescent="0.45">
      <c r="A184" t="s">
        <v>2096</v>
      </c>
      <c r="B184" t="s">
        <v>2097</v>
      </c>
      <c r="C184" t="s">
        <v>1155</v>
      </c>
    </row>
    <row r="185" spans="1:3" x14ac:dyDescent="0.45">
      <c r="A185" t="s">
        <v>2098</v>
      </c>
      <c r="B185" t="s">
        <v>2099</v>
      </c>
      <c r="C185" t="s">
        <v>2100</v>
      </c>
    </row>
    <row r="186" spans="1:3" x14ac:dyDescent="0.45">
      <c r="A186" t="s">
        <v>2101</v>
      </c>
      <c r="B186" t="s">
        <v>2102</v>
      </c>
      <c r="C186" t="s">
        <v>2103</v>
      </c>
    </row>
    <row r="187" spans="1:3" x14ac:dyDescent="0.45">
      <c r="A187" t="s">
        <v>2104</v>
      </c>
      <c r="B187" t="s">
        <v>2105</v>
      </c>
      <c r="C187" t="s">
        <v>2106</v>
      </c>
    </row>
    <row r="188" spans="1:3" x14ac:dyDescent="0.45">
      <c r="A188" t="s">
        <v>2107</v>
      </c>
      <c r="B188" t="s">
        <v>374</v>
      </c>
      <c r="C188" t="s">
        <v>1158</v>
      </c>
    </row>
    <row r="189" spans="1:3" x14ac:dyDescent="0.45">
      <c r="A189" t="s">
        <v>2108</v>
      </c>
      <c r="B189" t="s">
        <v>2109</v>
      </c>
      <c r="C189" t="s">
        <v>1159</v>
      </c>
    </row>
    <row r="190" spans="1:3" x14ac:dyDescent="0.45">
      <c r="A190" t="s">
        <v>2110</v>
      </c>
      <c r="B190" t="s">
        <v>2111</v>
      </c>
      <c r="C190" t="s">
        <v>1160</v>
      </c>
    </row>
    <row r="191" spans="1:3" x14ac:dyDescent="0.45">
      <c r="A191" t="s">
        <v>2112</v>
      </c>
      <c r="B191" t="s">
        <v>2113</v>
      </c>
      <c r="C191" t="s">
        <v>1161</v>
      </c>
    </row>
    <row r="192" spans="1:3" x14ac:dyDescent="0.45">
      <c r="A192" t="s">
        <v>2114</v>
      </c>
      <c r="B192" t="s">
        <v>2115</v>
      </c>
      <c r="C192" t="s">
        <v>1162</v>
      </c>
    </row>
    <row r="193" spans="1:3" x14ac:dyDescent="0.45">
      <c r="A193" t="s">
        <v>2116</v>
      </c>
      <c r="B193" t="s">
        <v>2117</v>
      </c>
      <c r="C193" t="s">
        <v>2118</v>
      </c>
    </row>
    <row r="194" spans="1:3" x14ac:dyDescent="0.45">
      <c r="A194" t="s">
        <v>2119</v>
      </c>
      <c r="B194" t="s">
        <v>2120</v>
      </c>
      <c r="C194" t="s">
        <v>1164</v>
      </c>
    </row>
    <row r="195" spans="1:3" x14ac:dyDescent="0.45">
      <c r="A195" t="s">
        <v>2121</v>
      </c>
      <c r="B195" t="s">
        <v>2122</v>
      </c>
      <c r="C195" t="s">
        <v>2123</v>
      </c>
    </row>
    <row r="196" spans="1:3" x14ac:dyDescent="0.45">
      <c r="A196" t="s">
        <v>2124</v>
      </c>
      <c r="B196" t="s">
        <v>2125</v>
      </c>
      <c r="C196" t="s">
        <v>2126</v>
      </c>
    </row>
    <row r="197" spans="1:3" x14ac:dyDescent="0.45">
      <c r="A197" t="s">
        <v>2127</v>
      </c>
      <c r="B197" t="s">
        <v>2128</v>
      </c>
      <c r="C197" t="s">
        <v>2129</v>
      </c>
    </row>
    <row r="198" spans="1:3" x14ac:dyDescent="0.45">
      <c r="A198" t="s">
        <v>2130</v>
      </c>
      <c r="B198" t="s">
        <v>383</v>
      </c>
      <c r="C198" t="s">
        <v>1167</v>
      </c>
    </row>
    <row r="199" spans="1:3" x14ac:dyDescent="0.45">
      <c r="A199" t="s">
        <v>2131</v>
      </c>
      <c r="B199" t="s">
        <v>2132</v>
      </c>
      <c r="C199" t="s">
        <v>1168</v>
      </c>
    </row>
    <row r="200" spans="1:3" x14ac:dyDescent="0.45">
      <c r="A200" t="s">
        <v>2133</v>
      </c>
      <c r="B200" t="s">
        <v>2134</v>
      </c>
      <c r="C200" t="s">
        <v>1169</v>
      </c>
    </row>
    <row r="201" spans="1:3" x14ac:dyDescent="0.45">
      <c r="A201" t="s">
        <v>2135</v>
      </c>
      <c r="B201" t="s">
        <v>2136</v>
      </c>
      <c r="C201" t="s">
        <v>1170</v>
      </c>
    </row>
    <row r="202" spans="1:3" x14ac:dyDescent="0.45">
      <c r="A202" t="s">
        <v>2137</v>
      </c>
      <c r="B202" t="s">
        <v>2138</v>
      </c>
      <c r="C202" t="s">
        <v>1171</v>
      </c>
    </row>
    <row r="203" spans="1:3" x14ac:dyDescent="0.45">
      <c r="A203" t="s">
        <v>2139</v>
      </c>
      <c r="B203" t="s">
        <v>2140</v>
      </c>
      <c r="C203" t="s">
        <v>2141</v>
      </c>
    </row>
    <row r="204" spans="1:3" x14ac:dyDescent="0.45">
      <c r="A204" t="s">
        <v>2142</v>
      </c>
      <c r="B204" t="s">
        <v>2143</v>
      </c>
      <c r="C204" t="s">
        <v>1174</v>
      </c>
    </row>
    <row r="205" spans="1:3" x14ac:dyDescent="0.45">
      <c r="A205" t="s">
        <v>2144</v>
      </c>
      <c r="B205" t="s">
        <v>2145</v>
      </c>
      <c r="C205" t="s">
        <v>2146</v>
      </c>
    </row>
    <row r="206" spans="1:3" x14ac:dyDescent="0.45">
      <c r="A206" t="s">
        <v>2147</v>
      </c>
      <c r="B206" t="s">
        <v>2148</v>
      </c>
      <c r="C206" t="s">
        <v>2149</v>
      </c>
    </row>
    <row r="207" spans="1:3" x14ac:dyDescent="0.45">
      <c r="A207" t="s">
        <v>2150</v>
      </c>
      <c r="B207" t="s">
        <v>2151</v>
      </c>
      <c r="C207" t="s">
        <v>2152</v>
      </c>
    </row>
    <row r="208" spans="1:3" x14ac:dyDescent="0.45">
      <c r="A208" t="s">
        <v>2153</v>
      </c>
      <c r="B208" t="s">
        <v>392</v>
      </c>
      <c r="C208" t="s">
        <v>1176</v>
      </c>
    </row>
    <row r="209" spans="1:3" x14ac:dyDescent="0.45">
      <c r="A209" t="s">
        <v>2154</v>
      </c>
      <c r="B209" t="s">
        <v>2155</v>
      </c>
      <c r="C209" t="s">
        <v>1177</v>
      </c>
    </row>
    <row r="210" spans="1:3" x14ac:dyDescent="0.45">
      <c r="A210" t="s">
        <v>2156</v>
      </c>
      <c r="B210" t="s">
        <v>2157</v>
      </c>
      <c r="C210" t="s">
        <v>1178</v>
      </c>
    </row>
    <row r="211" spans="1:3" x14ac:dyDescent="0.45">
      <c r="A211" t="s">
        <v>2158</v>
      </c>
      <c r="B211" t="s">
        <v>2159</v>
      </c>
      <c r="C211" t="s">
        <v>1179</v>
      </c>
    </row>
    <row r="212" spans="1:3" x14ac:dyDescent="0.45">
      <c r="A212" t="s">
        <v>2160</v>
      </c>
      <c r="B212" t="s">
        <v>2161</v>
      </c>
      <c r="C212" t="s">
        <v>1180</v>
      </c>
    </row>
    <row r="213" spans="1:3" x14ac:dyDescent="0.45">
      <c r="A213" t="s">
        <v>2162</v>
      </c>
      <c r="B213" t="s">
        <v>2163</v>
      </c>
      <c r="C213" t="s">
        <v>2164</v>
      </c>
    </row>
    <row r="214" spans="1:3" x14ac:dyDescent="0.45">
      <c r="A214" t="s">
        <v>2165</v>
      </c>
      <c r="B214" t="s">
        <v>2166</v>
      </c>
      <c r="C214" t="s">
        <v>1182</v>
      </c>
    </row>
    <row r="215" spans="1:3" x14ac:dyDescent="0.45">
      <c r="A215" t="s">
        <v>2167</v>
      </c>
      <c r="B215" t="s">
        <v>2168</v>
      </c>
      <c r="C215" t="s">
        <v>2169</v>
      </c>
    </row>
    <row r="216" spans="1:3" x14ac:dyDescent="0.45">
      <c r="A216" t="s">
        <v>2170</v>
      </c>
      <c r="B216" t="s">
        <v>2171</v>
      </c>
      <c r="C216" t="s">
        <v>2172</v>
      </c>
    </row>
    <row r="217" spans="1:3" x14ac:dyDescent="0.45">
      <c r="A217" t="s">
        <v>2173</v>
      </c>
      <c r="B217" t="s">
        <v>2174</v>
      </c>
      <c r="C217" t="s">
        <v>2175</v>
      </c>
    </row>
    <row r="218" spans="1:3" x14ac:dyDescent="0.45">
      <c r="A218" t="s">
        <v>2176</v>
      </c>
      <c r="B218" t="s">
        <v>489</v>
      </c>
      <c r="C218" t="s">
        <v>1266</v>
      </c>
    </row>
    <row r="219" spans="1:3" x14ac:dyDescent="0.45">
      <c r="A219" t="s">
        <v>2177</v>
      </c>
      <c r="B219" t="s">
        <v>496</v>
      </c>
      <c r="C219" t="s">
        <v>1267</v>
      </c>
    </row>
    <row r="220" spans="1:3" x14ac:dyDescent="0.45">
      <c r="A220" t="s">
        <v>2178</v>
      </c>
      <c r="B220" t="s">
        <v>501</v>
      </c>
      <c r="C220" t="s">
        <v>1268</v>
      </c>
    </row>
    <row r="221" spans="1:3" x14ac:dyDescent="0.45">
      <c r="A221" t="s">
        <v>2179</v>
      </c>
      <c r="B221" t="s">
        <v>506</v>
      </c>
      <c r="C221" t="s">
        <v>1269</v>
      </c>
    </row>
    <row r="222" spans="1:3" x14ac:dyDescent="0.45">
      <c r="A222" t="s">
        <v>2180</v>
      </c>
      <c r="B222" t="s">
        <v>513</v>
      </c>
      <c r="C222" t="s">
        <v>1270</v>
      </c>
    </row>
    <row r="223" spans="1:3" x14ac:dyDescent="0.45">
      <c r="A223" t="s">
        <v>2181</v>
      </c>
      <c r="B223" t="s">
        <v>519</v>
      </c>
      <c r="C223" t="s">
        <v>1271</v>
      </c>
    </row>
    <row r="224" spans="1:3" x14ac:dyDescent="0.45">
      <c r="A224" t="s">
        <v>2182</v>
      </c>
      <c r="B224" t="s">
        <v>2183</v>
      </c>
      <c r="C224" t="s">
        <v>2184</v>
      </c>
    </row>
    <row r="225" spans="1:3" x14ac:dyDescent="0.45">
      <c r="A225" t="s">
        <v>2185</v>
      </c>
      <c r="B225" t="s">
        <v>524</v>
      </c>
      <c r="C225" t="s">
        <v>1272</v>
      </c>
    </row>
    <row r="226" spans="1:3" x14ac:dyDescent="0.45">
      <c r="A226" t="s">
        <v>2186</v>
      </c>
      <c r="B226" t="s">
        <v>530</v>
      </c>
      <c r="C226" t="s">
        <v>1273</v>
      </c>
    </row>
    <row r="227" spans="1:3" x14ac:dyDescent="0.45">
      <c r="A227" t="s">
        <v>2187</v>
      </c>
      <c r="B227" t="s">
        <v>536</v>
      </c>
      <c r="C227" t="s">
        <v>1274</v>
      </c>
    </row>
    <row r="228" spans="1:3" x14ac:dyDescent="0.45">
      <c r="A228" t="s">
        <v>2188</v>
      </c>
      <c r="B228" t="s">
        <v>540</v>
      </c>
      <c r="C228" t="s">
        <v>1275</v>
      </c>
    </row>
    <row r="229" spans="1:3" x14ac:dyDescent="0.45">
      <c r="A229" t="s">
        <v>2189</v>
      </c>
      <c r="B229" t="s">
        <v>545</v>
      </c>
      <c r="C229" t="s">
        <v>1276</v>
      </c>
    </row>
    <row r="230" spans="1:3" x14ac:dyDescent="0.45">
      <c r="A230" t="s">
        <v>2190</v>
      </c>
      <c r="B230" t="s">
        <v>2191</v>
      </c>
      <c r="C230" t="s">
        <v>2192</v>
      </c>
    </row>
    <row r="231" spans="1:3" x14ac:dyDescent="0.45">
      <c r="A231" t="s">
        <v>2193</v>
      </c>
      <c r="B231" t="s">
        <v>252</v>
      </c>
      <c r="C231" t="s">
        <v>1080</v>
      </c>
    </row>
    <row r="232" spans="1:3" x14ac:dyDescent="0.45">
      <c r="A232" t="s">
        <v>2194</v>
      </c>
      <c r="B232" t="s">
        <v>556</v>
      </c>
      <c r="C232" t="s">
        <v>1279</v>
      </c>
    </row>
    <row r="233" spans="1:3" x14ac:dyDescent="0.45">
      <c r="A233" t="s">
        <v>2195</v>
      </c>
      <c r="B233" t="s">
        <v>560</v>
      </c>
      <c r="C233" t="s">
        <v>1280</v>
      </c>
    </row>
    <row r="234" spans="1:3" x14ac:dyDescent="0.45">
      <c r="A234" t="s">
        <v>2196</v>
      </c>
      <c r="B234" t="s">
        <v>561</v>
      </c>
      <c r="C234" t="s">
        <v>1281</v>
      </c>
    </row>
    <row r="235" spans="1:3" x14ac:dyDescent="0.45">
      <c r="A235" t="s">
        <v>2197</v>
      </c>
      <c r="B235" t="s">
        <v>562</v>
      </c>
      <c r="C235" t="s">
        <v>1282</v>
      </c>
    </row>
    <row r="236" spans="1:3" x14ac:dyDescent="0.45">
      <c r="A236" t="s">
        <v>2198</v>
      </c>
      <c r="B236" t="s">
        <v>563</v>
      </c>
      <c r="C236" t="s">
        <v>1283</v>
      </c>
    </row>
    <row r="237" spans="1:3" x14ac:dyDescent="0.45">
      <c r="A237" t="s">
        <v>2199</v>
      </c>
      <c r="B237" t="s">
        <v>564</v>
      </c>
      <c r="C237" t="s">
        <v>1284</v>
      </c>
    </row>
    <row r="238" spans="1:3" x14ac:dyDescent="0.45">
      <c r="A238" t="s">
        <v>2200</v>
      </c>
      <c r="B238" t="s">
        <v>565</v>
      </c>
      <c r="C238" t="s">
        <v>1285</v>
      </c>
    </row>
    <row r="239" spans="1:3" x14ac:dyDescent="0.45">
      <c r="A239" t="s">
        <v>2201</v>
      </c>
      <c r="B239" t="s">
        <v>566</v>
      </c>
      <c r="C239" t="s">
        <v>1286</v>
      </c>
    </row>
    <row r="240" spans="1:3" x14ac:dyDescent="0.45">
      <c r="A240" t="s">
        <v>2202</v>
      </c>
      <c r="B240" t="s">
        <v>567</v>
      </c>
      <c r="C240" t="s">
        <v>1287</v>
      </c>
    </row>
    <row r="241" spans="1:3" x14ac:dyDescent="0.45">
      <c r="A241" t="s">
        <v>2203</v>
      </c>
      <c r="B241" t="s">
        <v>568</v>
      </c>
      <c r="C241" t="s">
        <v>1288</v>
      </c>
    </row>
    <row r="242" spans="1:3" x14ac:dyDescent="0.45">
      <c r="A242" t="s">
        <v>2204</v>
      </c>
      <c r="B242" t="s">
        <v>569</v>
      </c>
      <c r="C242" t="s">
        <v>1289</v>
      </c>
    </row>
    <row r="243" spans="1:3" x14ac:dyDescent="0.45">
      <c r="A243" t="s">
        <v>2205</v>
      </c>
      <c r="B243" t="s">
        <v>570</v>
      </c>
      <c r="C243" t="s">
        <v>1290</v>
      </c>
    </row>
    <row r="244" spans="1:3" x14ac:dyDescent="0.45">
      <c r="A244" t="s">
        <v>2206</v>
      </c>
      <c r="B244" t="s">
        <v>571</v>
      </c>
      <c r="C244" t="s">
        <v>1291</v>
      </c>
    </row>
    <row r="245" spans="1:3" x14ac:dyDescent="0.45">
      <c r="A245" t="s">
        <v>2207</v>
      </c>
      <c r="B245" t="s">
        <v>572</v>
      </c>
      <c r="C245" t="s">
        <v>1292</v>
      </c>
    </row>
    <row r="246" spans="1:3" x14ac:dyDescent="0.45">
      <c r="A246" t="s">
        <v>2208</v>
      </c>
      <c r="B246" t="s">
        <v>573</v>
      </c>
      <c r="C246" t="s">
        <v>1293</v>
      </c>
    </row>
    <row r="247" spans="1:3" x14ac:dyDescent="0.45">
      <c r="A247" t="s">
        <v>2209</v>
      </c>
      <c r="B247" t="s">
        <v>574</v>
      </c>
      <c r="C247" t="s">
        <v>1294</v>
      </c>
    </row>
    <row r="248" spans="1:3" x14ac:dyDescent="0.45">
      <c r="A248" t="s">
        <v>2210</v>
      </c>
      <c r="B248" t="s">
        <v>575</v>
      </c>
      <c r="C248" t="s">
        <v>1295</v>
      </c>
    </row>
    <row r="249" spans="1:3" x14ac:dyDescent="0.45">
      <c r="A249" t="s">
        <v>2211</v>
      </c>
      <c r="B249" t="s">
        <v>576</v>
      </c>
      <c r="C249" t="s">
        <v>1296</v>
      </c>
    </row>
    <row r="250" spans="1:3" x14ac:dyDescent="0.45">
      <c r="A250" t="s">
        <v>2212</v>
      </c>
      <c r="B250" t="s">
        <v>577</v>
      </c>
      <c r="C250" t="s">
        <v>1297</v>
      </c>
    </row>
    <row r="251" spans="1:3" x14ac:dyDescent="0.45">
      <c r="A251" t="s">
        <v>2213</v>
      </c>
      <c r="B251" t="s">
        <v>578</v>
      </c>
      <c r="C251" t="s">
        <v>1298</v>
      </c>
    </row>
    <row r="252" spans="1:3" x14ac:dyDescent="0.45">
      <c r="A252" t="s">
        <v>2214</v>
      </c>
      <c r="B252" t="s">
        <v>579</v>
      </c>
      <c r="C252" t="s">
        <v>1299</v>
      </c>
    </row>
    <row r="253" spans="1:3" x14ac:dyDescent="0.45">
      <c r="A253" t="s">
        <v>2215</v>
      </c>
      <c r="B253" t="s">
        <v>580</v>
      </c>
      <c r="C253" t="s">
        <v>1300</v>
      </c>
    </row>
    <row r="254" spans="1:3" x14ac:dyDescent="0.45">
      <c r="A254" t="s">
        <v>2216</v>
      </c>
      <c r="B254" t="s">
        <v>581</v>
      </c>
      <c r="C254" t="s">
        <v>1301</v>
      </c>
    </row>
    <row r="255" spans="1:3" x14ac:dyDescent="0.45">
      <c r="A255" t="s">
        <v>2217</v>
      </c>
      <c r="B255" t="s">
        <v>582</v>
      </c>
      <c r="C255" t="s">
        <v>1302</v>
      </c>
    </row>
    <row r="256" spans="1:3" x14ac:dyDescent="0.45">
      <c r="A256" t="s">
        <v>2218</v>
      </c>
      <c r="B256" t="s">
        <v>583</v>
      </c>
      <c r="C256" t="s">
        <v>1303</v>
      </c>
    </row>
    <row r="257" spans="1:3" x14ac:dyDescent="0.45">
      <c r="A257" t="s">
        <v>2219</v>
      </c>
      <c r="B257" t="s">
        <v>585</v>
      </c>
      <c r="C257" t="s">
        <v>1304</v>
      </c>
    </row>
    <row r="258" spans="1:3" x14ac:dyDescent="0.45">
      <c r="A258" t="s">
        <v>2220</v>
      </c>
      <c r="B258" t="s">
        <v>590</v>
      </c>
      <c r="C258" t="s">
        <v>1305</v>
      </c>
    </row>
    <row r="259" spans="1:3" x14ac:dyDescent="0.45">
      <c r="A259" t="s">
        <v>2221</v>
      </c>
      <c r="B259" t="s">
        <v>591</v>
      </c>
      <c r="C259" t="s">
        <v>1306</v>
      </c>
    </row>
    <row r="260" spans="1:3" x14ac:dyDescent="0.45">
      <c r="A260" t="s">
        <v>2222</v>
      </c>
      <c r="B260" t="s">
        <v>592</v>
      </c>
      <c r="C260" t="s">
        <v>1307</v>
      </c>
    </row>
    <row r="261" spans="1:3" x14ac:dyDescent="0.45">
      <c r="A261" t="s">
        <v>2223</v>
      </c>
      <c r="B261" t="s">
        <v>593</v>
      </c>
      <c r="C261" t="s">
        <v>1308</v>
      </c>
    </row>
    <row r="262" spans="1:3" x14ac:dyDescent="0.45">
      <c r="A262" t="s">
        <v>2224</v>
      </c>
      <c r="B262" t="s">
        <v>594</v>
      </c>
      <c r="C262" t="s">
        <v>1309</v>
      </c>
    </row>
    <row r="263" spans="1:3" x14ac:dyDescent="0.45">
      <c r="A263" t="s">
        <v>2225</v>
      </c>
      <c r="B263" t="s">
        <v>595</v>
      </c>
      <c r="C263" t="s">
        <v>1310</v>
      </c>
    </row>
    <row r="264" spans="1:3" x14ac:dyDescent="0.45">
      <c r="A264" t="s">
        <v>2226</v>
      </c>
      <c r="B264" t="s">
        <v>596</v>
      </c>
      <c r="C264" t="s">
        <v>1311</v>
      </c>
    </row>
    <row r="265" spans="1:3" x14ac:dyDescent="0.45">
      <c r="A265" t="s">
        <v>2227</v>
      </c>
      <c r="B265" t="s">
        <v>597</v>
      </c>
      <c r="C265" t="s">
        <v>1312</v>
      </c>
    </row>
    <row r="266" spans="1:3" x14ac:dyDescent="0.45">
      <c r="A266" t="s">
        <v>2228</v>
      </c>
      <c r="B266" t="s">
        <v>598</v>
      </c>
      <c r="C266" t="s">
        <v>1313</v>
      </c>
    </row>
    <row r="267" spans="1:3" x14ac:dyDescent="0.45">
      <c r="A267" t="s">
        <v>2229</v>
      </c>
      <c r="B267" t="s">
        <v>599</v>
      </c>
      <c r="C267" t="s">
        <v>1314</v>
      </c>
    </row>
    <row r="268" spans="1:3" x14ac:dyDescent="0.45">
      <c r="A268" t="s">
        <v>2230</v>
      </c>
      <c r="B268" t="s">
        <v>601</v>
      </c>
      <c r="C268" t="s">
        <v>2231</v>
      </c>
    </row>
    <row r="269" spans="1:3" x14ac:dyDescent="0.45">
      <c r="A269" t="s">
        <v>2232</v>
      </c>
      <c r="B269" t="s">
        <v>88</v>
      </c>
      <c r="C269" t="s">
        <v>2233</v>
      </c>
    </row>
    <row r="270" spans="1:3" x14ac:dyDescent="0.45">
      <c r="A270" t="s">
        <v>2234</v>
      </c>
      <c r="B270" t="s">
        <v>110</v>
      </c>
      <c r="C270" t="s">
        <v>2235</v>
      </c>
    </row>
    <row r="271" spans="1:3" x14ac:dyDescent="0.45">
      <c r="A271" t="s">
        <v>2236</v>
      </c>
      <c r="B271" t="s">
        <v>133</v>
      </c>
      <c r="C271" t="s">
        <v>2237</v>
      </c>
    </row>
    <row r="272" spans="1:3" x14ac:dyDescent="0.45">
      <c r="A272" t="s">
        <v>2238</v>
      </c>
      <c r="B272" t="s">
        <v>167</v>
      </c>
      <c r="C272" t="s">
        <v>2239</v>
      </c>
    </row>
    <row r="273" spans="1:3" x14ac:dyDescent="0.45">
      <c r="A273" t="s">
        <v>2240</v>
      </c>
      <c r="B273" t="s">
        <v>200</v>
      </c>
      <c r="C273" t="s">
        <v>2241</v>
      </c>
    </row>
    <row r="274" spans="1:3" x14ac:dyDescent="0.45">
      <c r="A274" t="s">
        <v>2242</v>
      </c>
      <c r="B274" t="s">
        <v>211</v>
      </c>
      <c r="C274" t="s">
        <v>2243</v>
      </c>
    </row>
    <row r="275" spans="1:3" x14ac:dyDescent="0.45">
      <c r="A275" t="s">
        <v>2244</v>
      </c>
      <c r="B275" t="s">
        <v>610</v>
      </c>
      <c r="C275" t="s">
        <v>2245</v>
      </c>
    </row>
    <row r="276" spans="1:3" x14ac:dyDescent="0.45">
      <c r="A276" t="s">
        <v>2246</v>
      </c>
      <c r="B276" t="s">
        <v>612</v>
      </c>
      <c r="C276" t="s">
        <v>2247</v>
      </c>
    </row>
    <row r="277" spans="1:3" x14ac:dyDescent="0.45">
      <c r="A277" t="s">
        <v>2248</v>
      </c>
      <c r="B277" t="s">
        <v>614</v>
      </c>
      <c r="C277" t="s">
        <v>2249</v>
      </c>
    </row>
    <row r="278" spans="1:3" x14ac:dyDescent="0.45">
      <c r="A278" t="s">
        <v>2250</v>
      </c>
      <c r="B278" t="s">
        <v>616</v>
      </c>
      <c r="C278" t="s">
        <v>2251</v>
      </c>
    </row>
    <row r="279" spans="1:3" x14ac:dyDescent="0.45">
      <c r="A279" t="s">
        <v>2252</v>
      </c>
      <c r="B279" t="s">
        <v>618</v>
      </c>
      <c r="C279" t="s">
        <v>2253</v>
      </c>
    </row>
    <row r="280" spans="1:3" x14ac:dyDescent="0.45">
      <c r="A280" t="s">
        <v>2254</v>
      </c>
      <c r="B280" t="s">
        <v>620</v>
      </c>
      <c r="C280" t="s">
        <v>2255</v>
      </c>
    </row>
    <row r="281" spans="1:3" x14ac:dyDescent="0.45">
      <c r="A281" t="s">
        <v>2256</v>
      </c>
      <c r="B281" t="s">
        <v>622</v>
      </c>
      <c r="C281" t="s">
        <v>2257</v>
      </c>
    </row>
    <row r="282" spans="1:3" x14ac:dyDescent="0.45">
      <c r="A282" t="s">
        <v>2258</v>
      </c>
      <c r="B282" t="s">
        <v>624</v>
      </c>
      <c r="C282" t="s">
        <v>2259</v>
      </c>
    </row>
    <row r="283" spans="1:3" x14ac:dyDescent="0.45">
      <c r="A283" t="s">
        <v>2260</v>
      </c>
      <c r="B283" t="s">
        <v>298</v>
      </c>
      <c r="C283" t="s">
        <v>1343</v>
      </c>
    </row>
    <row r="284" spans="1:3" x14ac:dyDescent="0.45">
      <c r="A284" t="s">
        <v>2261</v>
      </c>
      <c r="B284" t="s">
        <v>657</v>
      </c>
      <c r="C284" t="s">
        <v>1344</v>
      </c>
    </row>
    <row r="285" spans="1:3" x14ac:dyDescent="0.45">
      <c r="A285" t="s">
        <v>2262</v>
      </c>
      <c r="B285" t="s">
        <v>658</v>
      </c>
      <c r="C285" t="s">
        <v>1345</v>
      </c>
    </row>
    <row r="286" spans="1:3" x14ac:dyDescent="0.45">
      <c r="A286" t="s">
        <v>2263</v>
      </c>
      <c r="B286" t="s">
        <v>659</v>
      </c>
      <c r="C286" t="s">
        <v>1346</v>
      </c>
    </row>
    <row r="287" spans="1:3" x14ac:dyDescent="0.45">
      <c r="A287" t="s">
        <v>2264</v>
      </c>
      <c r="B287" t="s">
        <v>660</v>
      </c>
      <c r="C287" t="s">
        <v>1347</v>
      </c>
    </row>
    <row r="288" spans="1:3" x14ac:dyDescent="0.45">
      <c r="A288" t="s">
        <v>2265</v>
      </c>
      <c r="B288" t="s">
        <v>661</v>
      </c>
      <c r="C288" t="s">
        <v>1348</v>
      </c>
    </row>
    <row r="289" spans="1:3" x14ac:dyDescent="0.45">
      <c r="A289" t="s">
        <v>2266</v>
      </c>
      <c r="B289" t="s">
        <v>662</v>
      </c>
      <c r="C289" t="s">
        <v>1349</v>
      </c>
    </row>
    <row r="290" spans="1:3" x14ac:dyDescent="0.45">
      <c r="A290" t="s">
        <v>2267</v>
      </c>
      <c r="B290" t="s">
        <v>663</v>
      </c>
      <c r="C290" t="s">
        <v>1350</v>
      </c>
    </row>
    <row r="291" spans="1:3" x14ac:dyDescent="0.45">
      <c r="A291" t="s">
        <v>2268</v>
      </c>
      <c r="B291" t="s">
        <v>664</v>
      </c>
      <c r="C291" t="s">
        <v>1351</v>
      </c>
    </row>
    <row r="292" spans="1:3" x14ac:dyDescent="0.45">
      <c r="A292" t="s">
        <v>2269</v>
      </c>
      <c r="B292" t="s">
        <v>665</v>
      </c>
      <c r="C292" t="s">
        <v>1352</v>
      </c>
    </row>
    <row r="293" spans="1:3" x14ac:dyDescent="0.45">
      <c r="A293" t="s">
        <v>2270</v>
      </c>
      <c r="B293" t="s">
        <v>666</v>
      </c>
      <c r="C293" t="s">
        <v>1353</v>
      </c>
    </row>
    <row r="294" spans="1:3" x14ac:dyDescent="0.45">
      <c r="A294" t="s">
        <v>2271</v>
      </c>
      <c r="B294" t="s">
        <v>667</v>
      </c>
      <c r="C294" t="s">
        <v>1354</v>
      </c>
    </row>
    <row r="295" spans="1:3" x14ac:dyDescent="0.45">
      <c r="A295" t="s">
        <v>2272</v>
      </c>
      <c r="B295" t="s">
        <v>668</v>
      </c>
      <c r="C295" t="s">
        <v>1355</v>
      </c>
    </row>
    <row r="296" spans="1:3" x14ac:dyDescent="0.45">
      <c r="A296" t="s">
        <v>2273</v>
      </c>
      <c r="B296" t="s">
        <v>669</v>
      </c>
      <c r="C296" t="s">
        <v>1356</v>
      </c>
    </row>
    <row r="297" spans="1:3" x14ac:dyDescent="0.45">
      <c r="A297" t="s">
        <v>2274</v>
      </c>
      <c r="B297" t="s">
        <v>670</v>
      </c>
      <c r="C297" t="s">
        <v>1357</v>
      </c>
    </row>
    <row r="298" spans="1:3" x14ac:dyDescent="0.45">
      <c r="A298" t="s">
        <v>2275</v>
      </c>
      <c r="B298" t="s">
        <v>671</v>
      </c>
      <c r="C298" t="s">
        <v>1358</v>
      </c>
    </row>
    <row r="299" spans="1:3" x14ac:dyDescent="0.45">
      <c r="A299" t="s">
        <v>2276</v>
      </c>
      <c r="B299" t="s">
        <v>672</v>
      </c>
      <c r="C299" t="s">
        <v>1359</v>
      </c>
    </row>
    <row r="300" spans="1:3" x14ac:dyDescent="0.45">
      <c r="A300" t="s">
        <v>2277</v>
      </c>
      <c r="B300" t="s">
        <v>673</v>
      </c>
      <c r="C300" t="s">
        <v>1360</v>
      </c>
    </row>
    <row r="301" spans="1:3" x14ac:dyDescent="0.45">
      <c r="A301" t="s">
        <v>2278</v>
      </c>
      <c r="B301" t="s">
        <v>674</v>
      </c>
      <c r="C301" t="s">
        <v>1361</v>
      </c>
    </row>
    <row r="302" spans="1:3" x14ac:dyDescent="0.45">
      <c r="A302" t="s">
        <v>2279</v>
      </c>
      <c r="B302" t="s">
        <v>675</v>
      </c>
      <c r="C302" t="s">
        <v>1362</v>
      </c>
    </row>
    <row r="303" spans="1:3" x14ac:dyDescent="0.45">
      <c r="A303" t="s">
        <v>2280</v>
      </c>
      <c r="B303" t="s">
        <v>676</v>
      </c>
      <c r="C303" t="s">
        <v>1363</v>
      </c>
    </row>
    <row r="304" spans="1:3" x14ac:dyDescent="0.45">
      <c r="A304" t="s">
        <v>2281</v>
      </c>
      <c r="B304" t="s">
        <v>677</v>
      </c>
      <c r="C304" t="s">
        <v>1364</v>
      </c>
    </row>
    <row r="305" spans="1:3" x14ac:dyDescent="0.45">
      <c r="A305" t="s">
        <v>2282</v>
      </c>
      <c r="B305" t="s">
        <v>678</v>
      </c>
      <c r="C305" t="s">
        <v>1365</v>
      </c>
    </row>
    <row r="306" spans="1:3" x14ac:dyDescent="0.45">
      <c r="A306" t="s">
        <v>2283</v>
      </c>
      <c r="B306" t="s">
        <v>679</v>
      </c>
      <c r="C306" t="s">
        <v>1366</v>
      </c>
    </row>
    <row r="307" spans="1:3" x14ac:dyDescent="0.45">
      <c r="A307" t="s">
        <v>2284</v>
      </c>
      <c r="B307" t="s">
        <v>680</v>
      </c>
      <c r="C307" t="s">
        <v>1367</v>
      </c>
    </row>
    <row r="308" spans="1:3" x14ac:dyDescent="0.45">
      <c r="A308" t="s">
        <v>2285</v>
      </c>
      <c r="B308" t="s">
        <v>681</v>
      </c>
      <c r="C308" t="s">
        <v>1368</v>
      </c>
    </row>
    <row r="309" spans="1:3" x14ac:dyDescent="0.45">
      <c r="A309" t="s">
        <v>2286</v>
      </c>
      <c r="B309" t="s">
        <v>682</v>
      </c>
      <c r="C309" t="s">
        <v>1369</v>
      </c>
    </row>
    <row r="310" spans="1:3" x14ac:dyDescent="0.45">
      <c r="A310" t="s">
        <v>2287</v>
      </c>
      <c r="B310" t="s">
        <v>683</v>
      </c>
      <c r="C310" t="s">
        <v>1370</v>
      </c>
    </row>
    <row r="311" spans="1:3" x14ac:dyDescent="0.45">
      <c r="A311" t="s">
        <v>2288</v>
      </c>
      <c r="B311" t="s">
        <v>684</v>
      </c>
      <c r="C311" t="s">
        <v>1371</v>
      </c>
    </row>
    <row r="312" spans="1:3" x14ac:dyDescent="0.45">
      <c r="A312" t="s">
        <v>2289</v>
      </c>
      <c r="B312" t="s">
        <v>685</v>
      </c>
      <c r="C312" t="s">
        <v>1372</v>
      </c>
    </row>
    <row r="313" spans="1:3" x14ac:dyDescent="0.45">
      <c r="A313" t="s">
        <v>2290</v>
      </c>
      <c r="B313" t="s">
        <v>686</v>
      </c>
      <c r="C313" t="s">
        <v>1373</v>
      </c>
    </row>
    <row r="314" spans="1:3" x14ac:dyDescent="0.45">
      <c r="A314" t="s">
        <v>2291</v>
      </c>
      <c r="B314" t="s">
        <v>687</v>
      </c>
      <c r="C314" t="s">
        <v>1374</v>
      </c>
    </row>
    <row r="315" spans="1:3" x14ac:dyDescent="0.45">
      <c r="A315" t="s">
        <v>2292</v>
      </c>
      <c r="B315" t="s">
        <v>688</v>
      </c>
      <c r="C315" t="s">
        <v>1375</v>
      </c>
    </row>
    <row r="316" spans="1:3" x14ac:dyDescent="0.45">
      <c r="A316" t="s">
        <v>2293</v>
      </c>
      <c r="B316" t="s">
        <v>689</v>
      </c>
      <c r="C316" t="s">
        <v>1376</v>
      </c>
    </row>
    <row r="317" spans="1:3" x14ac:dyDescent="0.45">
      <c r="A317" t="s">
        <v>2294</v>
      </c>
      <c r="B317" t="s">
        <v>690</v>
      </c>
      <c r="C317" t="s">
        <v>1377</v>
      </c>
    </row>
    <row r="318" spans="1:3" x14ac:dyDescent="0.45">
      <c r="A318" t="s">
        <v>2295</v>
      </c>
      <c r="B318" t="s">
        <v>691</v>
      </c>
      <c r="C318" t="s">
        <v>1378</v>
      </c>
    </row>
    <row r="319" spans="1:3" x14ac:dyDescent="0.45">
      <c r="A319" t="s">
        <v>2296</v>
      </c>
      <c r="B319" t="s">
        <v>692</v>
      </c>
      <c r="C319" t="s">
        <v>1379</v>
      </c>
    </row>
    <row r="320" spans="1:3" x14ac:dyDescent="0.45">
      <c r="A320" t="s">
        <v>2297</v>
      </c>
      <c r="B320" t="s">
        <v>694</v>
      </c>
      <c r="C320" t="s">
        <v>1380</v>
      </c>
    </row>
    <row r="321" spans="1:3" x14ac:dyDescent="0.45">
      <c r="A321" t="s">
        <v>2298</v>
      </c>
      <c r="B321" t="s">
        <v>698</v>
      </c>
      <c r="C321" t="s">
        <v>1381</v>
      </c>
    </row>
    <row r="322" spans="1:3" x14ac:dyDescent="0.45">
      <c r="A322" t="s">
        <v>2299</v>
      </c>
      <c r="B322" t="s">
        <v>699</v>
      </c>
      <c r="C322" t="s">
        <v>1382</v>
      </c>
    </row>
    <row r="323" spans="1:3" x14ac:dyDescent="0.45">
      <c r="A323" t="s">
        <v>2300</v>
      </c>
      <c r="B323" t="s">
        <v>700</v>
      </c>
      <c r="C323" t="s">
        <v>1383</v>
      </c>
    </row>
    <row r="324" spans="1:3" x14ac:dyDescent="0.45">
      <c r="A324" t="s">
        <v>2301</v>
      </c>
      <c r="B324" t="s">
        <v>701</v>
      </c>
      <c r="C324" t="s">
        <v>1384</v>
      </c>
    </row>
    <row r="325" spans="1:3" x14ac:dyDescent="0.45">
      <c r="A325" t="s">
        <v>2302</v>
      </c>
      <c r="B325" t="s">
        <v>2303</v>
      </c>
      <c r="C325" t="s">
        <v>1385</v>
      </c>
    </row>
    <row r="326" spans="1:3" x14ac:dyDescent="0.45">
      <c r="A326" t="s">
        <v>2304</v>
      </c>
      <c r="B326" t="s">
        <v>703</v>
      </c>
      <c r="C326" t="s">
        <v>1386</v>
      </c>
    </row>
    <row r="327" spans="1:3" x14ac:dyDescent="0.45">
      <c r="A327" t="s">
        <v>2305</v>
      </c>
      <c r="B327" t="s">
        <v>704</v>
      </c>
      <c r="C327" t="s">
        <v>1387</v>
      </c>
    </row>
    <row r="328" spans="1:3" x14ac:dyDescent="0.45">
      <c r="A328" t="s">
        <v>2306</v>
      </c>
      <c r="B328" t="s">
        <v>705</v>
      </c>
      <c r="C328" t="s">
        <v>1388</v>
      </c>
    </row>
    <row r="329" spans="1:3" x14ac:dyDescent="0.45">
      <c r="A329" t="s">
        <v>2307</v>
      </c>
      <c r="B329" t="s">
        <v>706</v>
      </c>
      <c r="C329" t="s">
        <v>1389</v>
      </c>
    </row>
    <row r="330" spans="1:3" x14ac:dyDescent="0.45">
      <c r="A330" t="s">
        <v>2308</v>
      </c>
      <c r="B330" t="s">
        <v>2309</v>
      </c>
      <c r="C330" t="s">
        <v>1390</v>
      </c>
    </row>
    <row r="331" spans="1:3" x14ac:dyDescent="0.45">
      <c r="A331" t="s">
        <v>2310</v>
      </c>
      <c r="B331" t="s">
        <v>708</v>
      </c>
      <c r="C331" t="s">
        <v>1391</v>
      </c>
    </row>
    <row r="332" spans="1:3" x14ac:dyDescent="0.45">
      <c r="A332" t="s">
        <v>2311</v>
      </c>
      <c r="B332" t="s">
        <v>709</v>
      </c>
      <c r="C332" t="s">
        <v>1392</v>
      </c>
    </row>
    <row r="333" spans="1:3" x14ac:dyDescent="0.45">
      <c r="A333" t="s">
        <v>2312</v>
      </c>
      <c r="B333" t="s">
        <v>710</v>
      </c>
      <c r="C333" t="s">
        <v>1393</v>
      </c>
    </row>
    <row r="334" spans="1:3" x14ac:dyDescent="0.45">
      <c r="A334" t="s">
        <v>2313</v>
      </c>
      <c r="B334" t="s">
        <v>713</v>
      </c>
      <c r="C334" t="s">
        <v>1394</v>
      </c>
    </row>
    <row r="335" spans="1:3" x14ac:dyDescent="0.45">
      <c r="A335" t="s">
        <v>2314</v>
      </c>
      <c r="B335" t="s">
        <v>714</v>
      </c>
      <c r="C335" t="s">
        <v>1395</v>
      </c>
    </row>
    <row r="336" spans="1:3" x14ac:dyDescent="0.45">
      <c r="A336" t="s">
        <v>2315</v>
      </c>
      <c r="B336" t="s">
        <v>715</v>
      </c>
      <c r="C336" t="s">
        <v>1396</v>
      </c>
    </row>
    <row r="337" spans="1:3" x14ac:dyDescent="0.45">
      <c r="A337" t="s">
        <v>2316</v>
      </c>
      <c r="B337" t="s">
        <v>716</v>
      </c>
      <c r="C337" t="s">
        <v>1397</v>
      </c>
    </row>
    <row r="338" spans="1:3" x14ac:dyDescent="0.45">
      <c r="A338" t="s">
        <v>2317</v>
      </c>
      <c r="B338" t="s">
        <v>717</v>
      </c>
      <c r="C338" t="s">
        <v>1398</v>
      </c>
    </row>
    <row r="339" spans="1:3" x14ac:dyDescent="0.45">
      <c r="A339" t="s">
        <v>2318</v>
      </c>
      <c r="B339" t="s">
        <v>719</v>
      </c>
      <c r="C339" t="s">
        <v>1399</v>
      </c>
    </row>
    <row r="340" spans="1:3" x14ac:dyDescent="0.45">
      <c r="A340" t="s">
        <v>2319</v>
      </c>
      <c r="B340" t="s">
        <v>724</v>
      </c>
      <c r="C340" t="s">
        <v>1400</v>
      </c>
    </row>
    <row r="341" spans="1:3" x14ac:dyDescent="0.45">
      <c r="A341" t="s">
        <v>2320</v>
      </c>
      <c r="B341" t="s">
        <v>727</v>
      </c>
      <c r="C341" t="s">
        <v>1401</v>
      </c>
    </row>
    <row r="342" spans="1:3" x14ac:dyDescent="0.45">
      <c r="A342" t="s">
        <v>2321</v>
      </c>
      <c r="B342" t="s">
        <v>730</v>
      </c>
      <c r="C342" t="s">
        <v>1402</v>
      </c>
    </row>
    <row r="343" spans="1:3" x14ac:dyDescent="0.45">
      <c r="A343" t="s">
        <v>2322</v>
      </c>
      <c r="B343" t="s">
        <v>733</v>
      </c>
      <c r="C343" t="s">
        <v>1403</v>
      </c>
    </row>
    <row r="344" spans="1:3" x14ac:dyDescent="0.45">
      <c r="A344" t="s">
        <v>2323</v>
      </c>
      <c r="B344" t="s">
        <v>736</v>
      </c>
      <c r="C344" t="s">
        <v>1404</v>
      </c>
    </row>
    <row r="345" spans="1:3" x14ac:dyDescent="0.45">
      <c r="A345" t="s">
        <v>2324</v>
      </c>
      <c r="B345" t="s">
        <v>2325</v>
      </c>
      <c r="C345" t="s">
        <v>2326</v>
      </c>
    </row>
    <row r="346" spans="1:3" x14ac:dyDescent="0.45">
      <c r="A346" t="s">
        <v>2327</v>
      </c>
      <c r="B346" t="s">
        <v>2328</v>
      </c>
      <c r="C346" t="s">
        <v>2329</v>
      </c>
    </row>
    <row r="347" spans="1:3" x14ac:dyDescent="0.45">
      <c r="A347" t="s">
        <v>2330</v>
      </c>
      <c r="B347" t="s">
        <v>2331</v>
      </c>
      <c r="C347" t="s">
        <v>2332</v>
      </c>
    </row>
    <row r="348" spans="1:3" x14ac:dyDescent="0.45">
      <c r="A348" t="s">
        <v>2333</v>
      </c>
      <c r="B348" t="s">
        <v>2334</v>
      </c>
      <c r="C348" t="s">
        <v>2335</v>
      </c>
    </row>
    <row r="349" spans="1:3" x14ac:dyDescent="0.45">
      <c r="A349" t="s">
        <v>2336</v>
      </c>
      <c r="B349" t="s">
        <v>2337</v>
      </c>
      <c r="C349" t="s">
        <v>2338</v>
      </c>
    </row>
    <row r="350" spans="1:3" x14ac:dyDescent="0.45">
      <c r="A350" t="s">
        <v>2339</v>
      </c>
      <c r="B350" t="s">
        <v>2340</v>
      </c>
      <c r="C350" t="s">
        <v>2341</v>
      </c>
    </row>
    <row r="351" spans="1:3" x14ac:dyDescent="0.45">
      <c r="A351" t="s">
        <v>2342</v>
      </c>
      <c r="B351" t="s">
        <v>2343</v>
      </c>
      <c r="C351" t="s">
        <v>2344</v>
      </c>
    </row>
    <row r="352" spans="1:3" x14ac:dyDescent="0.45">
      <c r="A352" t="s">
        <v>2345</v>
      </c>
      <c r="B352" t="s">
        <v>2346</v>
      </c>
      <c r="C352" t="s">
        <v>2347</v>
      </c>
    </row>
    <row r="353" spans="1:3" x14ac:dyDescent="0.45">
      <c r="A353" t="s">
        <v>2348</v>
      </c>
      <c r="B353" t="s">
        <v>2349</v>
      </c>
      <c r="C353" t="s">
        <v>2350</v>
      </c>
    </row>
    <row r="354" spans="1:3" x14ac:dyDescent="0.45">
      <c r="A354" t="s">
        <v>2351</v>
      </c>
      <c r="B354" t="s">
        <v>2352</v>
      </c>
      <c r="C354" t="s">
        <v>1405</v>
      </c>
    </row>
    <row r="355" spans="1:3" x14ac:dyDescent="0.45">
      <c r="A355" t="s">
        <v>2353</v>
      </c>
      <c r="B355" t="s">
        <v>2354</v>
      </c>
      <c r="C355" t="s">
        <v>1406</v>
      </c>
    </row>
    <row r="356" spans="1:3" x14ac:dyDescent="0.45">
      <c r="A356" t="s">
        <v>2355</v>
      </c>
      <c r="B356" t="s">
        <v>2356</v>
      </c>
      <c r="C356" t="s">
        <v>1407</v>
      </c>
    </row>
    <row r="357" spans="1:3" x14ac:dyDescent="0.45">
      <c r="A357" t="s">
        <v>2357</v>
      </c>
      <c r="B357" t="s">
        <v>2358</v>
      </c>
      <c r="C357" t="s">
        <v>1083</v>
      </c>
    </row>
    <row r="358" spans="1:3" x14ac:dyDescent="0.45">
      <c r="A358" t="s">
        <v>2359</v>
      </c>
      <c r="B358" t="s">
        <v>2360</v>
      </c>
      <c r="C358" t="s">
        <v>1124</v>
      </c>
    </row>
    <row r="359" spans="1:3" x14ac:dyDescent="0.45">
      <c r="A359" t="s">
        <v>2361</v>
      </c>
      <c r="B359" t="s">
        <v>2362</v>
      </c>
      <c r="C359" t="s">
        <v>1408</v>
      </c>
    </row>
    <row r="360" spans="1:3" x14ac:dyDescent="0.45">
      <c r="A360" t="s">
        <v>2363</v>
      </c>
      <c r="B360" t="s">
        <v>2364</v>
      </c>
      <c r="C360" t="s">
        <v>1409</v>
      </c>
    </row>
    <row r="361" spans="1:3" x14ac:dyDescent="0.45">
      <c r="A361" t="s">
        <v>2365</v>
      </c>
      <c r="B361" t="s">
        <v>2366</v>
      </c>
      <c r="C361" t="s">
        <v>1410</v>
      </c>
    </row>
    <row r="362" spans="1:3" x14ac:dyDescent="0.45">
      <c r="A362" t="s">
        <v>2367</v>
      </c>
      <c r="B362" t="s">
        <v>2368</v>
      </c>
      <c r="C362" t="s">
        <v>1411</v>
      </c>
    </row>
    <row r="363" spans="1:3" x14ac:dyDescent="0.45">
      <c r="A363" t="s">
        <v>2369</v>
      </c>
      <c r="B363" t="s">
        <v>2370</v>
      </c>
      <c r="C363" t="s">
        <v>1412</v>
      </c>
    </row>
    <row r="364" spans="1:3" x14ac:dyDescent="0.45">
      <c r="A364" t="s">
        <v>2371</v>
      </c>
      <c r="B364" t="s">
        <v>2372</v>
      </c>
      <c r="C364" t="s">
        <v>1413</v>
      </c>
    </row>
    <row r="365" spans="1:3" x14ac:dyDescent="0.45">
      <c r="A365" t="s">
        <v>2373</v>
      </c>
      <c r="B365" t="s">
        <v>2374</v>
      </c>
      <c r="C365" t="s">
        <v>1414</v>
      </c>
    </row>
    <row r="366" spans="1:3" x14ac:dyDescent="0.45">
      <c r="A366" t="s">
        <v>2375</v>
      </c>
      <c r="B366" t="s">
        <v>2376</v>
      </c>
      <c r="C366" t="s">
        <v>1415</v>
      </c>
    </row>
    <row r="367" spans="1:3" x14ac:dyDescent="0.45">
      <c r="A367" t="s">
        <v>2377</v>
      </c>
      <c r="B367" t="s">
        <v>2378</v>
      </c>
      <c r="C367" t="s">
        <v>1416</v>
      </c>
    </row>
    <row r="368" spans="1:3" x14ac:dyDescent="0.45">
      <c r="A368" t="s">
        <v>2379</v>
      </c>
      <c r="B368" t="s">
        <v>2380</v>
      </c>
      <c r="C368" t="s">
        <v>1417</v>
      </c>
    </row>
    <row r="369" spans="1:3" x14ac:dyDescent="0.45">
      <c r="A369" t="s">
        <v>2381</v>
      </c>
      <c r="B369" t="s">
        <v>2382</v>
      </c>
      <c r="C369" t="s">
        <v>1418</v>
      </c>
    </row>
    <row r="370" spans="1:3" x14ac:dyDescent="0.45">
      <c r="A370" t="s">
        <v>2383</v>
      </c>
      <c r="B370" t="s">
        <v>2384</v>
      </c>
      <c r="C370" t="s">
        <v>1419</v>
      </c>
    </row>
    <row r="371" spans="1:3" x14ac:dyDescent="0.45">
      <c r="A371" t="s">
        <v>2385</v>
      </c>
      <c r="B371" t="s">
        <v>2386</v>
      </c>
      <c r="C371" t="s">
        <v>1420</v>
      </c>
    </row>
    <row r="372" spans="1:3" x14ac:dyDescent="0.45">
      <c r="A372" t="s">
        <v>2387</v>
      </c>
      <c r="B372" t="s">
        <v>2388</v>
      </c>
      <c r="C372" t="s">
        <v>1421</v>
      </c>
    </row>
    <row r="373" spans="1:3" x14ac:dyDescent="0.45">
      <c r="A373" t="s">
        <v>2389</v>
      </c>
      <c r="B373" t="s">
        <v>2390</v>
      </c>
      <c r="C373" t="s">
        <v>1422</v>
      </c>
    </row>
    <row r="374" spans="1:3" x14ac:dyDescent="0.45">
      <c r="A374" t="s">
        <v>2391</v>
      </c>
      <c r="B374" t="s">
        <v>2392</v>
      </c>
      <c r="C374" t="s">
        <v>1423</v>
      </c>
    </row>
    <row r="375" spans="1:3" x14ac:dyDescent="0.45">
      <c r="A375" t="s">
        <v>2393</v>
      </c>
      <c r="B375" t="s">
        <v>2394</v>
      </c>
      <c r="C375" t="s">
        <v>1424</v>
      </c>
    </row>
    <row r="376" spans="1:3" x14ac:dyDescent="0.45">
      <c r="A376" t="s">
        <v>2395</v>
      </c>
      <c r="B376" t="s">
        <v>2396</v>
      </c>
      <c r="C376" t="s">
        <v>1425</v>
      </c>
    </row>
    <row r="377" spans="1:3" x14ac:dyDescent="0.45">
      <c r="A377" t="s">
        <v>2397</v>
      </c>
      <c r="B377" t="s">
        <v>2398</v>
      </c>
      <c r="C377" t="s">
        <v>1426</v>
      </c>
    </row>
    <row r="378" spans="1:3" x14ac:dyDescent="0.45">
      <c r="A378" t="s">
        <v>2399</v>
      </c>
      <c r="B378" t="s">
        <v>2400</v>
      </c>
      <c r="C378" t="s">
        <v>1427</v>
      </c>
    </row>
    <row r="379" spans="1:3" x14ac:dyDescent="0.45">
      <c r="A379" t="s">
        <v>2401</v>
      </c>
      <c r="B379" t="s">
        <v>2402</v>
      </c>
      <c r="C379" t="s">
        <v>1428</v>
      </c>
    </row>
    <row r="380" spans="1:3" x14ac:dyDescent="0.45">
      <c r="A380" t="s">
        <v>2403</v>
      </c>
      <c r="B380" t="s">
        <v>2404</v>
      </c>
      <c r="C380" t="s">
        <v>1429</v>
      </c>
    </row>
    <row r="381" spans="1:3" x14ac:dyDescent="0.45">
      <c r="A381" t="s">
        <v>2405</v>
      </c>
      <c r="B381" t="s">
        <v>768</v>
      </c>
      <c r="C381" t="s">
        <v>1430</v>
      </c>
    </row>
    <row r="382" spans="1:3" x14ac:dyDescent="0.45">
      <c r="A382" t="s">
        <v>2406</v>
      </c>
      <c r="B382" t="s">
        <v>772</v>
      </c>
      <c r="C382" t="s">
        <v>1431</v>
      </c>
    </row>
    <row r="383" spans="1:3" x14ac:dyDescent="0.45">
      <c r="A383" t="s">
        <v>2407</v>
      </c>
      <c r="B383" t="s">
        <v>773</v>
      </c>
      <c r="C383" t="s">
        <v>1432</v>
      </c>
    </row>
    <row r="384" spans="1:3" x14ac:dyDescent="0.45">
      <c r="A384" t="s">
        <v>2408</v>
      </c>
      <c r="B384" t="s">
        <v>774</v>
      </c>
      <c r="C384" t="s">
        <v>1433</v>
      </c>
    </row>
    <row r="385" spans="1:3" x14ac:dyDescent="0.45">
      <c r="A385" t="s">
        <v>2409</v>
      </c>
      <c r="B385" t="s">
        <v>775</v>
      </c>
      <c r="C385" t="s">
        <v>1434</v>
      </c>
    </row>
    <row r="386" spans="1:3" x14ac:dyDescent="0.45">
      <c r="A386" t="s">
        <v>2410</v>
      </c>
      <c r="B386" t="s">
        <v>776</v>
      </c>
      <c r="C386" t="s">
        <v>1435</v>
      </c>
    </row>
    <row r="387" spans="1:3" x14ac:dyDescent="0.45">
      <c r="A387" t="s">
        <v>2411</v>
      </c>
      <c r="B387" t="s">
        <v>777</v>
      </c>
      <c r="C387" t="s">
        <v>1436</v>
      </c>
    </row>
    <row r="388" spans="1:3" x14ac:dyDescent="0.45">
      <c r="A388" t="s">
        <v>2412</v>
      </c>
      <c r="B388" t="s">
        <v>778</v>
      </c>
      <c r="C388" t="s">
        <v>1437</v>
      </c>
    </row>
    <row r="389" spans="1:3" x14ac:dyDescent="0.45">
      <c r="A389" t="s">
        <v>2413</v>
      </c>
      <c r="B389" t="s">
        <v>779</v>
      </c>
      <c r="C389" t="s">
        <v>1438</v>
      </c>
    </row>
    <row r="390" spans="1:3" x14ac:dyDescent="0.45">
      <c r="A390" t="s">
        <v>2414</v>
      </c>
      <c r="B390" t="s">
        <v>780</v>
      </c>
      <c r="C390" t="s">
        <v>1439</v>
      </c>
    </row>
    <row r="391" spans="1:3" x14ac:dyDescent="0.45">
      <c r="A391" t="s">
        <v>2415</v>
      </c>
      <c r="B391" t="s">
        <v>781</v>
      </c>
      <c r="C391" t="s">
        <v>1440</v>
      </c>
    </row>
    <row r="392" spans="1:3" x14ac:dyDescent="0.45">
      <c r="A392" t="s">
        <v>2416</v>
      </c>
      <c r="B392" t="s">
        <v>782</v>
      </c>
      <c r="C392" t="s">
        <v>1441</v>
      </c>
    </row>
    <row r="393" spans="1:3" x14ac:dyDescent="0.45">
      <c r="A393" t="s">
        <v>2417</v>
      </c>
      <c r="B393" t="s">
        <v>783</v>
      </c>
      <c r="C393" t="s">
        <v>1442</v>
      </c>
    </row>
    <row r="394" spans="1:3" x14ac:dyDescent="0.45">
      <c r="A394" t="s">
        <v>2418</v>
      </c>
      <c r="B394" t="s">
        <v>784</v>
      </c>
      <c r="C394" t="s">
        <v>1443</v>
      </c>
    </row>
    <row r="395" spans="1:3" x14ac:dyDescent="0.45">
      <c r="A395" t="s">
        <v>2419</v>
      </c>
      <c r="B395" t="s">
        <v>785</v>
      </c>
      <c r="C395" t="s">
        <v>1444</v>
      </c>
    </row>
    <row r="396" spans="1:3" x14ac:dyDescent="0.45">
      <c r="A396" t="s">
        <v>2420</v>
      </c>
      <c r="B396" t="s">
        <v>786</v>
      </c>
      <c r="C396" t="s">
        <v>1445</v>
      </c>
    </row>
    <row r="397" spans="1:3" x14ac:dyDescent="0.45">
      <c r="A397" t="s">
        <v>2421</v>
      </c>
      <c r="B397" t="s">
        <v>787</v>
      </c>
      <c r="C397" t="s">
        <v>1446</v>
      </c>
    </row>
    <row r="398" spans="1:3" x14ac:dyDescent="0.45">
      <c r="A398" t="s">
        <v>2422</v>
      </c>
      <c r="B398" t="s">
        <v>788</v>
      </c>
      <c r="C398" t="s">
        <v>1447</v>
      </c>
    </row>
    <row r="399" spans="1:3" x14ac:dyDescent="0.45">
      <c r="A399" t="s">
        <v>2423</v>
      </c>
      <c r="B399" t="s">
        <v>789</v>
      </c>
      <c r="C399" t="s">
        <v>1448</v>
      </c>
    </row>
    <row r="400" spans="1:3" x14ac:dyDescent="0.45">
      <c r="A400" t="s">
        <v>2424</v>
      </c>
      <c r="B400" t="s">
        <v>790</v>
      </c>
      <c r="C400" t="s">
        <v>1449</v>
      </c>
    </row>
    <row r="401" spans="1:3" x14ac:dyDescent="0.45">
      <c r="A401" t="s">
        <v>2425</v>
      </c>
      <c r="B401" t="s">
        <v>791</v>
      </c>
      <c r="C401" t="s">
        <v>1450</v>
      </c>
    </row>
    <row r="402" spans="1:3" x14ac:dyDescent="0.45">
      <c r="A402" t="s">
        <v>2426</v>
      </c>
      <c r="B402" t="s">
        <v>792</v>
      </c>
      <c r="C402" t="s">
        <v>1451</v>
      </c>
    </row>
    <row r="403" spans="1:3" x14ac:dyDescent="0.45">
      <c r="A403" t="s">
        <v>2427</v>
      </c>
      <c r="B403" t="s">
        <v>793</v>
      </c>
      <c r="C403" t="s">
        <v>1452</v>
      </c>
    </row>
    <row r="404" spans="1:3" x14ac:dyDescent="0.45">
      <c r="A404" t="s">
        <v>2428</v>
      </c>
      <c r="B404" t="s">
        <v>794</v>
      </c>
      <c r="C404" t="s">
        <v>1453</v>
      </c>
    </row>
    <row r="405" spans="1:3" x14ac:dyDescent="0.45">
      <c r="A405" t="s">
        <v>2429</v>
      </c>
      <c r="B405" t="s">
        <v>2430</v>
      </c>
      <c r="C405" t="s">
        <v>2431</v>
      </c>
    </row>
    <row r="406" spans="1:3" x14ac:dyDescent="0.45">
      <c r="A406" t="s">
        <v>2432</v>
      </c>
      <c r="B406" t="s">
        <v>2433</v>
      </c>
      <c r="C406" t="s">
        <v>2434</v>
      </c>
    </row>
    <row r="407" spans="1:3" x14ac:dyDescent="0.45">
      <c r="A407" t="s">
        <v>2435</v>
      </c>
      <c r="B407" t="s">
        <v>2436</v>
      </c>
      <c r="C407" t="s">
        <v>2437</v>
      </c>
    </row>
    <row r="408" spans="1:3" x14ac:dyDescent="0.45">
      <c r="A408" t="s">
        <v>2438</v>
      </c>
      <c r="B408" t="s">
        <v>2439</v>
      </c>
      <c r="C408" t="s">
        <v>2440</v>
      </c>
    </row>
    <row r="409" spans="1:3" x14ac:dyDescent="0.45">
      <c r="A409" t="s">
        <v>2441</v>
      </c>
      <c r="B409" t="s">
        <v>2442</v>
      </c>
      <c r="C409" t="s">
        <v>2443</v>
      </c>
    </row>
    <row r="410" spans="1:3" x14ac:dyDescent="0.45">
      <c r="A410" t="s">
        <v>2444</v>
      </c>
      <c r="B410" t="s">
        <v>2445</v>
      </c>
      <c r="C410" t="s">
        <v>2446</v>
      </c>
    </row>
    <row r="411" spans="1:3" x14ac:dyDescent="0.45">
      <c r="A411" t="s">
        <v>2447</v>
      </c>
      <c r="B411" t="s">
        <v>2448</v>
      </c>
      <c r="C411" t="s">
        <v>2449</v>
      </c>
    </row>
    <row r="412" spans="1:3" x14ac:dyDescent="0.45">
      <c r="A412" t="s">
        <v>2450</v>
      </c>
      <c r="B412" t="s">
        <v>2451</v>
      </c>
      <c r="C412" t="s">
        <v>2452</v>
      </c>
    </row>
    <row r="413" spans="1:3" x14ac:dyDescent="0.45">
      <c r="A413" t="s">
        <v>2453</v>
      </c>
      <c r="B413" t="s">
        <v>2454</v>
      </c>
      <c r="C413" t="s">
        <v>2455</v>
      </c>
    </row>
    <row r="414" spans="1:3" x14ac:dyDescent="0.45">
      <c r="A414" t="s">
        <v>2456</v>
      </c>
      <c r="B414" t="s">
        <v>2457</v>
      </c>
      <c r="C414" t="s">
        <v>2458</v>
      </c>
    </row>
    <row r="415" spans="1:3" x14ac:dyDescent="0.45">
      <c r="A415" t="s">
        <v>2459</v>
      </c>
      <c r="B415" t="s">
        <v>2460</v>
      </c>
      <c r="C415" t="s">
        <v>2461</v>
      </c>
    </row>
    <row r="416" spans="1:3" x14ac:dyDescent="0.45">
      <c r="A416" t="s">
        <v>2462</v>
      </c>
      <c r="B416" t="s">
        <v>2463</v>
      </c>
      <c r="C416" t="s">
        <v>2464</v>
      </c>
    </row>
    <row r="417" spans="1:3" x14ac:dyDescent="0.45">
      <c r="A417" t="s">
        <v>2465</v>
      </c>
      <c r="B417" t="s">
        <v>2466</v>
      </c>
      <c r="C417" t="s">
        <v>2467</v>
      </c>
    </row>
    <row r="418" spans="1:3" x14ac:dyDescent="0.45">
      <c r="A418" t="s">
        <v>2468</v>
      </c>
      <c r="B418" t="s">
        <v>2469</v>
      </c>
      <c r="C418" t="s">
        <v>2470</v>
      </c>
    </row>
    <row r="419" spans="1:3" x14ac:dyDescent="0.45">
      <c r="A419" t="s">
        <v>2471</v>
      </c>
      <c r="B419" t="s">
        <v>796</v>
      </c>
      <c r="C419" t="s">
        <v>2472</v>
      </c>
    </row>
    <row r="420" spans="1:3" x14ac:dyDescent="0.45">
      <c r="A420" t="s">
        <v>2473</v>
      </c>
      <c r="B420" t="s">
        <v>242</v>
      </c>
      <c r="C420" t="s">
        <v>2474</v>
      </c>
    </row>
    <row r="421" spans="1:3" x14ac:dyDescent="0.45">
      <c r="A421" t="s">
        <v>2475</v>
      </c>
      <c r="B421" t="s">
        <v>799</v>
      </c>
      <c r="C421" t="s">
        <v>2476</v>
      </c>
    </row>
    <row r="422" spans="1:3" x14ac:dyDescent="0.45">
      <c r="A422" t="s">
        <v>2477</v>
      </c>
      <c r="B422" t="s">
        <v>800</v>
      </c>
      <c r="C422" t="s">
        <v>2478</v>
      </c>
    </row>
    <row r="423" spans="1:3" x14ac:dyDescent="0.45">
      <c r="A423" t="s">
        <v>2479</v>
      </c>
      <c r="B423" t="s">
        <v>802</v>
      </c>
      <c r="C423" t="s">
        <v>2480</v>
      </c>
    </row>
    <row r="424" spans="1:3" x14ac:dyDescent="0.45">
      <c r="A424" t="s">
        <v>2481</v>
      </c>
      <c r="B424" t="s">
        <v>805</v>
      </c>
      <c r="C424" t="s">
        <v>2482</v>
      </c>
    </row>
    <row r="425" spans="1:3" x14ac:dyDescent="0.45">
      <c r="A425" t="s">
        <v>2483</v>
      </c>
      <c r="B425" t="s">
        <v>806</v>
      </c>
      <c r="C425" t="s">
        <v>2484</v>
      </c>
    </row>
    <row r="426" spans="1:3" x14ac:dyDescent="0.45">
      <c r="A426" t="s">
        <v>2485</v>
      </c>
      <c r="B426" t="s">
        <v>807</v>
      </c>
      <c r="C426" t="s">
        <v>2486</v>
      </c>
    </row>
    <row r="427" spans="1:3" x14ac:dyDescent="0.45">
      <c r="A427" t="s">
        <v>2487</v>
      </c>
      <c r="B427" t="s">
        <v>808</v>
      </c>
      <c r="C427" t="s">
        <v>2488</v>
      </c>
    </row>
    <row r="428" spans="1:3" x14ac:dyDescent="0.45">
      <c r="A428" t="s">
        <v>2489</v>
      </c>
      <c r="B428" t="s">
        <v>809</v>
      </c>
      <c r="C428" t="s">
        <v>2490</v>
      </c>
    </row>
    <row r="429" spans="1:3" x14ac:dyDescent="0.45">
      <c r="A429" t="s">
        <v>2491</v>
      </c>
      <c r="B429" t="s">
        <v>810</v>
      </c>
      <c r="C429" t="s">
        <v>2492</v>
      </c>
    </row>
    <row r="430" spans="1:3" x14ac:dyDescent="0.45">
      <c r="A430" t="s">
        <v>2493</v>
      </c>
      <c r="B430" t="s">
        <v>813</v>
      </c>
      <c r="C430" t="s">
        <v>2494</v>
      </c>
    </row>
    <row r="431" spans="1:3" x14ac:dyDescent="0.45">
      <c r="A431" t="s">
        <v>2495</v>
      </c>
      <c r="B431" t="s">
        <v>814</v>
      </c>
      <c r="C431" t="s">
        <v>2496</v>
      </c>
    </row>
    <row r="432" spans="1:3" x14ac:dyDescent="0.45">
      <c r="A432" t="s">
        <v>2497</v>
      </c>
      <c r="B432" t="s">
        <v>815</v>
      </c>
      <c r="C432" t="s">
        <v>2498</v>
      </c>
    </row>
    <row r="433" spans="1:3" x14ac:dyDescent="0.45">
      <c r="A433" t="s">
        <v>2499</v>
      </c>
      <c r="B433" t="s">
        <v>816</v>
      </c>
      <c r="C433" t="s">
        <v>2500</v>
      </c>
    </row>
    <row r="434" spans="1:3" x14ac:dyDescent="0.45">
      <c r="A434" t="s">
        <v>2501</v>
      </c>
      <c r="B434" t="s">
        <v>817</v>
      </c>
      <c r="C434" t="s">
        <v>2502</v>
      </c>
    </row>
    <row r="435" spans="1:3" x14ac:dyDescent="0.45">
      <c r="A435" t="s">
        <v>2503</v>
      </c>
      <c r="B435" t="s">
        <v>818</v>
      </c>
      <c r="C435" t="s">
        <v>2504</v>
      </c>
    </row>
    <row r="436" spans="1:3" x14ac:dyDescent="0.45">
      <c r="A436" t="s">
        <v>2505</v>
      </c>
      <c r="B436" t="s">
        <v>821</v>
      </c>
      <c r="C436" t="s">
        <v>2506</v>
      </c>
    </row>
    <row r="437" spans="1:3" x14ac:dyDescent="0.45">
      <c r="A437" t="s">
        <v>2507</v>
      </c>
      <c r="B437" t="s">
        <v>822</v>
      </c>
      <c r="C437" t="s">
        <v>2508</v>
      </c>
    </row>
    <row r="438" spans="1:3" x14ac:dyDescent="0.45">
      <c r="A438" t="s">
        <v>2509</v>
      </c>
      <c r="B438" t="s">
        <v>823</v>
      </c>
      <c r="C438" t="s">
        <v>2510</v>
      </c>
    </row>
    <row r="439" spans="1:3" x14ac:dyDescent="0.45">
      <c r="A439" t="s">
        <v>2511</v>
      </c>
      <c r="B439" t="s">
        <v>824</v>
      </c>
      <c r="C439" t="s">
        <v>2512</v>
      </c>
    </row>
    <row r="440" spans="1:3" x14ac:dyDescent="0.45">
      <c r="A440" t="s">
        <v>2513</v>
      </c>
      <c r="B440" t="s">
        <v>825</v>
      </c>
      <c r="C440" t="s">
        <v>2514</v>
      </c>
    </row>
    <row r="441" spans="1:3" x14ac:dyDescent="0.45">
      <c r="A441" t="s">
        <v>2515</v>
      </c>
      <c r="B441" t="s">
        <v>826</v>
      </c>
      <c r="C441" t="s">
        <v>2516</v>
      </c>
    </row>
    <row r="442" spans="1:3" x14ac:dyDescent="0.45">
      <c r="A442" t="s">
        <v>2517</v>
      </c>
      <c r="B442" t="s">
        <v>829</v>
      </c>
      <c r="C442" t="s">
        <v>2518</v>
      </c>
    </row>
    <row r="443" spans="1:3" x14ac:dyDescent="0.45">
      <c r="A443" t="s">
        <v>2519</v>
      </c>
      <c r="B443" t="s">
        <v>830</v>
      </c>
      <c r="C443" t="s">
        <v>2520</v>
      </c>
    </row>
    <row r="444" spans="1:3" x14ac:dyDescent="0.45">
      <c r="A444" t="s">
        <v>2521</v>
      </c>
      <c r="B444" t="s">
        <v>831</v>
      </c>
      <c r="C444" t="s">
        <v>2522</v>
      </c>
    </row>
    <row r="445" spans="1:3" x14ac:dyDescent="0.45">
      <c r="A445" t="s">
        <v>2523</v>
      </c>
      <c r="B445" t="s">
        <v>832</v>
      </c>
      <c r="C445" t="s">
        <v>2524</v>
      </c>
    </row>
    <row r="446" spans="1:3" x14ac:dyDescent="0.45">
      <c r="A446" t="s">
        <v>2525</v>
      </c>
      <c r="B446" t="s">
        <v>833</v>
      </c>
      <c r="C446" t="s">
        <v>2526</v>
      </c>
    </row>
    <row r="447" spans="1:3" x14ac:dyDescent="0.45">
      <c r="A447" t="s">
        <v>2527</v>
      </c>
      <c r="B447" t="s">
        <v>834</v>
      </c>
      <c r="C447" t="s">
        <v>2528</v>
      </c>
    </row>
    <row r="448" spans="1:3" x14ac:dyDescent="0.45">
      <c r="A448" t="s">
        <v>2529</v>
      </c>
      <c r="B448" t="s">
        <v>837</v>
      </c>
      <c r="C448" t="s">
        <v>2530</v>
      </c>
    </row>
    <row r="449" spans="1:3" x14ac:dyDescent="0.45">
      <c r="A449" t="s">
        <v>2531</v>
      </c>
      <c r="B449" t="s">
        <v>838</v>
      </c>
      <c r="C449" t="s">
        <v>2532</v>
      </c>
    </row>
    <row r="450" spans="1:3" x14ac:dyDescent="0.45">
      <c r="A450" t="s">
        <v>2533</v>
      </c>
      <c r="B450" t="s">
        <v>839</v>
      </c>
      <c r="C450" t="s">
        <v>2534</v>
      </c>
    </row>
    <row r="451" spans="1:3" x14ac:dyDescent="0.45">
      <c r="A451" t="s">
        <v>2535</v>
      </c>
      <c r="B451" t="s">
        <v>840</v>
      </c>
      <c r="C451" t="s">
        <v>2536</v>
      </c>
    </row>
    <row r="452" spans="1:3" x14ac:dyDescent="0.45">
      <c r="A452" t="s">
        <v>2537</v>
      </c>
      <c r="B452" t="s">
        <v>841</v>
      </c>
      <c r="C452" t="s">
        <v>2538</v>
      </c>
    </row>
    <row r="453" spans="1:3" x14ac:dyDescent="0.45">
      <c r="A453" t="s">
        <v>2539</v>
      </c>
      <c r="B453" t="s">
        <v>842</v>
      </c>
      <c r="C453" t="s">
        <v>2540</v>
      </c>
    </row>
    <row r="454" spans="1:3" x14ac:dyDescent="0.45">
      <c r="A454" t="s">
        <v>2541</v>
      </c>
      <c r="B454" t="s">
        <v>845</v>
      </c>
      <c r="C454" t="s">
        <v>2542</v>
      </c>
    </row>
    <row r="455" spans="1:3" x14ac:dyDescent="0.45">
      <c r="A455" t="s">
        <v>2543</v>
      </c>
      <c r="B455" t="s">
        <v>846</v>
      </c>
      <c r="C455" t="s">
        <v>2544</v>
      </c>
    </row>
    <row r="456" spans="1:3" x14ac:dyDescent="0.45">
      <c r="A456" t="s">
        <v>2545</v>
      </c>
      <c r="B456" t="s">
        <v>847</v>
      </c>
      <c r="C456" t="s">
        <v>2546</v>
      </c>
    </row>
    <row r="457" spans="1:3" x14ac:dyDescent="0.45">
      <c r="A457" t="s">
        <v>2547</v>
      </c>
      <c r="B457" t="s">
        <v>848</v>
      </c>
      <c r="C457" t="s">
        <v>2548</v>
      </c>
    </row>
    <row r="458" spans="1:3" x14ac:dyDescent="0.45">
      <c r="A458" t="s">
        <v>2549</v>
      </c>
      <c r="B458" t="s">
        <v>849</v>
      </c>
      <c r="C458" t="s">
        <v>2550</v>
      </c>
    </row>
    <row r="459" spans="1:3" x14ac:dyDescent="0.45">
      <c r="A459" t="s">
        <v>2551</v>
      </c>
      <c r="B459" t="s">
        <v>2552</v>
      </c>
      <c r="C459" t="s">
        <v>2553</v>
      </c>
    </row>
    <row r="460" spans="1:3" x14ac:dyDescent="0.45">
      <c r="A460" t="s">
        <v>2554</v>
      </c>
      <c r="B460" t="s">
        <v>2555</v>
      </c>
      <c r="C460" t="s">
        <v>2556</v>
      </c>
    </row>
    <row r="461" spans="1:3" x14ac:dyDescent="0.45">
      <c r="A461" t="s">
        <v>2557</v>
      </c>
      <c r="B461" t="s">
        <v>2558</v>
      </c>
      <c r="C461" t="s">
        <v>2559</v>
      </c>
    </row>
    <row r="462" spans="1:3" x14ac:dyDescent="0.45">
      <c r="A462" t="s">
        <v>2560</v>
      </c>
      <c r="B462" t="s">
        <v>2561</v>
      </c>
      <c r="C462" t="s">
        <v>2562</v>
      </c>
    </row>
    <row r="463" spans="1:3" x14ac:dyDescent="0.45">
      <c r="A463" t="s">
        <v>2563</v>
      </c>
      <c r="B463" t="s">
        <v>2564</v>
      </c>
      <c r="C463" t="s">
        <v>2565</v>
      </c>
    </row>
    <row r="464" spans="1:3" x14ac:dyDescent="0.45">
      <c r="A464" t="s">
        <v>2566</v>
      </c>
      <c r="B464" t="s">
        <v>2567</v>
      </c>
      <c r="C464" t="s">
        <v>2568</v>
      </c>
    </row>
    <row r="465" spans="1:3" x14ac:dyDescent="0.45">
      <c r="A465" t="s">
        <v>2569</v>
      </c>
      <c r="B465" t="s">
        <v>2570</v>
      </c>
      <c r="C465" t="s">
        <v>2571</v>
      </c>
    </row>
    <row r="466" spans="1:3" x14ac:dyDescent="0.45">
      <c r="A466" t="s">
        <v>2572</v>
      </c>
      <c r="B466" t="s">
        <v>2573</v>
      </c>
      <c r="C466" t="s">
        <v>2574</v>
      </c>
    </row>
    <row r="467" spans="1:3" x14ac:dyDescent="0.45">
      <c r="A467" t="s">
        <v>2575</v>
      </c>
      <c r="B467" t="s">
        <v>2576</v>
      </c>
      <c r="C467" t="s">
        <v>2577</v>
      </c>
    </row>
    <row r="468" spans="1:3" x14ac:dyDescent="0.45">
      <c r="A468" t="s">
        <v>2578</v>
      </c>
      <c r="B468" t="s">
        <v>2579</v>
      </c>
      <c r="C468" t="s">
        <v>2580</v>
      </c>
    </row>
    <row r="469" spans="1:3" x14ac:dyDescent="0.45">
      <c r="A469" t="s">
        <v>2581</v>
      </c>
      <c r="B469" t="s">
        <v>2582</v>
      </c>
      <c r="C469" t="s">
        <v>2583</v>
      </c>
    </row>
    <row r="470" spans="1:3" x14ac:dyDescent="0.45">
      <c r="A470" t="s">
        <v>2584</v>
      </c>
      <c r="B470" t="s">
        <v>2585</v>
      </c>
      <c r="C470" t="s">
        <v>2586</v>
      </c>
    </row>
    <row r="471" spans="1:3" x14ac:dyDescent="0.45">
      <c r="A471" t="s">
        <v>2587</v>
      </c>
      <c r="B471" t="s">
        <v>2588</v>
      </c>
      <c r="C471" t="s">
        <v>2589</v>
      </c>
    </row>
    <row r="472" spans="1:3" x14ac:dyDescent="0.45">
      <c r="A472" t="s">
        <v>2590</v>
      </c>
      <c r="B472" t="s">
        <v>2591</v>
      </c>
      <c r="C472" t="s">
        <v>2592</v>
      </c>
    </row>
    <row r="473" spans="1:3" x14ac:dyDescent="0.45">
      <c r="A473" t="s">
        <v>2593</v>
      </c>
      <c r="B473" t="s">
        <v>2594</v>
      </c>
      <c r="C473" t="s">
        <v>2595</v>
      </c>
    </row>
    <row r="474" spans="1:3" x14ac:dyDescent="0.45">
      <c r="A474" t="s">
        <v>2596</v>
      </c>
      <c r="B474" t="s">
        <v>2597</v>
      </c>
      <c r="C474" t="s">
        <v>2598</v>
      </c>
    </row>
    <row r="475" spans="1:3" x14ac:dyDescent="0.45">
      <c r="A475" t="s">
        <v>2599</v>
      </c>
      <c r="B475" t="s">
        <v>2600</v>
      </c>
      <c r="C475" t="s">
        <v>2601</v>
      </c>
    </row>
    <row r="476" spans="1:3" x14ac:dyDescent="0.45">
      <c r="A476" t="s">
        <v>2602</v>
      </c>
      <c r="B476" t="s">
        <v>2603</v>
      </c>
      <c r="C476" t="s">
        <v>2604</v>
      </c>
    </row>
    <row r="477" spans="1:3" x14ac:dyDescent="0.45">
      <c r="A477" t="s">
        <v>2605</v>
      </c>
      <c r="B477" t="s">
        <v>2606</v>
      </c>
      <c r="C477" t="s">
        <v>2607</v>
      </c>
    </row>
    <row r="478" spans="1:3" x14ac:dyDescent="0.45">
      <c r="A478" t="s">
        <v>2608</v>
      </c>
      <c r="B478" t="s">
        <v>2609</v>
      </c>
      <c r="C478" t="s">
        <v>2610</v>
      </c>
    </row>
    <row r="479" spans="1:3" x14ac:dyDescent="0.45">
      <c r="A479" t="s">
        <v>2611</v>
      </c>
      <c r="B479" t="s">
        <v>2612</v>
      </c>
      <c r="C479" t="s">
        <v>2613</v>
      </c>
    </row>
    <row r="480" spans="1:3" x14ac:dyDescent="0.45">
      <c r="A480" t="s">
        <v>2614</v>
      </c>
      <c r="B480" t="s">
        <v>2615</v>
      </c>
      <c r="C480" t="s">
        <v>2616</v>
      </c>
    </row>
    <row r="481" spans="1:3" x14ac:dyDescent="0.45">
      <c r="A481" t="s">
        <v>2617</v>
      </c>
      <c r="B481" t="s">
        <v>2618</v>
      </c>
      <c r="C481" t="s">
        <v>2619</v>
      </c>
    </row>
    <row r="482" spans="1:3" x14ac:dyDescent="0.45">
      <c r="A482" t="s">
        <v>2620</v>
      </c>
      <c r="B482" t="s">
        <v>2621</v>
      </c>
      <c r="C482" t="s">
        <v>2622</v>
      </c>
    </row>
    <row r="483" spans="1:3" x14ac:dyDescent="0.45">
      <c r="A483" t="s">
        <v>2623</v>
      </c>
      <c r="B483" t="s">
        <v>2624</v>
      </c>
      <c r="C483" t="s">
        <v>2625</v>
      </c>
    </row>
    <row r="484" spans="1:3" x14ac:dyDescent="0.45">
      <c r="A484" t="s">
        <v>2626</v>
      </c>
      <c r="B484" t="s">
        <v>2627</v>
      </c>
      <c r="C484" t="s">
        <v>2628</v>
      </c>
    </row>
    <row r="485" spans="1:3" x14ac:dyDescent="0.45">
      <c r="A485" t="s">
        <v>2629</v>
      </c>
      <c r="B485" t="s">
        <v>2630</v>
      </c>
      <c r="C485" t="s">
        <v>2631</v>
      </c>
    </row>
    <row r="486" spans="1:3" x14ac:dyDescent="0.45">
      <c r="A486" t="s">
        <v>2632</v>
      </c>
      <c r="B486" t="s">
        <v>2633</v>
      </c>
      <c r="C486" t="s">
        <v>2634</v>
      </c>
    </row>
    <row r="487" spans="1:3" x14ac:dyDescent="0.45">
      <c r="A487" t="s">
        <v>2635</v>
      </c>
      <c r="B487" t="s">
        <v>2636</v>
      </c>
      <c r="C487" t="s">
        <v>2637</v>
      </c>
    </row>
    <row r="488" spans="1:3" x14ac:dyDescent="0.45">
      <c r="A488" t="s">
        <v>2638</v>
      </c>
      <c r="B488" t="s">
        <v>2639</v>
      </c>
      <c r="C488" t="s">
        <v>2640</v>
      </c>
    </row>
    <row r="489" spans="1:3" x14ac:dyDescent="0.45">
      <c r="A489" t="s">
        <v>2641</v>
      </c>
      <c r="B489" t="s">
        <v>2642</v>
      </c>
      <c r="C489" t="s">
        <v>2643</v>
      </c>
    </row>
    <row r="490" spans="1:3" x14ac:dyDescent="0.45">
      <c r="A490" t="s">
        <v>2644</v>
      </c>
      <c r="B490" t="s">
        <v>2645</v>
      </c>
      <c r="C490" t="s">
        <v>2646</v>
      </c>
    </row>
    <row r="491" spans="1:3" x14ac:dyDescent="0.45">
      <c r="A491" t="s">
        <v>2647</v>
      </c>
      <c r="B491" t="s">
        <v>2648</v>
      </c>
      <c r="C491" t="s">
        <v>2649</v>
      </c>
    </row>
    <row r="492" spans="1:3" x14ac:dyDescent="0.45">
      <c r="A492" t="s">
        <v>2650</v>
      </c>
      <c r="B492" t="s">
        <v>2651</v>
      </c>
      <c r="C492" t="s">
        <v>2652</v>
      </c>
    </row>
    <row r="493" spans="1:3" x14ac:dyDescent="0.45">
      <c r="A493" t="s">
        <v>2653</v>
      </c>
      <c r="B493" t="s">
        <v>2654</v>
      </c>
      <c r="C493" t="s">
        <v>2655</v>
      </c>
    </row>
    <row r="494" spans="1:3" x14ac:dyDescent="0.45">
      <c r="A494" t="s">
        <v>2656</v>
      </c>
      <c r="B494" t="s">
        <v>2657</v>
      </c>
      <c r="C494" t="s">
        <v>2658</v>
      </c>
    </row>
    <row r="495" spans="1:3" x14ac:dyDescent="0.45">
      <c r="A495" t="s">
        <v>2659</v>
      </c>
      <c r="B495" t="s">
        <v>2660</v>
      </c>
      <c r="C495" t="s">
        <v>2661</v>
      </c>
    </row>
    <row r="496" spans="1:3" x14ac:dyDescent="0.45">
      <c r="A496" t="s">
        <v>2662</v>
      </c>
      <c r="B496" t="s">
        <v>2663</v>
      </c>
      <c r="C496" t="s">
        <v>2664</v>
      </c>
    </row>
    <row r="497" spans="1:3" x14ac:dyDescent="0.45">
      <c r="A497" t="s">
        <v>2665</v>
      </c>
      <c r="B497" t="s">
        <v>2666</v>
      </c>
      <c r="C497" t="s">
        <v>2667</v>
      </c>
    </row>
    <row r="498" spans="1:3" x14ac:dyDescent="0.45">
      <c r="A498" t="s">
        <v>2668</v>
      </c>
      <c r="B498" t="s">
        <v>2669</v>
      </c>
      <c r="C498" t="s">
        <v>2670</v>
      </c>
    </row>
    <row r="499" spans="1:3" x14ac:dyDescent="0.45">
      <c r="A499" t="s">
        <v>2671</v>
      </c>
      <c r="B499" t="s">
        <v>2672</v>
      </c>
      <c r="C499" t="s">
        <v>2673</v>
      </c>
    </row>
    <row r="500" spans="1:3" x14ac:dyDescent="0.45">
      <c r="A500" t="s">
        <v>2674</v>
      </c>
      <c r="B500" t="s">
        <v>2675</v>
      </c>
      <c r="C500" t="s">
        <v>2676</v>
      </c>
    </row>
    <row r="501" spans="1:3" x14ac:dyDescent="0.45">
      <c r="A501" t="s">
        <v>2677</v>
      </c>
      <c r="B501" t="s">
        <v>2678</v>
      </c>
      <c r="C501" t="s">
        <v>2679</v>
      </c>
    </row>
    <row r="502" spans="1:3" x14ac:dyDescent="0.45">
      <c r="A502" t="s">
        <v>2680</v>
      </c>
      <c r="B502" t="s">
        <v>2681</v>
      </c>
      <c r="C502" t="s">
        <v>2682</v>
      </c>
    </row>
    <row r="503" spans="1:3" x14ac:dyDescent="0.45">
      <c r="A503" t="s">
        <v>2683</v>
      </c>
      <c r="B503" t="s">
        <v>2684</v>
      </c>
      <c r="C503" t="s">
        <v>2685</v>
      </c>
    </row>
    <row r="504" spans="1:3" x14ac:dyDescent="0.45">
      <c r="A504" t="s">
        <v>2686</v>
      </c>
      <c r="B504" t="s">
        <v>2687</v>
      </c>
      <c r="C504" t="s">
        <v>2688</v>
      </c>
    </row>
    <row r="505" spans="1:3" x14ac:dyDescent="0.45">
      <c r="A505" t="s">
        <v>2689</v>
      </c>
      <c r="B505" t="s">
        <v>2690</v>
      </c>
      <c r="C505" t="s">
        <v>2691</v>
      </c>
    </row>
    <row r="506" spans="1:3" x14ac:dyDescent="0.45">
      <c r="A506" t="s">
        <v>2692</v>
      </c>
      <c r="B506" t="s">
        <v>2693</v>
      </c>
      <c r="C506" t="s">
        <v>2694</v>
      </c>
    </row>
    <row r="507" spans="1:3" x14ac:dyDescent="0.45">
      <c r="A507" t="s">
        <v>2695</v>
      </c>
      <c r="B507" t="s">
        <v>2696</v>
      </c>
      <c r="C507" t="s">
        <v>2697</v>
      </c>
    </row>
    <row r="508" spans="1:3" x14ac:dyDescent="0.45">
      <c r="A508" t="s">
        <v>2698</v>
      </c>
      <c r="B508" t="s">
        <v>2699</v>
      </c>
      <c r="C508" t="s">
        <v>2700</v>
      </c>
    </row>
    <row r="509" spans="1:3" x14ac:dyDescent="0.45">
      <c r="A509" t="s">
        <v>2701</v>
      </c>
      <c r="B509" t="s">
        <v>2702</v>
      </c>
      <c r="C509" t="s">
        <v>2703</v>
      </c>
    </row>
    <row r="510" spans="1:3" x14ac:dyDescent="0.45">
      <c r="A510" t="s">
        <v>2704</v>
      </c>
      <c r="B510" t="s">
        <v>2705</v>
      </c>
      <c r="C510" t="s">
        <v>2706</v>
      </c>
    </row>
    <row r="511" spans="1:3" x14ac:dyDescent="0.45">
      <c r="A511" t="s">
        <v>2707</v>
      </c>
      <c r="B511" t="s">
        <v>2708</v>
      </c>
      <c r="C511" t="s">
        <v>2709</v>
      </c>
    </row>
    <row r="512" spans="1:3" x14ac:dyDescent="0.45">
      <c r="A512" t="s">
        <v>2710</v>
      </c>
      <c r="B512" t="s">
        <v>2711</v>
      </c>
      <c r="C512" t="s">
        <v>2712</v>
      </c>
    </row>
    <row r="513" spans="1:3" x14ac:dyDescent="0.45">
      <c r="A513" t="s">
        <v>2713</v>
      </c>
      <c r="B513" t="s">
        <v>2714</v>
      </c>
      <c r="C513" t="s">
        <v>2715</v>
      </c>
    </row>
    <row r="514" spans="1:3" x14ac:dyDescent="0.45">
      <c r="A514" t="s">
        <v>2716</v>
      </c>
      <c r="B514" t="s">
        <v>2717</v>
      </c>
      <c r="C514" t="s">
        <v>2718</v>
      </c>
    </row>
    <row r="515" spans="1:3" x14ac:dyDescent="0.45">
      <c r="A515" t="s">
        <v>2719</v>
      </c>
      <c r="B515" t="s">
        <v>2720</v>
      </c>
      <c r="C515" t="s">
        <v>2721</v>
      </c>
    </row>
    <row r="516" spans="1:3" x14ac:dyDescent="0.45">
      <c r="A516" t="s">
        <v>2722</v>
      </c>
      <c r="B516" t="s">
        <v>2723</v>
      </c>
      <c r="C516" t="s">
        <v>2724</v>
      </c>
    </row>
    <row r="517" spans="1:3" x14ac:dyDescent="0.45">
      <c r="A517" t="s">
        <v>2725</v>
      </c>
      <c r="B517" t="s">
        <v>856</v>
      </c>
      <c r="C517" t="s">
        <v>1494</v>
      </c>
    </row>
    <row r="518" spans="1:3" x14ac:dyDescent="0.45">
      <c r="A518" t="s">
        <v>2726</v>
      </c>
      <c r="B518" t="s">
        <v>857</v>
      </c>
      <c r="C518" t="s">
        <v>1495</v>
      </c>
    </row>
    <row r="519" spans="1:3" x14ac:dyDescent="0.45">
      <c r="A519" t="s">
        <v>2727</v>
      </c>
      <c r="B519" t="s">
        <v>858</v>
      </c>
      <c r="C519" t="s">
        <v>1496</v>
      </c>
    </row>
    <row r="520" spans="1:3" x14ac:dyDescent="0.45">
      <c r="A520" t="s">
        <v>2728</v>
      </c>
      <c r="B520" t="s">
        <v>859</v>
      </c>
      <c r="C520" t="s">
        <v>1497</v>
      </c>
    </row>
    <row r="521" spans="1:3" x14ac:dyDescent="0.45">
      <c r="A521" t="s">
        <v>2729</v>
      </c>
      <c r="B521" t="s">
        <v>861</v>
      </c>
      <c r="C521" t="s">
        <v>1498</v>
      </c>
    </row>
    <row r="522" spans="1:3" x14ac:dyDescent="0.45">
      <c r="A522" t="s">
        <v>2730</v>
      </c>
      <c r="B522" t="s">
        <v>862</v>
      </c>
      <c r="C522" t="s">
        <v>1499</v>
      </c>
    </row>
    <row r="523" spans="1:3" x14ac:dyDescent="0.45">
      <c r="A523" t="s">
        <v>2731</v>
      </c>
      <c r="B523" t="s">
        <v>863</v>
      </c>
      <c r="C523" t="s">
        <v>1500</v>
      </c>
    </row>
    <row r="524" spans="1:3" x14ac:dyDescent="0.45">
      <c r="A524" t="s">
        <v>2732</v>
      </c>
      <c r="B524" t="s">
        <v>864</v>
      </c>
      <c r="C524" t="s">
        <v>1501</v>
      </c>
    </row>
    <row r="525" spans="1:3" x14ac:dyDescent="0.45">
      <c r="A525" t="s">
        <v>2733</v>
      </c>
      <c r="B525" t="s">
        <v>865</v>
      </c>
      <c r="C525" t="s">
        <v>1502</v>
      </c>
    </row>
    <row r="526" spans="1:3" x14ac:dyDescent="0.45">
      <c r="A526" t="s">
        <v>2734</v>
      </c>
      <c r="B526" t="s">
        <v>866</v>
      </c>
      <c r="C526" t="s">
        <v>1503</v>
      </c>
    </row>
    <row r="527" spans="1:3" x14ac:dyDescent="0.45">
      <c r="A527" t="s">
        <v>2735</v>
      </c>
      <c r="B527" t="s">
        <v>867</v>
      </c>
      <c r="C527" t="s">
        <v>1504</v>
      </c>
    </row>
    <row r="528" spans="1:3" x14ac:dyDescent="0.45">
      <c r="A528" t="s">
        <v>2736</v>
      </c>
      <c r="B528" t="s">
        <v>868</v>
      </c>
      <c r="C528" t="s">
        <v>1505</v>
      </c>
    </row>
    <row r="529" spans="1:3" x14ac:dyDescent="0.45">
      <c r="A529" t="s">
        <v>2737</v>
      </c>
      <c r="B529" t="s">
        <v>869</v>
      </c>
      <c r="C529" t="s">
        <v>1506</v>
      </c>
    </row>
    <row r="530" spans="1:3" x14ac:dyDescent="0.45">
      <c r="A530" t="s">
        <v>2738</v>
      </c>
      <c r="B530" t="s">
        <v>870</v>
      </c>
      <c r="C530" t="s">
        <v>1507</v>
      </c>
    </row>
    <row r="531" spans="1:3" x14ac:dyDescent="0.45">
      <c r="A531" t="s">
        <v>2739</v>
      </c>
      <c r="B531" t="s">
        <v>871</v>
      </c>
      <c r="C531" t="s">
        <v>1508</v>
      </c>
    </row>
    <row r="532" spans="1:3" x14ac:dyDescent="0.45">
      <c r="A532" t="s">
        <v>2740</v>
      </c>
      <c r="B532" t="s">
        <v>872</v>
      </c>
      <c r="C532" t="s">
        <v>1509</v>
      </c>
    </row>
    <row r="533" spans="1:3" x14ac:dyDescent="0.45">
      <c r="A533" t="s">
        <v>2741</v>
      </c>
      <c r="B533" t="s">
        <v>873</v>
      </c>
      <c r="C533" t="s">
        <v>1510</v>
      </c>
    </row>
    <row r="534" spans="1:3" x14ac:dyDescent="0.45">
      <c r="A534" t="s">
        <v>2742</v>
      </c>
      <c r="B534" t="s">
        <v>874</v>
      </c>
      <c r="C534" t="s">
        <v>1511</v>
      </c>
    </row>
    <row r="535" spans="1:3" x14ac:dyDescent="0.45">
      <c r="A535" t="s">
        <v>2743</v>
      </c>
      <c r="B535" t="s">
        <v>875</v>
      </c>
      <c r="C535" t="s">
        <v>1512</v>
      </c>
    </row>
    <row r="536" spans="1:3" x14ac:dyDescent="0.45">
      <c r="A536" t="s">
        <v>2744</v>
      </c>
      <c r="B536" t="s">
        <v>876</v>
      </c>
      <c r="C536" t="s">
        <v>1513</v>
      </c>
    </row>
    <row r="537" spans="1:3" x14ac:dyDescent="0.45">
      <c r="A537" t="s">
        <v>2745</v>
      </c>
      <c r="B537" t="s">
        <v>877</v>
      </c>
      <c r="C537" t="s">
        <v>1514</v>
      </c>
    </row>
    <row r="538" spans="1:3" x14ac:dyDescent="0.45">
      <c r="A538" t="s">
        <v>2746</v>
      </c>
      <c r="B538" t="s">
        <v>2747</v>
      </c>
      <c r="C538" t="s">
        <v>2748</v>
      </c>
    </row>
    <row r="539" spans="1:3" x14ac:dyDescent="0.45">
      <c r="A539" t="s">
        <v>2749</v>
      </c>
      <c r="B539" t="s">
        <v>2750</v>
      </c>
      <c r="C539" t="s">
        <v>2751</v>
      </c>
    </row>
    <row r="540" spans="1:3" x14ac:dyDescent="0.45">
      <c r="A540" t="s">
        <v>2752</v>
      </c>
      <c r="B540" t="s">
        <v>2753</v>
      </c>
      <c r="C540" t="s">
        <v>2754</v>
      </c>
    </row>
    <row r="541" spans="1:3" x14ac:dyDescent="0.45">
      <c r="A541" t="s">
        <v>2755</v>
      </c>
      <c r="B541" t="s">
        <v>2756</v>
      </c>
      <c r="C541" t="s">
        <v>2757</v>
      </c>
    </row>
    <row r="542" spans="1:3" x14ac:dyDescent="0.45">
      <c r="A542" t="s">
        <v>2758</v>
      </c>
      <c r="B542" t="s">
        <v>2759</v>
      </c>
      <c r="C542" t="s">
        <v>2760</v>
      </c>
    </row>
    <row r="543" spans="1:3" x14ac:dyDescent="0.45">
      <c r="A543" t="s">
        <v>2761</v>
      </c>
      <c r="B543" t="s">
        <v>2762</v>
      </c>
      <c r="C543" t="s">
        <v>2763</v>
      </c>
    </row>
    <row r="544" spans="1:3" x14ac:dyDescent="0.45">
      <c r="A544" t="s">
        <v>2764</v>
      </c>
      <c r="B544" t="s">
        <v>2765</v>
      </c>
      <c r="C544" t="s">
        <v>2766</v>
      </c>
    </row>
    <row r="545" spans="1:3" x14ac:dyDescent="0.45">
      <c r="A545" t="s">
        <v>2767</v>
      </c>
      <c r="B545" t="s">
        <v>2768</v>
      </c>
      <c r="C545" t="s">
        <v>2769</v>
      </c>
    </row>
    <row r="546" spans="1:3" x14ac:dyDescent="0.45">
      <c r="A546" t="s">
        <v>2770</v>
      </c>
      <c r="B546" t="s">
        <v>2771</v>
      </c>
      <c r="C546" t="s">
        <v>2772</v>
      </c>
    </row>
    <row r="547" spans="1:3" x14ac:dyDescent="0.45">
      <c r="A547" t="s">
        <v>2773</v>
      </c>
      <c r="B547" t="s">
        <v>2774</v>
      </c>
      <c r="C547" t="s">
        <v>2775</v>
      </c>
    </row>
    <row r="548" spans="1:3" x14ac:dyDescent="0.45">
      <c r="A548" t="s">
        <v>2776</v>
      </c>
      <c r="B548" t="s">
        <v>2777</v>
      </c>
      <c r="C548" t="s">
        <v>2778</v>
      </c>
    </row>
    <row r="549" spans="1:3" x14ac:dyDescent="0.45">
      <c r="A549" t="s">
        <v>2779</v>
      </c>
      <c r="B549" t="s">
        <v>2780</v>
      </c>
      <c r="C549" t="s">
        <v>2781</v>
      </c>
    </row>
    <row r="550" spans="1:3" x14ac:dyDescent="0.45">
      <c r="A550" t="s">
        <v>2782</v>
      </c>
      <c r="B550" t="s">
        <v>2783</v>
      </c>
      <c r="C550" t="s">
        <v>2784</v>
      </c>
    </row>
    <row r="551" spans="1:3" x14ac:dyDescent="0.45">
      <c r="A551" t="s">
        <v>2785</v>
      </c>
      <c r="B551" t="s">
        <v>2786</v>
      </c>
      <c r="C551" t="s">
        <v>2787</v>
      </c>
    </row>
    <row r="552" spans="1:3" x14ac:dyDescent="0.45">
      <c r="A552" t="s">
        <v>2788</v>
      </c>
      <c r="B552" t="s">
        <v>2789</v>
      </c>
      <c r="C552" t="s">
        <v>2790</v>
      </c>
    </row>
    <row r="553" spans="1:3" x14ac:dyDescent="0.45">
      <c r="A553" t="s">
        <v>2791</v>
      </c>
      <c r="B553" t="s">
        <v>2792</v>
      </c>
      <c r="C553" t="s">
        <v>2793</v>
      </c>
    </row>
    <row r="554" spans="1:3" x14ac:dyDescent="0.45">
      <c r="A554" t="s">
        <v>2794</v>
      </c>
      <c r="B554" t="s">
        <v>2795</v>
      </c>
      <c r="C554" t="s">
        <v>2796</v>
      </c>
    </row>
    <row r="555" spans="1:3" x14ac:dyDescent="0.45">
      <c r="A555" t="s">
        <v>2797</v>
      </c>
      <c r="B555" t="s">
        <v>2798</v>
      </c>
      <c r="C555" t="s">
        <v>2799</v>
      </c>
    </row>
    <row r="556" spans="1:3" x14ac:dyDescent="0.45">
      <c r="A556" t="s">
        <v>2800</v>
      </c>
      <c r="B556" t="s">
        <v>2801</v>
      </c>
      <c r="C556" t="s">
        <v>2802</v>
      </c>
    </row>
    <row r="557" spans="1:3" x14ac:dyDescent="0.45">
      <c r="A557" t="s">
        <v>2803</v>
      </c>
      <c r="B557" t="s">
        <v>2804</v>
      </c>
      <c r="C557" t="s">
        <v>2805</v>
      </c>
    </row>
    <row r="558" spans="1:3" x14ac:dyDescent="0.45">
      <c r="A558" t="s">
        <v>2806</v>
      </c>
      <c r="B558" t="s">
        <v>2807</v>
      </c>
      <c r="C558" t="s">
        <v>2808</v>
      </c>
    </row>
    <row r="559" spans="1:3" x14ac:dyDescent="0.45">
      <c r="A559" t="s">
        <v>2809</v>
      </c>
      <c r="B559" t="s">
        <v>2810</v>
      </c>
      <c r="C559" t="s">
        <v>2811</v>
      </c>
    </row>
    <row r="560" spans="1:3" x14ac:dyDescent="0.45">
      <c r="A560" t="s">
        <v>2812</v>
      </c>
      <c r="B560" t="s">
        <v>2813</v>
      </c>
      <c r="C560" t="s">
        <v>2814</v>
      </c>
    </row>
    <row r="561" spans="1:3" x14ac:dyDescent="0.45">
      <c r="A561" t="s">
        <v>2815</v>
      </c>
      <c r="B561" t="s">
        <v>2816</v>
      </c>
      <c r="C561" t="s">
        <v>2817</v>
      </c>
    </row>
    <row r="562" spans="1:3" x14ac:dyDescent="0.45">
      <c r="A562" t="s">
        <v>2818</v>
      </c>
      <c r="B562" t="s">
        <v>2819</v>
      </c>
      <c r="C562" t="s">
        <v>2820</v>
      </c>
    </row>
    <row r="563" spans="1:3" x14ac:dyDescent="0.45">
      <c r="A563" t="s">
        <v>2821</v>
      </c>
      <c r="B563" t="s">
        <v>2822</v>
      </c>
      <c r="C563" t="s">
        <v>2823</v>
      </c>
    </row>
    <row r="564" spans="1:3" x14ac:dyDescent="0.45">
      <c r="A564" t="s">
        <v>2824</v>
      </c>
      <c r="B564" t="s">
        <v>2825</v>
      </c>
      <c r="C564" t="s">
        <v>2826</v>
      </c>
    </row>
    <row r="565" spans="1:3" x14ac:dyDescent="0.45">
      <c r="A565" t="s">
        <v>2827</v>
      </c>
      <c r="B565" t="s">
        <v>2828</v>
      </c>
      <c r="C565" t="s">
        <v>2829</v>
      </c>
    </row>
    <row r="566" spans="1:3" x14ac:dyDescent="0.45">
      <c r="A566" t="s">
        <v>2830</v>
      </c>
      <c r="B566" t="s">
        <v>2831</v>
      </c>
      <c r="C566" t="s">
        <v>2832</v>
      </c>
    </row>
    <row r="567" spans="1:3" x14ac:dyDescent="0.45">
      <c r="A567" t="s">
        <v>2833</v>
      </c>
      <c r="B567" t="s">
        <v>2834</v>
      </c>
      <c r="C567" t="s">
        <v>2835</v>
      </c>
    </row>
    <row r="568" spans="1:3" x14ac:dyDescent="0.45">
      <c r="A568" t="s">
        <v>2836</v>
      </c>
      <c r="B568" t="s">
        <v>2837</v>
      </c>
      <c r="C568" t="s">
        <v>2838</v>
      </c>
    </row>
    <row r="569" spans="1:3" x14ac:dyDescent="0.45">
      <c r="A569" t="s">
        <v>2839</v>
      </c>
      <c r="B569" t="s">
        <v>2840</v>
      </c>
      <c r="C569" t="s">
        <v>2841</v>
      </c>
    </row>
    <row r="570" spans="1:3" x14ac:dyDescent="0.45">
      <c r="A570" t="s">
        <v>2842</v>
      </c>
      <c r="B570" t="s">
        <v>2843</v>
      </c>
      <c r="C570" t="s">
        <v>2844</v>
      </c>
    </row>
    <row r="571" spans="1:3" x14ac:dyDescent="0.45">
      <c r="A571" t="s">
        <v>2845</v>
      </c>
      <c r="B571" t="s">
        <v>2846</v>
      </c>
      <c r="C571" t="s">
        <v>2847</v>
      </c>
    </row>
    <row r="572" spans="1:3" x14ac:dyDescent="0.45">
      <c r="A572" t="s">
        <v>2848</v>
      </c>
      <c r="B572" t="s">
        <v>2849</v>
      </c>
      <c r="C572" t="s">
        <v>2850</v>
      </c>
    </row>
    <row r="573" spans="1:3" x14ac:dyDescent="0.45">
      <c r="A573" t="s">
        <v>2851</v>
      </c>
      <c r="B573" t="s">
        <v>2852</v>
      </c>
      <c r="C573" t="s">
        <v>2853</v>
      </c>
    </row>
    <row r="574" spans="1:3" x14ac:dyDescent="0.45">
      <c r="A574" t="s">
        <v>2854</v>
      </c>
      <c r="B574" t="s">
        <v>2855</v>
      </c>
      <c r="C574" t="s">
        <v>2856</v>
      </c>
    </row>
    <row r="575" spans="1:3" x14ac:dyDescent="0.45">
      <c r="A575" t="s">
        <v>2857</v>
      </c>
      <c r="B575" t="s">
        <v>2858</v>
      </c>
      <c r="C575" t="s">
        <v>2859</v>
      </c>
    </row>
    <row r="576" spans="1:3" x14ac:dyDescent="0.45">
      <c r="A576" t="s">
        <v>2860</v>
      </c>
      <c r="B576" t="s">
        <v>2861</v>
      </c>
      <c r="C576" t="s">
        <v>2862</v>
      </c>
    </row>
    <row r="577" spans="1:3" x14ac:dyDescent="0.45">
      <c r="A577" t="s">
        <v>2863</v>
      </c>
      <c r="B577" t="s">
        <v>2864</v>
      </c>
      <c r="C577" t="s">
        <v>2865</v>
      </c>
    </row>
    <row r="578" spans="1:3" x14ac:dyDescent="0.45">
      <c r="A578" t="s">
        <v>2866</v>
      </c>
      <c r="B578" t="s">
        <v>2867</v>
      </c>
      <c r="C578" t="s">
        <v>2868</v>
      </c>
    </row>
    <row r="579" spans="1:3" x14ac:dyDescent="0.45">
      <c r="A579" t="s">
        <v>2869</v>
      </c>
      <c r="B579" t="s">
        <v>2870</v>
      </c>
      <c r="C579" t="s">
        <v>2871</v>
      </c>
    </row>
    <row r="580" spans="1:3" x14ac:dyDescent="0.45">
      <c r="A580" t="s">
        <v>2872</v>
      </c>
      <c r="B580" t="s">
        <v>2873</v>
      </c>
      <c r="C580" t="s">
        <v>2874</v>
      </c>
    </row>
    <row r="581" spans="1:3" x14ac:dyDescent="0.45">
      <c r="A581" t="s">
        <v>2875</v>
      </c>
      <c r="B581" t="s">
        <v>2876</v>
      </c>
      <c r="C581" t="s">
        <v>2877</v>
      </c>
    </row>
    <row r="582" spans="1:3" x14ac:dyDescent="0.45">
      <c r="A582" t="s">
        <v>2878</v>
      </c>
      <c r="B582" t="s">
        <v>2879</v>
      </c>
      <c r="C582" t="s">
        <v>2880</v>
      </c>
    </row>
    <row r="583" spans="1:3" x14ac:dyDescent="0.45">
      <c r="A583" t="s">
        <v>2881</v>
      </c>
      <c r="B583" t="s">
        <v>2882</v>
      </c>
      <c r="C583" t="s">
        <v>2883</v>
      </c>
    </row>
    <row r="584" spans="1:3" x14ac:dyDescent="0.45">
      <c r="A584" t="s">
        <v>2884</v>
      </c>
      <c r="B584" t="s">
        <v>2885</v>
      </c>
      <c r="C584" t="s">
        <v>2886</v>
      </c>
    </row>
    <row r="585" spans="1:3" x14ac:dyDescent="0.45">
      <c r="A585" t="s">
        <v>2887</v>
      </c>
      <c r="B585" t="s">
        <v>2888</v>
      </c>
      <c r="C585" t="s">
        <v>2889</v>
      </c>
    </row>
    <row r="586" spans="1:3" x14ac:dyDescent="0.45">
      <c r="A586" t="s">
        <v>2890</v>
      </c>
      <c r="B586" t="s">
        <v>2891</v>
      </c>
      <c r="C586" t="s">
        <v>2892</v>
      </c>
    </row>
    <row r="587" spans="1:3" x14ac:dyDescent="0.45">
      <c r="A587" t="s">
        <v>2893</v>
      </c>
      <c r="B587" t="s">
        <v>2894</v>
      </c>
      <c r="C587" t="s">
        <v>2895</v>
      </c>
    </row>
    <row r="588" spans="1:3" x14ac:dyDescent="0.45">
      <c r="A588" t="s">
        <v>2896</v>
      </c>
      <c r="B588" t="s">
        <v>2897</v>
      </c>
      <c r="C588" t="s">
        <v>2898</v>
      </c>
    </row>
    <row r="589" spans="1:3" x14ac:dyDescent="0.45">
      <c r="A589" t="s">
        <v>2899</v>
      </c>
      <c r="B589" t="s">
        <v>2900</v>
      </c>
      <c r="C589" t="s">
        <v>2901</v>
      </c>
    </row>
    <row r="590" spans="1:3" x14ac:dyDescent="0.45">
      <c r="A590" t="s">
        <v>2902</v>
      </c>
      <c r="B590" t="s">
        <v>2903</v>
      </c>
      <c r="C590" t="s">
        <v>2904</v>
      </c>
    </row>
    <row r="591" spans="1:3" x14ac:dyDescent="0.45">
      <c r="A591" t="s">
        <v>2905</v>
      </c>
      <c r="B591" t="s">
        <v>2906</v>
      </c>
      <c r="C591" t="s">
        <v>2907</v>
      </c>
    </row>
    <row r="592" spans="1:3" x14ac:dyDescent="0.45">
      <c r="A592" t="s">
        <v>2908</v>
      </c>
      <c r="B592" t="s">
        <v>2909</v>
      </c>
      <c r="C592" t="s">
        <v>2910</v>
      </c>
    </row>
    <row r="593" spans="1:3" x14ac:dyDescent="0.45">
      <c r="A593" t="s">
        <v>2911</v>
      </c>
      <c r="B593" t="s">
        <v>2912</v>
      </c>
      <c r="C593" t="s">
        <v>2913</v>
      </c>
    </row>
    <row r="594" spans="1:3" x14ac:dyDescent="0.45">
      <c r="A594" t="s">
        <v>2914</v>
      </c>
      <c r="B594" t="s">
        <v>2915</v>
      </c>
      <c r="C594" t="s">
        <v>2916</v>
      </c>
    </row>
    <row r="595" spans="1:3" x14ac:dyDescent="0.45">
      <c r="A595" t="s">
        <v>2917</v>
      </c>
      <c r="B595" t="s">
        <v>2918</v>
      </c>
      <c r="C595" t="s">
        <v>1516</v>
      </c>
    </row>
    <row r="596" spans="1:3" x14ac:dyDescent="0.45">
      <c r="A596" t="s">
        <v>2919</v>
      </c>
      <c r="B596" t="s">
        <v>882</v>
      </c>
      <c r="C596" t="s">
        <v>1517</v>
      </c>
    </row>
    <row r="597" spans="1:3" x14ac:dyDescent="0.45">
      <c r="A597" t="s">
        <v>2920</v>
      </c>
      <c r="B597" t="s">
        <v>2921</v>
      </c>
      <c r="C597" t="s">
        <v>2922</v>
      </c>
    </row>
    <row r="598" spans="1:3" x14ac:dyDescent="0.45">
      <c r="A598" t="s">
        <v>2923</v>
      </c>
      <c r="B598" t="s">
        <v>2924</v>
      </c>
      <c r="C598" t="s">
        <v>1518</v>
      </c>
    </row>
    <row r="599" spans="1:3" x14ac:dyDescent="0.45">
      <c r="A599" t="s">
        <v>2925</v>
      </c>
      <c r="B599" t="s">
        <v>2926</v>
      </c>
      <c r="C599" t="s">
        <v>1519</v>
      </c>
    </row>
    <row r="600" spans="1:3" x14ac:dyDescent="0.45">
      <c r="A600" t="s">
        <v>2927</v>
      </c>
      <c r="B600" t="s">
        <v>888</v>
      </c>
      <c r="C600" t="s">
        <v>1520</v>
      </c>
    </row>
    <row r="601" spans="1:3" x14ac:dyDescent="0.45">
      <c r="A601" t="s">
        <v>2928</v>
      </c>
      <c r="B601" t="s">
        <v>2929</v>
      </c>
      <c r="C601" t="s">
        <v>2930</v>
      </c>
    </row>
    <row r="602" spans="1:3" x14ac:dyDescent="0.45">
      <c r="A602" t="s">
        <v>2931</v>
      </c>
      <c r="B602" t="s">
        <v>889</v>
      </c>
      <c r="C602" t="s">
        <v>1522</v>
      </c>
    </row>
    <row r="603" spans="1:3" x14ac:dyDescent="0.45">
      <c r="A603" t="s">
        <v>2932</v>
      </c>
      <c r="B603" t="s">
        <v>2933</v>
      </c>
      <c r="C603" t="s">
        <v>2934</v>
      </c>
    </row>
    <row r="604" spans="1:3" x14ac:dyDescent="0.45">
      <c r="A604" t="s">
        <v>2935</v>
      </c>
      <c r="B604" t="s">
        <v>2936</v>
      </c>
      <c r="C604" t="s">
        <v>1523</v>
      </c>
    </row>
    <row r="605" spans="1:3" x14ac:dyDescent="0.45">
      <c r="A605" t="s">
        <v>2937</v>
      </c>
      <c r="B605" t="s">
        <v>2938</v>
      </c>
      <c r="C605" t="s">
        <v>1524</v>
      </c>
    </row>
    <row r="606" spans="1:3" x14ac:dyDescent="0.45">
      <c r="A606" t="s">
        <v>2939</v>
      </c>
      <c r="B606" t="s">
        <v>891</v>
      </c>
      <c r="C606" t="s">
        <v>1525</v>
      </c>
    </row>
    <row r="607" spans="1:3" x14ac:dyDescent="0.45">
      <c r="A607" t="s">
        <v>2940</v>
      </c>
      <c r="B607" t="s">
        <v>2941</v>
      </c>
      <c r="C607" t="s">
        <v>1526</v>
      </c>
    </row>
    <row r="608" spans="1:3" x14ac:dyDescent="0.45">
      <c r="A608" t="s">
        <v>2942</v>
      </c>
      <c r="B608" t="s">
        <v>2943</v>
      </c>
      <c r="C608" t="s">
        <v>2944</v>
      </c>
    </row>
    <row r="609" spans="1:3" x14ac:dyDescent="0.45">
      <c r="A609" t="s">
        <v>2945</v>
      </c>
      <c r="B609" t="s">
        <v>894</v>
      </c>
      <c r="C609" t="s">
        <v>1527</v>
      </c>
    </row>
    <row r="610" spans="1:3" x14ac:dyDescent="0.45">
      <c r="A610" t="s">
        <v>2946</v>
      </c>
      <c r="B610" t="s">
        <v>2947</v>
      </c>
      <c r="C610" t="s">
        <v>1528</v>
      </c>
    </row>
    <row r="611" spans="1:3" x14ac:dyDescent="0.45">
      <c r="A611" t="s">
        <v>2948</v>
      </c>
      <c r="B611" t="s">
        <v>2949</v>
      </c>
      <c r="C611" t="s">
        <v>1529</v>
      </c>
    </row>
    <row r="612" spans="1:3" x14ac:dyDescent="0.45">
      <c r="A612" t="s">
        <v>2950</v>
      </c>
      <c r="B612" t="s">
        <v>897</v>
      </c>
      <c r="C612" t="s">
        <v>1530</v>
      </c>
    </row>
    <row r="613" spans="1:3" x14ac:dyDescent="0.45">
      <c r="A613" t="s">
        <v>2951</v>
      </c>
      <c r="B613" t="s">
        <v>2952</v>
      </c>
      <c r="C613" t="s">
        <v>1531</v>
      </c>
    </row>
    <row r="614" spans="1:3" x14ac:dyDescent="0.45">
      <c r="A614" t="s">
        <v>2953</v>
      </c>
      <c r="B614" t="s">
        <v>2954</v>
      </c>
      <c r="C614" t="s">
        <v>2955</v>
      </c>
    </row>
    <row r="615" spans="1:3" x14ac:dyDescent="0.45">
      <c r="A615" t="s">
        <v>2956</v>
      </c>
      <c r="B615" t="s">
        <v>899</v>
      </c>
      <c r="C615" t="s">
        <v>1532</v>
      </c>
    </row>
    <row r="616" spans="1:3" x14ac:dyDescent="0.45">
      <c r="A616" t="s">
        <v>2957</v>
      </c>
      <c r="B616" t="s">
        <v>2958</v>
      </c>
      <c r="C616" t="s">
        <v>1078</v>
      </c>
    </row>
    <row r="617" spans="1:3" x14ac:dyDescent="0.45">
      <c r="A617" t="s">
        <v>2959</v>
      </c>
      <c r="B617" t="s">
        <v>2960</v>
      </c>
      <c r="C617" t="s">
        <v>1533</v>
      </c>
    </row>
    <row r="618" spans="1:3" x14ac:dyDescent="0.45">
      <c r="A618" t="s">
        <v>2961</v>
      </c>
      <c r="B618" t="s">
        <v>901</v>
      </c>
      <c r="C618" t="s">
        <v>1534</v>
      </c>
    </row>
    <row r="619" spans="1:3" x14ac:dyDescent="0.45">
      <c r="A619" t="s">
        <v>2962</v>
      </c>
      <c r="B619" t="s">
        <v>2963</v>
      </c>
      <c r="C619" t="s">
        <v>1535</v>
      </c>
    </row>
    <row r="620" spans="1:3" x14ac:dyDescent="0.45">
      <c r="A620" t="s">
        <v>2964</v>
      </c>
      <c r="B620" t="s">
        <v>2965</v>
      </c>
      <c r="C620" t="s">
        <v>2966</v>
      </c>
    </row>
    <row r="621" spans="1:3" x14ac:dyDescent="0.45">
      <c r="A621" t="s">
        <v>2967</v>
      </c>
      <c r="B621" t="s">
        <v>903</v>
      </c>
      <c r="C621" t="s">
        <v>1087</v>
      </c>
    </row>
    <row r="622" spans="1:3" x14ac:dyDescent="0.45">
      <c r="A622" t="s">
        <v>2968</v>
      </c>
      <c r="B622" t="s">
        <v>2969</v>
      </c>
      <c r="C622" t="s">
        <v>1090</v>
      </c>
    </row>
    <row r="623" spans="1:3" x14ac:dyDescent="0.45">
      <c r="A623" t="s">
        <v>2970</v>
      </c>
      <c r="B623" t="s">
        <v>2971</v>
      </c>
      <c r="C623" t="s">
        <v>1536</v>
      </c>
    </row>
    <row r="624" spans="1:3" x14ac:dyDescent="0.45">
      <c r="A624" t="s">
        <v>2972</v>
      </c>
      <c r="B624" t="s">
        <v>905</v>
      </c>
      <c r="C624" t="s">
        <v>1537</v>
      </c>
    </row>
    <row r="625" spans="1:3" x14ac:dyDescent="0.45">
      <c r="A625" t="s">
        <v>2973</v>
      </c>
      <c r="B625" t="s">
        <v>2974</v>
      </c>
      <c r="C625" t="s">
        <v>1538</v>
      </c>
    </row>
    <row r="626" spans="1:3" x14ac:dyDescent="0.45">
      <c r="A626" t="s">
        <v>2975</v>
      </c>
      <c r="B626" t="s">
        <v>2976</v>
      </c>
      <c r="C626" t="s">
        <v>1539</v>
      </c>
    </row>
    <row r="627" spans="1:3" x14ac:dyDescent="0.45">
      <c r="A627" t="s">
        <v>2977</v>
      </c>
      <c r="B627" t="s">
        <v>2978</v>
      </c>
      <c r="C627" t="s">
        <v>2979</v>
      </c>
    </row>
    <row r="628" spans="1:3" x14ac:dyDescent="0.45">
      <c r="A628" t="s">
        <v>2980</v>
      </c>
      <c r="B628" t="s">
        <v>908</v>
      </c>
      <c r="C628" t="s">
        <v>1540</v>
      </c>
    </row>
    <row r="629" spans="1:3" x14ac:dyDescent="0.45">
      <c r="A629" t="s">
        <v>2981</v>
      </c>
      <c r="B629" t="s">
        <v>2982</v>
      </c>
      <c r="C629" t="s">
        <v>1104</v>
      </c>
    </row>
    <row r="630" spans="1:3" x14ac:dyDescent="0.45">
      <c r="A630" t="s">
        <v>2983</v>
      </c>
      <c r="B630" t="s">
        <v>2984</v>
      </c>
      <c r="C630" t="s">
        <v>1541</v>
      </c>
    </row>
    <row r="631" spans="1:3" x14ac:dyDescent="0.45">
      <c r="A631" t="s">
        <v>2985</v>
      </c>
      <c r="B631" t="s">
        <v>910</v>
      </c>
      <c r="C631" t="s">
        <v>1542</v>
      </c>
    </row>
    <row r="632" spans="1:3" x14ac:dyDescent="0.45">
      <c r="A632" t="s">
        <v>2986</v>
      </c>
      <c r="B632" t="s">
        <v>2987</v>
      </c>
      <c r="C632" t="s">
        <v>1543</v>
      </c>
    </row>
    <row r="633" spans="1:3" x14ac:dyDescent="0.45">
      <c r="A633" t="s">
        <v>2988</v>
      </c>
      <c r="B633" t="s">
        <v>2989</v>
      </c>
      <c r="C633" t="s">
        <v>1544</v>
      </c>
    </row>
    <row r="634" spans="1:3" x14ac:dyDescent="0.45">
      <c r="A634" t="s">
        <v>2990</v>
      </c>
      <c r="B634" t="s">
        <v>2991</v>
      </c>
      <c r="C634" t="s">
        <v>2992</v>
      </c>
    </row>
    <row r="635" spans="1:3" x14ac:dyDescent="0.45">
      <c r="A635" t="s">
        <v>2993</v>
      </c>
      <c r="B635" t="s">
        <v>913</v>
      </c>
      <c r="C635" t="s">
        <v>1545</v>
      </c>
    </row>
    <row r="636" spans="1:3" x14ac:dyDescent="0.45">
      <c r="A636" t="s">
        <v>2994</v>
      </c>
      <c r="B636" t="s">
        <v>2995</v>
      </c>
      <c r="C636" t="s">
        <v>1116</v>
      </c>
    </row>
    <row r="637" spans="1:3" x14ac:dyDescent="0.45">
      <c r="A637" t="s">
        <v>2996</v>
      </c>
      <c r="B637" t="s">
        <v>2997</v>
      </c>
      <c r="C637" t="s">
        <v>1546</v>
      </c>
    </row>
    <row r="638" spans="1:3" x14ac:dyDescent="0.45">
      <c r="A638" t="s">
        <v>2998</v>
      </c>
      <c r="B638" t="s">
        <v>915</v>
      </c>
      <c r="C638" t="s">
        <v>1547</v>
      </c>
    </row>
    <row r="639" spans="1:3" x14ac:dyDescent="0.45">
      <c r="A639" t="s">
        <v>2999</v>
      </c>
      <c r="B639" t="s">
        <v>3000</v>
      </c>
      <c r="C639" t="s">
        <v>1115</v>
      </c>
    </row>
    <row r="640" spans="1:3" x14ac:dyDescent="0.45">
      <c r="A640" t="s">
        <v>3001</v>
      </c>
      <c r="B640" t="s">
        <v>3002</v>
      </c>
      <c r="C640" t="s">
        <v>1548</v>
      </c>
    </row>
    <row r="641" spans="1:3" x14ac:dyDescent="0.45">
      <c r="A641" t="s">
        <v>3003</v>
      </c>
      <c r="B641" t="s">
        <v>3004</v>
      </c>
      <c r="C641" t="s">
        <v>3005</v>
      </c>
    </row>
    <row r="642" spans="1:3" x14ac:dyDescent="0.45">
      <c r="A642" t="s">
        <v>3006</v>
      </c>
      <c r="B642" t="s">
        <v>917</v>
      </c>
      <c r="C642" t="s">
        <v>1549</v>
      </c>
    </row>
    <row r="643" spans="1:3" x14ac:dyDescent="0.45">
      <c r="A643" t="s">
        <v>3007</v>
      </c>
      <c r="B643" t="s">
        <v>3008</v>
      </c>
      <c r="C643" t="s">
        <v>1126</v>
      </c>
    </row>
    <row r="644" spans="1:3" x14ac:dyDescent="0.45">
      <c r="A644" t="s">
        <v>3009</v>
      </c>
      <c r="B644" t="s">
        <v>3010</v>
      </c>
      <c r="C644" t="s">
        <v>1550</v>
      </c>
    </row>
    <row r="645" spans="1:3" x14ac:dyDescent="0.45">
      <c r="A645" t="s">
        <v>3011</v>
      </c>
      <c r="B645" t="s">
        <v>919</v>
      </c>
      <c r="C645" t="s">
        <v>1551</v>
      </c>
    </row>
    <row r="646" spans="1:3" x14ac:dyDescent="0.45">
      <c r="A646" t="s">
        <v>3012</v>
      </c>
      <c r="B646" t="s">
        <v>3013</v>
      </c>
      <c r="C646" t="s">
        <v>1552</v>
      </c>
    </row>
    <row r="647" spans="1:3" x14ac:dyDescent="0.45">
      <c r="A647" t="s">
        <v>3014</v>
      </c>
      <c r="B647" t="s">
        <v>3015</v>
      </c>
      <c r="C647" t="s">
        <v>1553</v>
      </c>
    </row>
    <row r="648" spans="1:3" x14ac:dyDescent="0.45">
      <c r="A648" t="s">
        <v>3016</v>
      </c>
      <c r="B648" t="s">
        <v>3017</v>
      </c>
      <c r="C648" t="s">
        <v>3018</v>
      </c>
    </row>
    <row r="649" spans="1:3" x14ac:dyDescent="0.45">
      <c r="A649" t="s">
        <v>3019</v>
      </c>
      <c r="B649" t="s">
        <v>922</v>
      </c>
      <c r="C649" t="s">
        <v>1554</v>
      </c>
    </row>
    <row r="650" spans="1:3" x14ac:dyDescent="0.45">
      <c r="A650" t="s">
        <v>3020</v>
      </c>
      <c r="B650" t="s">
        <v>3021</v>
      </c>
      <c r="C650" t="s">
        <v>1135</v>
      </c>
    </row>
    <row r="651" spans="1:3" x14ac:dyDescent="0.45">
      <c r="A651" t="s">
        <v>3022</v>
      </c>
      <c r="B651" t="s">
        <v>3023</v>
      </c>
      <c r="C651" t="s">
        <v>1555</v>
      </c>
    </row>
    <row r="652" spans="1:3" x14ac:dyDescent="0.45">
      <c r="A652" t="s">
        <v>3024</v>
      </c>
      <c r="B652" t="s">
        <v>924</v>
      </c>
      <c r="C652" t="s">
        <v>1556</v>
      </c>
    </row>
    <row r="653" spans="1:3" x14ac:dyDescent="0.45">
      <c r="A653" t="s">
        <v>3025</v>
      </c>
      <c r="B653" t="s">
        <v>3026</v>
      </c>
      <c r="C653" t="s">
        <v>1557</v>
      </c>
    </row>
    <row r="654" spans="1:3" x14ac:dyDescent="0.45">
      <c r="A654" t="s">
        <v>3027</v>
      </c>
      <c r="B654" t="s">
        <v>3028</v>
      </c>
      <c r="C654" t="s">
        <v>1558</v>
      </c>
    </row>
    <row r="655" spans="1:3" x14ac:dyDescent="0.45">
      <c r="A655" t="s">
        <v>3029</v>
      </c>
      <c r="B655" t="s">
        <v>3030</v>
      </c>
      <c r="C655" t="s">
        <v>3031</v>
      </c>
    </row>
    <row r="656" spans="1:3" x14ac:dyDescent="0.45">
      <c r="A656" t="s">
        <v>3032</v>
      </c>
      <c r="B656" t="s">
        <v>927</v>
      </c>
      <c r="C656" t="s">
        <v>1142</v>
      </c>
    </row>
    <row r="657" spans="1:3" x14ac:dyDescent="0.45">
      <c r="A657" t="s">
        <v>3033</v>
      </c>
      <c r="B657" t="s">
        <v>3034</v>
      </c>
      <c r="C657" t="s">
        <v>1145</v>
      </c>
    </row>
    <row r="658" spans="1:3" x14ac:dyDescent="0.45">
      <c r="A658" t="s">
        <v>3035</v>
      </c>
      <c r="B658" t="s">
        <v>3036</v>
      </c>
      <c r="C658" t="s">
        <v>1559</v>
      </c>
    </row>
    <row r="659" spans="1:3" x14ac:dyDescent="0.45">
      <c r="A659" t="s">
        <v>3037</v>
      </c>
      <c r="B659" t="s">
        <v>929</v>
      </c>
      <c r="C659" t="s">
        <v>1560</v>
      </c>
    </row>
    <row r="660" spans="1:3" x14ac:dyDescent="0.45">
      <c r="A660" t="s">
        <v>3038</v>
      </c>
      <c r="B660" t="s">
        <v>3039</v>
      </c>
      <c r="C660" t="s">
        <v>1561</v>
      </c>
    </row>
    <row r="661" spans="1:3" x14ac:dyDescent="0.45">
      <c r="A661" t="s">
        <v>3040</v>
      </c>
      <c r="B661" t="s">
        <v>3041</v>
      </c>
      <c r="C661" t="s">
        <v>1562</v>
      </c>
    </row>
    <row r="662" spans="1:3" x14ac:dyDescent="0.45">
      <c r="A662" t="s">
        <v>3042</v>
      </c>
      <c r="B662" t="s">
        <v>3043</v>
      </c>
      <c r="C662" t="s">
        <v>3044</v>
      </c>
    </row>
    <row r="663" spans="1:3" x14ac:dyDescent="0.45">
      <c r="A663" t="s">
        <v>3045</v>
      </c>
      <c r="B663" t="s">
        <v>3046</v>
      </c>
      <c r="C663" t="s">
        <v>1563</v>
      </c>
    </row>
    <row r="664" spans="1:3" x14ac:dyDescent="0.45">
      <c r="A664" t="s">
        <v>3047</v>
      </c>
      <c r="B664" t="s">
        <v>3048</v>
      </c>
      <c r="C664" t="s">
        <v>1157</v>
      </c>
    </row>
    <row r="665" spans="1:3" x14ac:dyDescent="0.45">
      <c r="A665" t="s">
        <v>3049</v>
      </c>
      <c r="B665" t="s">
        <v>3050</v>
      </c>
      <c r="C665" t="s">
        <v>1564</v>
      </c>
    </row>
    <row r="666" spans="1:3" x14ac:dyDescent="0.45">
      <c r="A666" t="s">
        <v>3051</v>
      </c>
      <c r="B666" t="s">
        <v>934</v>
      </c>
      <c r="C666" t="s">
        <v>1565</v>
      </c>
    </row>
    <row r="667" spans="1:3" x14ac:dyDescent="0.45">
      <c r="A667" t="s">
        <v>3052</v>
      </c>
      <c r="B667" t="s">
        <v>3053</v>
      </c>
      <c r="C667" t="s">
        <v>1566</v>
      </c>
    </row>
    <row r="668" spans="1:3" x14ac:dyDescent="0.45">
      <c r="A668" t="s">
        <v>3054</v>
      </c>
      <c r="B668" t="s">
        <v>3055</v>
      </c>
      <c r="C668" t="s">
        <v>1567</v>
      </c>
    </row>
    <row r="669" spans="1:3" x14ac:dyDescent="0.45">
      <c r="A669" t="s">
        <v>3056</v>
      </c>
      <c r="B669" t="s">
        <v>3057</v>
      </c>
      <c r="C669" t="s">
        <v>3058</v>
      </c>
    </row>
    <row r="670" spans="1:3" x14ac:dyDescent="0.45">
      <c r="A670" t="s">
        <v>3059</v>
      </c>
      <c r="B670" t="s">
        <v>3060</v>
      </c>
      <c r="C670" t="s">
        <v>1568</v>
      </c>
    </row>
    <row r="671" spans="1:3" x14ac:dyDescent="0.45">
      <c r="A671" t="s">
        <v>3061</v>
      </c>
      <c r="B671" t="s">
        <v>3062</v>
      </c>
      <c r="C671" t="s">
        <v>1166</v>
      </c>
    </row>
    <row r="672" spans="1:3" x14ac:dyDescent="0.45">
      <c r="A672" t="s">
        <v>3063</v>
      </c>
      <c r="B672" t="s">
        <v>3064</v>
      </c>
      <c r="C672" t="s">
        <v>1569</v>
      </c>
    </row>
    <row r="673" spans="1:3" x14ac:dyDescent="0.45">
      <c r="A673" t="s">
        <v>3065</v>
      </c>
      <c r="B673" t="s">
        <v>939</v>
      </c>
      <c r="C673" t="s">
        <v>1570</v>
      </c>
    </row>
    <row r="674" spans="1:3" x14ac:dyDescent="0.45">
      <c r="A674" t="s">
        <v>3066</v>
      </c>
      <c r="B674" t="s">
        <v>3067</v>
      </c>
      <c r="C674" t="s">
        <v>1165</v>
      </c>
    </row>
    <row r="675" spans="1:3" x14ac:dyDescent="0.45">
      <c r="A675" t="s">
        <v>3068</v>
      </c>
      <c r="B675" t="s">
        <v>3069</v>
      </c>
      <c r="C675" t="s">
        <v>1571</v>
      </c>
    </row>
    <row r="676" spans="1:3" x14ac:dyDescent="0.45">
      <c r="A676" t="s">
        <v>3070</v>
      </c>
      <c r="B676" t="s">
        <v>3071</v>
      </c>
      <c r="C676" t="s">
        <v>3072</v>
      </c>
    </row>
    <row r="677" spans="1:3" x14ac:dyDescent="0.45">
      <c r="A677" t="s">
        <v>3073</v>
      </c>
      <c r="B677" t="s">
        <v>3074</v>
      </c>
      <c r="C677" t="s">
        <v>1572</v>
      </c>
    </row>
    <row r="678" spans="1:3" x14ac:dyDescent="0.45">
      <c r="A678" t="s">
        <v>3075</v>
      </c>
      <c r="B678" t="s">
        <v>3076</v>
      </c>
      <c r="C678" t="s">
        <v>1175</v>
      </c>
    </row>
    <row r="679" spans="1:3" x14ac:dyDescent="0.45">
      <c r="A679" t="s">
        <v>3077</v>
      </c>
      <c r="B679" t="s">
        <v>3078</v>
      </c>
      <c r="C679" t="s">
        <v>1573</v>
      </c>
    </row>
    <row r="680" spans="1:3" x14ac:dyDescent="0.45">
      <c r="A680" t="s">
        <v>3079</v>
      </c>
      <c r="B680" t="s">
        <v>943</v>
      </c>
      <c r="C680" t="s">
        <v>1574</v>
      </c>
    </row>
    <row r="681" spans="1:3" x14ac:dyDescent="0.45">
      <c r="A681" t="s">
        <v>3080</v>
      </c>
      <c r="B681" t="s">
        <v>3081</v>
      </c>
      <c r="C681" t="s">
        <v>1575</v>
      </c>
    </row>
    <row r="682" spans="1:3" x14ac:dyDescent="0.45">
      <c r="A682" t="s">
        <v>3082</v>
      </c>
      <c r="B682" t="s">
        <v>3083</v>
      </c>
      <c r="C682" t="s">
        <v>1576</v>
      </c>
    </row>
    <row r="683" spans="1:3" x14ac:dyDescent="0.45">
      <c r="A683" t="s">
        <v>3084</v>
      </c>
      <c r="B683" t="s">
        <v>3085</v>
      </c>
      <c r="C683" t="s">
        <v>3086</v>
      </c>
    </row>
    <row r="684" spans="1:3" x14ac:dyDescent="0.45">
      <c r="A684" t="s">
        <v>3087</v>
      </c>
      <c r="B684" t="s">
        <v>3088</v>
      </c>
      <c r="C684" t="s">
        <v>1577</v>
      </c>
    </row>
    <row r="685" spans="1:3" x14ac:dyDescent="0.45">
      <c r="A685" t="s">
        <v>3089</v>
      </c>
      <c r="B685" t="s">
        <v>3090</v>
      </c>
      <c r="C685" t="s">
        <v>1183</v>
      </c>
    </row>
    <row r="686" spans="1:3" x14ac:dyDescent="0.45">
      <c r="A686" t="s">
        <v>3091</v>
      </c>
      <c r="B686" t="s">
        <v>3092</v>
      </c>
      <c r="C686" t="s">
        <v>1578</v>
      </c>
    </row>
    <row r="687" spans="1:3" x14ac:dyDescent="0.45">
      <c r="A687" t="s">
        <v>3093</v>
      </c>
      <c r="B687" t="s">
        <v>948</v>
      </c>
      <c r="C687" t="s">
        <v>1579</v>
      </c>
    </row>
    <row r="688" spans="1:3" x14ac:dyDescent="0.45">
      <c r="A688" t="s">
        <v>3094</v>
      </c>
      <c r="B688" t="s">
        <v>3095</v>
      </c>
      <c r="C688" t="s">
        <v>1580</v>
      </c>
    </row>
    <row r="689" spans="1:3" x14ac:dyDescent="0.45">
      <c r="A689" t="s">
        <v>3096</v>
      </c>
      <c r="B689" t="s">
        <v>3097</v>
      </c>
      <c r="C689" t="s">
        <v>1581</v>
      </c>
    </row>
  </sheetData>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支线子任务</vt:lpstr>
      <vt:lpstr>支线章节</vt:lpstr>
      <vt:lpstr>支线子任务链</vt:lpstr>
      <vt:lpstr>#隐藏支线子任务</vt:lpstr>
      <vt:lpstr>#隐藏支线子任务链</vt:lpstr>
      <vt:lpstr>#杂项配置</vt:lpstr>
      <vt:lpstr>#主线任务集（废弃）</vt:lpstr>
      <vt:lpstr>#主线任务链（废弃）</vt:lpstr>
      <vt:lpstr>#TID_base_up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挺 蔡</cp:lastModifiedBy>
  <dcterms:created xsi:type="dcterms:W3CDTF">2015-06-05T18:19:00Z</dcterms:created>
  <dcterms:modified xsi:type="dcterms:W3CDTF">2025-04-07T03:00:58Z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2052-12.1.0.16417</vt:lpwstr>
  </property>
  <property fmtid="{D5CDD505-2E9C-101B-9397-08002B2CF9AE}" pid="3" name="ICV">
    <vt:lpwstr>1F052708ADE34B8B92CD9F7C50C81D68_12</vt:lpwstr>
  </property>
</Properties>
</file>